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 Tracker" sheetId="1" state="visible" r:id="rId1"/>
    <sheet name="Dashboard" sheetId="2" state="visible" r:id="rId2"/>
    <sheet name="Claude Scoring Prompt" sheetId="3" state="visible" r:id="rId3"/>
    <sheet name="Settings" sheetId="4" state="visible" r:id="rId4"/>
    <sheet name="Dropdown Lists" sheetId="5" state="visible" r:id="rId5"/>
    <sheet name="Instructions" sheetId="6" state="visible" r:id="rId6"/>
  </sheets>
  <definedNames>
    <definedName name="USD_BDT">Settings!$B$5</definedName>
    <definedName name="RMB_BDT">Settings!$B$6</definedName>
    <definedName name="CUSTOMS_PCT">Settings!$B$7</definedName>
    <definedName name="MISC_FEE">Settings!$B$8</definedName>
    <definedName name="MARKUP_PCT">Settings!$B$9</definedName>
    <definedName name="MAX_PRICE">Settings!$B$10</definedName>
    <definedName name="HARD_REJECT_PRICE">Settings!$B$11</definedName>
    <definedName name="W_FEMININE">Settings!$B$12</definedName>
    <definedName name="W_TREND">Settings!$B$13</definedName>
    <definedName name="W_AESTHETIC">Settings!$B$14</definedName>
    <definedName name="W_STYLE">Settings!$B$15</definedName>
    <definedName name="W_LIGHT">Settings!$B$16</definedName>
    <definedName name="W_REELS">Settings!$B$17</definedName>
    <definedName name="W_GIFT">Settings!$B$18</definedName>
    <definedName name="W_PRICEFIT">Settings!$B$19</definedName>
    <definedName name="W_DEMAND">Settings!$B$20</definedName>
    <definedName name="W_QUALITY">Settings!$B$21</definedName>
    <definedName name="BUY_THRESHOLD">Settings!$B$22</definedName>
    <definedName name="MAYBE_THRESHOLD">Settings!$B$23</definedName>
    <definedName name="LOW_PROFIT_PCT">Settings!$B$24</definedName>
    <definedName name="MOQ_WARNING">Settings!$B$25</definedName>
    <definedName name="MONTHLY_BUDGET">Settings!$B$26</definedName>
    <definedName name="LIST_PLATFORM">'Dropdown Lists'!$A$2:$A$7</definedName>
    <definedName name="LIST_CATEGORY">'Dropdown Lists'!$B$2:$B$14</definedName>
    <definedName name="LIST_CURRENCY">'Dropdown Lists'!$C$2:$C$4</definedName>
    <definedName name="LIST_DECISION">'Dropdown Lists'!$D$2:$D$5</definedName>
    <definedName name="LIST_APPROVAL">'Dropdown Lists'!$E$2:$E$5</definedName>
    <definedName name="LIST_SCORE">'Dropdown Lists'!$F$2:$F$6</definedName>
    <definedName name="LIST_YESNO">'Dropdown Lists'!$G$2:$G$3</definedName>
    <definedName name="LIST_LEVEL">'Dropdown Lists'!$H$2:$H$4</definedName>
    <definedName name="LIST_PACKAGING">'Dropdown Lists'!$I$2:$I$4</definedName>
    <definedName name="LIST_SOURCING_STATUS">'Dropdown Lists'!$J$2:$J$10</definedName>
    <definedName name="LIST_QC_STATUS">'Dropdown Lists'!$K$2:$K$8</definedName>
    <definedName name="LIST_AI_TOOL">'Dropdown Lists'!$L$2:$L$5</definedName>
    <definedName name="CATEGORY_PREFIX_TABLE">'Dropdown Lists'!$M$2:$N$14</definedName>
    <definedName name="_xlnm._FilterDatabase" localSheetId="0" hidden="1">'Product Tracker'!$A$2:$CB$500</definedName>
  </definedNames>
  <calcPr calcId="124519" fullCalcOnLoad="1"/>
</workbook>
</file>

<file path=xl/styles.xml><?xml version="1.0" encoding="utf-8"?>
<styleSheet xmlns="http://schemas.openxmlformats.org/spreadsheetml/2006/main">
  <numFmts count="4">
    <numFmt numFmtId="164" formatCode="yyyy-mm-dd"/>
    <numFmt numFmtId="165" formatCode="#,##0 &quot;BDT&quot;"/>
    <numFmt numFmtId="166" formatCode="0.0"/>
    <numFmt numFmtId="167" formatCode="৳#,##0"/>
  </numFmts>
  <fonts count="25">
    <font>
      <name val="Calibri"/>
      <family val="2"/>
      <color theme="1"/>
      <sz val="11"/>
      <scheme val="minor"/>
    </font>
    <font>
      <b val="1"/>
      <color rgb="003B2F2A"/>
      <sz val="14"/>
    </font>
    <font>
      <i val="1"/>
      <color rgb="006B5B53"/>
      <sz val="9"/>
    </font>
    <font>
      <b val="1"/>
      <color rgb="00FFFFFF"/>
      <sz val="12"/>
    </font>
    <font>
      <b val="1"/>
      <color rgb="003B2F2A"/>
    </font>
    <font>
      <i val="1"/>
      <color rgb="006B5B53"/>
      <sz val="10"/>
    </font>
    <font>
      <b val="1"/>
      <color rgb="00FFFFFF"/>
      <sz val="10"/>
    </font>
    <font>
      <b val="1"/>
      <color rgb="00FFFFFF"/>
      <sz val="9"/>
    </font>
    <font>
      <b val="1"/>
      <color rgb="00FFFFFF"/>
      <sz val="20"/>
    </font>
    <font>
      <i val="1"/>
      <color rgb="00F7E7E9"/>
      <sz val="10"/>
    </font>
    <font>
      <b val="1"/>
      <color rgb="002F2623"/>
      <sz val="12"/>
    </font>
    <font>
      <b val="1"/>
      <color rgb="00FFFFFF"/>
      <sz val="11"/>
    </font>
    <font>
      <b val="1"/>
      <color rgb="007B6A63"/>
      <sz val="8"/>
    </font>
    <font>
      <b val="1"/>
      <color rgb="002F2623"/>
      <sz val="20"/>
    </font>
    <font>
      <b val="1"/>
      <color rgb="001E7B34"/>
      <sz val="20"/>
    </font>
    <font>
      <b val="1"/>
      <color rgb="009C7A00"/>
      <sz val="20"/>
    </font>
    <font>
      <b val="1"/>
      <color rgb="00B2650A"/>
      <sz val="20"/>
    </font>
    <font>
      <b val="1"/>
      <color rgb="00B23A32"/>
      <sz val="20"/>
    </font>
    <font>
      <b val="1"/>
      <color rgb="00C6A15B"/>
      <sz val="16"/>
    </font>
    <font>
      <b val="1"/>
      <color rgb="002F2623"/>
      <sz val="16"/>
    </font>
    <font>
      <b val="1"/>
      <color rgb="001E7B34"/>
      <sz val="16"/>
    </font>
    <font>
      <b val="1"/>
      <color rgb="007B6A63"/>
      <sz val="16"/>
    </font>
    <font>
      <b val="1"/>
      <color rgb="007B6A63"/>
      <sz val="9"/>
    </font>
    <font>
      <b val="1"/>
      <color rgb="002F2623"/>
      <sz val="9"/>
    </font>
    <font>
      <name val="Consolas"/>
      <color rgb="003B2F2A"/>
      <sz val="10"/>
    </font>
  </fonts>
  <fills count="21">
    <fill>
      <patternFill/>
    </fill>
    <fill>
      <patternFill patternType="gray125"/>
    </fill>
    <fill>
      <patternFill patternType="solid">
        <fgColor rgb="00C98B95"/>
      </patternFill>
    </fill>
    <fill>
      <patternFill patternType="solid">
        <fgColor rgb="00B89B5E"/>
      </patternFill>
    </fill>
    <fill>
      <patternFill patternType="solid">
        <fgColor rgb="008FA98E"/>
      </patternFill>
    </fill>
    <fill>
      <patternFill patternType="solid">
        <fgColor rgb="003B2F2A"/>
      </patternFill>
    </fill>
    <fill>
      <patternFill patternType="solid">
        <fgColor rgb="006B4F4F"/>
      </patternFill>
    </fill>
    <fill>
      <patternFill patternType="solid">
        <fgColor rgb="00BFBFBF"/>
      </patternFill>
    </fill>
    <fill>
      <patternFill patternType="solid">
        <fgColor rgb="00C9A66B"/>
      </patternFill>
    </fill>
    <fill>
      <patternFill patternType="solid">
        <fgColor rgb="00AD8350"/>
      </patternFill>
    </fill>
    <fill>
      <patternFill patternType="solid">
        <fgColor rgb="00A4626C"/>
      </patternFill>
    </fill>
    <fill>
      <patternFill patternType="solid">
        <fgColor rgb="006E5C54"/>
      </patternFill>
    </fill>
    <fill>
      <patternFill patternType="solid">
        <fgColor rgb="00B07B5E"/>
      </patternFill>
    </fill>
    <fill>
      <patternFill patternType="solid">
        <fgColor rgb="006F8F76"/>
      </patternFill>
    </fill>
    <fill>
      <patternFill patternType="solid">
        <fgColor rgb="009C8AA5"/>
      </patternFill>
    </fill>
    <fill>
      <patternFill patternType="solid">
        <fgColor rgb="00FBF7F2"/>
      </patternFill>
    </fill>
    <fill>
      <patternFill patternType="solid">
        <fgColor rgb="009A4F5F"/>
      </patternFill>
    </fill>
    <fill>
      <patternFill patternType="solid">
        <fgColor rgb="00C6A15B"/>
      </patternFill>
    </fill>
    <fill>
      <patternFill patternType="solid">
        <fgColor rgb="00FFFFFF"/>
      </patternFill>
    </fill>
    <fill>
      <patternFill patternType="solid">
        <fgColor rgb="00F7E7E9"/>
      </patternFill>
    </fill>
    <fill>
      <patternFill patternType="solid">
        <fgColor rgb="00FFF8F2"/>
      </patternFill>
    </fill>
  </fills>
  <borders count="15">
    <border>
      <left/>
      <right/>
      <top/>
      <bottom/>
      <diagonal/>
    </border>
    <border>
      <left style="thin">
        <color rgb="00D9CDC3"/>
      </left>
      <right style="thin">
        <color rgb="00D9CDC3"/>
      </right>
      <top style="thin">
        <color rgb="00D9CDC3"/>
      </top>
      <bottom style="thin">
        <color rgb="00D9CDC3"/>
      </bottom>
    </border>
    <border>
      <left style="thin">
        <color rgb="00EADDD4"/>
      </left>
      <top style="thin">
        <color rgb="00EADDD4"/>
      </top>
    </border>
    <border>
      <top style="thin">
        <color rgb="00EADDD4"/>
      </top>
    </border>
    <border>
      <right style="thin">
        <color rgb="00EADDD4"/>
      </right>
      <top style="thin">
        <color rgb="00EADDD4"/>
      </top>
    </border>
    <border>
      <left style="thin">
        <color rgb="00EADDD4"/>
      </left>
    </border>
    <border/>
    <border>
      <right style="thin">
        <color rgb="00EADDD4"/>
      </right>
    </border>
    <border>
      <left style="thin">
        <color rgb="00EADDD4"/>
      </left>
      <bottom style="thin">
        <color rgb="00EADDD4"/>
      </bottom>
    </border>
    <border>
      <bottom style="thin">
        <color rgb="00EADDD4"/>
      </bottom>
    </border>
    <border>
      <right style="thin">
        <color rgb="00EADDD4"/>
      </right>
      <bottom style="thin">
        <color rgb="00EADDD4"/>
      </bottom>
    </border>
    <border>
      <left style="thin">
        <color rgb="00EADDD4"/>
      </left>
      <right style="thin">
        <color rgb="00EADDD4"/>
      </right>
      <top style="thin">
        <color rgb="00EADDD4"/>
      </top>
      <bottom style="thin">
        <color rgb="00EADDD4"/>
      </bottom>
    </border>
    <border>
      <bottom style="medium">
        <color rgb="00C6A15B"/>
      </bottom>
    </border>
    <border>
      <left/>
      <right/>
      <top/>
      <bottom style="medium">
        <color rgb="00C6A15B"/>
      </bottom>
      <diagonal/>
    </border>
    <border>
      <left style="medium">
        <color rgb="00B89B5E"/>
      </left>
      <right style="medium">
        <color rgb="00B89B5E"/>
      </right>
      <top style="medium">
        <color rgb="00B89B5E"/>
      </top>
      <bottom style="medium">
        <color rgb="00B89B5E"/>
      </bottom>
    </border>
  </borders>
  <cellStyleXfs count="1">
    <xf numFmtId="0" fontId="0" fillId="0" borderId="0"/>
  </cellStyleXfs>
  <cellXfs count="71">
    <xf numFmtId="0" fontId="0" fillId="0" borderId="0" pivotButton="0" quotePrefix="0" xfId="0"/>
    <xf numFmtId="0" fontId="1" fillId="0" borderId="0" pivotButton="0" quotePrefix="0" xfId="0"/>
    <xf numFmtId="0" fontId="5" fillId="0" borderId="0" pivotButton="0" quotePrefix="0" xfId="0"/>
    <xf numFmtId="0" fontId="6"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7"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10" borderId="0" applyAlignment="1" pivotButton="0" quotePrefix="0" xfId="0">
      <alignment horizontal="center" vertical="center" wrapText="1"/>
    </xf>
    <xf numFmtId="0" fontId="6" fillId="11" borderId="0" applyAlignment="1" pivotButton="0" quotePrefix="0" xfId="0">
      <alignment horizontal="center" vertical="center" wrapText="1"/>
    </xf>
    <xf numFmtId="0" fontId="6" fillId="12" borderId="0" applyAlignment="1" pivotButton="0" quotePrefix="0" xfId="0">
      <alignment horizontal="center" vertical="center" wrapText="1"/>
    </xf>
    <xf numFmtId="0" fontId="6" fillId="13" borderId="0" applyAlignment="1" pivotButton="0" quotePrefix="0" xfId="0">
      <alignment horizontal="center" vertical="center" wrapText="1"/>
    </xf>
    <xf numFmtId="0" fontId="6" fillId="14" borderId="0" applyAlignment="1" pivotButton="0" quotePrefix="0" xfId="0">
      <alignment horizontal="center" vertical="center"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9" fontId="0" fillId="0" borderId="1" applyAlignment="1" pivotButton="0" quotePrefix="0" xfId="0">
      <alignment vertical="center"/>
    </xf>
    <xf numFmtId="1" fontId="0" fillId="0" borderId="1" applyAlignment="1" pivotButton="0" quotePrefix="0" xfId="0">
      <alignment vertical="center"/>
    </xf>
    <xf numFmtId="166" fontId="0" fillId="0" borderId="1" applyAlignment="1" pivotButton="0" quotePrefix="0" xfId="0">
      <alignment vertical="center"/>
    </xf>
    <xf numFmtId="3" fontId="0" fillId="0" borderId="1" applyAlignment="1" pivotButton="0" quotePrefix="0" xfId="0">
      <alignment vertical="center"/>
    </xf>
    <xf numFmtId="0" fontId="0" fillId="15" borderId="1" applyAlignment="1" pivotButton="0" quotePrefix="0" xfId="0">
      <alignment vertical="center"/>
    </xf>
    <xf numFmtId="164" fontId="0" fillId="15" borderId="1" applyAlignment="1" pivotButton="0" quotePrefix="0" xfId="0">
      <alignment vertical="center"/>
    </xf>
    <xf numFmtId="165" fontId="0" fillId="15" borderId="1" applyAlignment="1" pivotButton="0" quotePrefix="0" xfId="0">
      <alignment vertical="center"/>
    </xf>
    <xf numFmtId="9" fontId="0" fillId="15" borderId="1" applyAlignment="1" pivotButton="0" quotePrefix="0" xfId="0">
      <alignment vertical="center"/>
    </xf>
    <xf numFmtId="1" fontId="0" fillId="15" borderId="1" applyAlignment="1" pivotButton="0" quotePrefix="0" xfId="0">
      <alignment vertical="center"/>
    </xf>
    <xf numFmtId="166" fontId="0" fillId="15" borderId="1" applyAlignment="1" pivotButton="0" quotePrefix="0" xfId="0">
      <alignment vertical="center"/>
    </xf>
    <xf numFmtId="3" fontId="0" fillId="15" borderId="1" applyAlignment="1" pivotButton="0" quotePrefix="0" xfId="0">
      <alignment vertical="center"/>
    </xf>
    <xf numFmtId="0" fontId="8" fillId="16" borderId="0" applyAlignment="1" pivotButton="0" quotePrefix="0" xfId="0">
      <alignment horizontal="center" vertical="center"/>
    </xf>
    <xf numFmtId="0" fontId="9" fillId="16" borderId="0" applyAlignment="1" pivotButton="0" quotePrefix="0" xfId="0">
      <alignment horizontal="center" vertical="center"/>
    </xf>
    <xf numFmtId="0" fontId="10" fillId="17" borderId="0" applyAlignment="1" pivotButton="0" quotePrefix="0" xfId="0">
      <alignment horizontal="center" vertical="center"/>
    </xf>
    <xf numFmtId="0" fontId="11" fillId="16" borderId="0" applyAlignment="1" pivotButton="0" quotePrefix="0" xfId="0">
      <alignment vertical="center" indent="1"/>
    </xf>
    <xf numFmtId="0" fontId="12" fillId="18" borderId="2" applyAlignment="1" pivotButton="0" quotePrefix="0" xfId="0">
      <alignment horizontal="center" vertical="center"/>
    </xf>
    <xf numFmtId="0" fontId="0" fillId="18" borderId="3" pivotButton="0" quotePrefix="0" xfId="0"/>
    <xf numFmtId="0" fontId="0" fillId="18" borderId="4" pivotButton="0" quotePrefix="0" xfId="0"/>
    <xf numFmtId="0" fontId="13" fillId="18" borderId="5" applyAlignment="1" pivotButton="0" quotePrefix="0" xfId="0">
      <alignment horizontal="center" vertical="center"/>
    </xf>
    <xf numFmtId="0" fontId="0" fillId="18" borderId="6" pivotButton="0" quotePrefix="0" xfId="0"/>
    <xf numFmtId="0" fontId="0" fillId="18" borderId="7" pivotButton="0" quotePrefix="0" xfId="0"/>
    <xf numFmtId="0" fontId="14" fillId="18" borderId="5" applyAlignment="1" pivotButton="0" quotePrefix="0" xfId="0">
      <alignment horizontal="center" vertical="center"/>
    </xf>
    <xf numFmtId="0" fontId="15" fillId="18" borderId="5" applyAlignment="1" pivotButton="0" quotePrefix="0" xfId="0">
      <alignment horizontal="center" vertical="center"/>
    </xf>
    <xf numFmtId="0" fontId="16" fillId="18" borderId="5" applyAlignment="1" pivotButton="0" quotePrefix="0" xfId="0">
      <alignment horizontal="center" vertical="center"/>
    </xf>
    <xf numFmtId="0" fontId="0" fillId="18" borderId="8" pivotButton="0" quotePrefix="0" xfId="0"/>
    <xf numFmtId="0" fontId="0" fillId="18" borderId="9" pivotButton="0" quotePrefix="0" xfId="0"/>
    <xf numFmtId="0" fontId="0" fillId="18" borderId="10" pivotButton="0" quotePrefix="0" xfId="0"/>
    <xf numFmtId="0" fontId="17" fillId="18" borderId="5" applyAlignment="1" pivotButton="0" quotePrefix="0" xfId="0">
      <alignment horizontal="center" vertical="center"/>
    </xf>
    <xf numFmtId="167" fontId="18" fillId="18" borderId="5" applyAlignment="1" pivotButton="0" quotePrefix="0" xfId="0">
      <alignment horizontal="center" vertical="center"/>
    </xf>
    <xf numFmtId="167" fontId="19" fillId="18" borderId="5" applyAlignment="1" pivotButton="0" quotePrefix="0" xfId="0">
      <alignment horizontal="center" vertical="center"/>
    </xf>
    <xf numFmtId="167" fontId="20" fillId="18" borderId="5" applyAlignment="1" pivotButton="0" quotePrefix="0" xfId="0">
      <alignment horizontal="center" vertical="center"/>
    </xf>
    <xf numFmtId="3" fontId="21" fillId="18" borderId="5" applyAlignment="1" pivotButton="0" quotePrefix="0" xfId="0">
      <alignment horizontal="center" vertical="center"/>
    </xf>
    <xf numFmtId="0" fontId="22" fillId="0" borderId="11" applyAlignment="1" pivotButton="0" quotePrefix="0" xfId="0">
      <alignment horizontal="left" vertical="center" indent="1"/>
    </xf>
    <xf numFmtId="0" fontId="0" fillId="0" borderId="11" pivotButton="0" quotePrefix="0" xfId="0"/>
    <xf numFmtId="9" fontId="10" fillId="0" borderId="11" applyAlignment="1" pivotButton="0" quotePrefix="0" xfId="0">
      <alignment horizontal="center" vertical="center"/>
    </xf>
    <xf numFmtId="0" fontId="23" fillId="19" borderId="12" applyAlignment="1" pivotButton="0" quotePrefix="0" xfId="0">
      <alignment horizontal="center" vertical="center"/>
    </xf>
    <xf numFmtId="0" fontId="0" fillId="0" borderId="13" pivotButton="0" quotePrefix="0" xfId="0"/>
    <xf numFmtId="0" fontId="0" fillId="0" borderId="11" applyAlignment="1" pivotButton="0" quotePrefix="0" xfId="0">
      <alignment horizontal="center" vertical="center"/>
    </xf>
    <xf numFmtId="0" fontId="0" fillId="0" borderId="11" applyAlignment="1" pivotButton="0" quotePrefix="0" xfId="0">
      <alignment horizontal="left" vertical="center"/>
    </xf>
    <xf numFmtId="1" fontId="0" fillId="0" borderId="11" applyAlignment="1" pivotButton="0" quotePrefix="0" xfId="0">
      <alignment horizontal="center" vertical="center"/>
    </xf>
    <xf numFmtId="167" fontId="0" fillId="0" borderId="11" applyAlignment="1" pivotButton="0" quotePrefix="0" xfId="0">
      <alignment horizontal="center" vertical="center"/>
    </xf>
    <xf numFmtId="0" fontId="0" fillId="20" borderId="11" applyAlignment="1" pivotButton="0" quotePrefix="0" xfId="0">
      <alignment horizontal="center" vertical="center"/>
    </xf>
    <xf numFmtId="0" fontId="0" fillId="20" borderId="11" applyAlignment="1" pivotButton="0" quotePrefix="0" xfId="0">
      <alignment horizontal="left" vertical="center"/>
    </xf>
    <xf numFmtId="1" fontId="0" fillId="20" borderId="11" applyAlignment="1" pivotButton="0" quotePrefix="0" xfId="0">
      <alignment horizontal="center" vertical="center"/>
    </xf>
    <xf numFmtId="167" fontId="0" fillId="20" borderId="11" applyAlignment="1" pivotButton="0" quotePrefix="0" xfId="0">
      <alignment horizontal="center" vertical="center"/>
    </xf>
    <xf numFmtId="0" fontId="2" fillId="0" borderId="0" applyAlignment="1" pivotButton="0" quotePrefix="0" xfId="0">
      <alignment vertical="top" wrapText="1"/>
    </xf>
    <xf numFmtId="0" fontId="24" fillId="15" borderId="14" applyAlignment="1" pivotButton="0" quotePrefix="0" xfId="0">
      <alignment vertical="top" wrapText="1"/>
    </xf>
    <xf numFmtId="0" fontId="2" fillId="0" borderId="0" pivotButton="0" quotePrefix="0" xfId="0"/>
    <xf numFmtId="0" fontId="3" fillId="2" borderId="0" pivotButton="0" quotePrefix="0" xfId="0"/>
    <xf numFmtId="0" fontId="4" fillId="0" borderId="0" pivotButton="0" quotePrefix="0" xfId="0"/>
    <xf numFmtId="0" fontId="0"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dxfs count="13">
    <dxf>
      <font>
        <b val="1"/>
        <color rgb="001E7B34"/>
      </font>
      <fill>
        <patternFill patternType="solid">
          <fgColor rgb="00C6EFCE"/>
        </patternFill>
      </fill>
    </dxf>
    <dxf>
      <font>
        <b val="1"/>
        <color rgb="009C7A00"/>
      </font>
      <fill>
        <patternFill patternType="solid">
          <fgColor rgb="00FFF3C4"/>
        </patternFill>
      </fill>
    </dxf>
    <dxf>
      <font>
        <b val="1"/>
        <color rgb="00B2650A"/>
      </font>
      <fill>
        <patternFill patternType="solid">
          <fgColor rgb="00FCE4C4"/>
        </patternFill>
      </fill>
    </dxf>
    <dxf>
      <font>
        <b val="1"/>
        <color rgb="00B23A32"/>
      </font>
      <fill>
        <patternFill patternType="solid">
          <fgColor rgb="00F8CFCB"/>
        </patternFill>
      </fill>
    </dxf>
    <dxf>
      <font>
        <b val="1"/>
        <color rgb="00B23A32"/>
      </font>
    </dxf>
    <dxf>
      <font>
        <b val="1"/>
        <color rgb="00B2650A"/>
      </font>
    </dxf>
    <dxf>
      <fill>
        <patternFill patternType="solid">
          <fgColor rgb="00C6EFCE"/>
        </patternFill>
      </fill>
    </dxf>
    <dxf>
      <fill>
        <patternFill patternType="solid">
          <fgColor rgb="00F8CFCB"/>
        </patternFill>
      </fill>
    </dxf>
    <dxf>
      <fill>
        <patternFill patternType="solid">
          <fgColor rgb="00FFF3C4"/>
        </patternFill>
      </fill>
    </dxf>
    <dxf>
      <font>
        <b val="1"/>
        <color rgb="00B23A32"/>
        <sz val="16"/>
      </font>
    </dxf>
    <dxf>
      <font>
        <b val="1"/>
        <color rgb="00B23A32"/>
        <sz val="12"/>
      </font>
    </dxf>
    <dxf>
      <font>
        <b val="1"/>
        <color rgb="00B2650A"/>
        <sz val="12"/>
      </font>
    </dxf>
    <dxf>
      <font>
        <b val="1"/>
        <color rgb="001E7B34"/>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Decision Breakdown</a:t>
            </a:r>
          </a:p>
        </rich>
      </tx>
    </title>
    <plotArea>
      <pieChart>
        <varyColors val="1"/>
        <ser>
          <idx val="0"/>
          <order val="0"/>
          <tx>
            <strRef>
              <f>'Dashboard'!B65</f>
            </strRef>
          </tx>
          <spPr>
            <a:ln>
              <a:prstDash val="solid"/>
            </a:ln>
          </spPr>
          <dPt>
            <idx val="0"/>
            <spPr>
              <a:solidFill>
                <a:srgbClr val="1E7B34"/>
              </a:solidFill>
              <a:ln>
                <a:prstDash val="solid"/>
              </a:ln>
            </spPr>
          </dPt>
          <dPt>
            <idx val="1"/>
            <spPr>
              <a:solidFill>
                <a:srgbClr val="9C7A00"/>
              </a:solidFill>
              <a:ln>
                <a:prstDash val="solid"/>
              </a:ln>
            </spPr>
          </dPt>
          <dPt>
            <idx val="2"/>
            <spPr>
              <a:solidFill>
                <a:srgbClr val="B2650A"/>
              </a:solidFill>
              <a:ln>
                <a:prstDash val="solid"/>
              </a:ln>
            </spPr>
          </dPt>
          <dPt>
            <idx val="3"/>
            <spPr>
              <a:solidFill>
                <a:srgbClr val="B23A32"/>
              </a:solidFill>
              <a:ln>
                <a:prstDash val="solid"/>
              </a:ln>
            </spPr>
          </dPt>
          <cat>
            <numRef>
              <f>'Dashboard'!$A$66:$A$69</f>
            </numRef>
          </cat>
          <val>
            <numRef>
              <f>'Dashboard'!$B$66:$B$69</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Sourcing Pipeline</a:t>
            </a:r>
          </a:p>
        </rich>
      </tx>
    </title>
    <plotArea>
      <barChart>
        <barDir val="col"/>
        <grouping val="clustered"/>
        <ser>
          <idx val="0"/>
          <order val="0"/>
          <tx>
            <strRef>
              <f>'Dashboard'!B70</f>
            </strRef>
          </tx>
          <spPr>
            <a:solidFill>
              <a:srgbClr val="C6A15B"/>
            </a:solidFill>
            <a:ln>
              <a:prstDash val="solid"/>
            </a:ln>
          </spPr>
          <cat>
            <numRef>
              <f>'Dashboard'!$A$71:$A$79</f>
            </numRef>
          </cat>
          <val>
            <numRef>
              <f>'Dashboard'!$B$71:$B$79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4</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23</row>
      <rowOff>0</rowOff>
    </from>
    <ext cx="504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C98B95"/>
    <outlinePr summaryBelow="1" summaryRight="1"/>
    <pageSetUpPr/>
  </sheetPr>
  <dimension ref="A1:CB50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6" customWidth="1" min="3" max="3"/>
    <col width="22" customWidth="1" min="4" max="4"/>
    <col width="16" customWidth="1" min="5" max="5"/>
    <col width="14" customWidth="1" min="6" max="6"/>
    <col width="22" customWidth="1" min="7" max="7"/>
    <col width="18" customWidth="1" min="8" max="8"/>
    <col width="14" customWidth="1" min="9" max="9"/>
    <col width="12" customWidth="1" min="10" max="10"/>
    <col width="13" customWidth="1" min="11" max="11"/>
    <col width="14" customWidth="1" min="12" max="12"/>
    <col width="12" customWidth="1" min="13" max="13"/>
    <col width="13" customWidth="1" min="14" max="14"/>
    <col width="15" customWidth="1" min="15" max="15"/>
    <col width="16" customWidth="1" min="16" max="16"/>
    <col width="14" customWidth="1" min="17" max="17"/>
    <col width="12" customWidth="1" min="18" max="18"/>
    <col width="12" customWidth="1" min="19" max="19"/>
    <col width="11" customWidth="1" min="20" max="20"/>
    <col width="14" customWidth="1" min="21" max="21"/>
    <col width="12" customWidth="1" min="22" max="22"/>
    <col width="12" customWidth="1" min="23" max="23"/>
    <col width="14" customWidth="1" min="24" max="24"/>
    <col width="12" customWidth="1" min="25" max="25"/>
    <col width="12" customWidth="1" min="26" max="26"/>
    <col width="12" customWidth="1" min="27" max="27"/>
    <col width="12" customWidth="1" min="28" max="28"/>
    <col width="13" customWidth="1" min="29" max="29"/>
    <col width="13" customWidth="1" min="30" max="30"/>
    <col width="28" customWidth="1" min="31" max="31"/>
    <col width="30" customWidth="1" min="32" max="32"/>
    <col width="13" customWidth="1" min="33" max="33"/>
    <col width="14" customWidth="1" min="34" max="34"/>
    <col width="13" customWidth="1" min="35" max="35"/>
    <col hidden="1" width="10" customWidth="1" min="36" max="36"/>
    <col hidden="1" width="10" customWidth="1" min="37" max="37"/>
    <col hidden="1" width="10" customWidth="1" min="38" max="38"/>
    <col hidden="1" width="10" customWidth="1" min="39" max="39"/>
    <col hidden="1" width="10" customWidth="1" min="40" max="40"/>
    <col width="12" customWidth="1" min="41" max="41"/>
    <col width="12" customWidth="1" min="42" max="42"/>
    <col width="14" customWidth="1" min="43" max="43"/>
    <col width="12" customWidth="1" min="44" max="44"/>
    <col width="13" customWidth="1" min="45" max="45"/>
    <col width="10" customWidth="1" min="46" max="46"/>
    <col width="14" customWidth="1" min="47" max="47"/>
    <col width="14" customWidth="1" min="48" max="48"/>
    <col width="15" customWidth="1" min="49" max="49"/>
    <col width="18" customWidth="1" min="50" max="50"/>
    <col width="12" customWidth="1" min="51" max="51"/>
    <col width="13" customWidth="1" min="52" max="52"/>
    <col width="12" customWidth="1" min="53" max="53"/>
    <col width="14" customWidth="1" min="54" max="54"/>
    <col width="13" customWidth="1" min="55" max="55"/>
    <col width="13" customWidth="1" min="56" max="56"/>
    <col width="17" customWidth="1" min="57" max="57"/>
    <col width="16" customWidth="1" min="58" max="58"/>
    <col width="13" customWidth="1" min="59" max="59"/>
    <col width="13" customWidth="1" min="60" max="60"/>
    <col width="13" customWidth="1" min="61" max="61"/>
    <col width="13" customWidth="1" min="62" max="62"/>
    <col width="13" customWidth="1" min="63" max="63"/>
    <col width="15" customWidth="1" min="64" max="64"/>
    <col width="15" customWidth="1" min="65" max="65"/>
    <col width="15" customWidth="1" min="66" max="66"/>
    <col width="14" customWidth="1" min="67" max="67"/>
    <col width="14" customWidth="1" min="68" max="68"/>
    <col width="13" customWidth="1" min="69" max="69"/>
    <col width="13" customWidth="1" min="70" max="70"/>
    <col width="13" customWidth="1" min="71" max="71"/>
    <col width="13" customWidth="1" min="72" max="72"/>
    <col width="12" customWidth="1" min="73" max="73"/>
    <col width="13" customWidth="1" min="74" max="74"/>
    <col width="26" customWidth="1" min="75" max="75"/>
    <col width="14" customWidth="1" min="76" max="76"/>
    <col width="13" customWidth="1" min="77" max="77"/>
    <col width="13" customWidth="1" min="78" max="78"/>
    <col width="13" customWidth="1" min="79" max="79"/>
    <col width="15" customWidth="1" min="80" max="80"/>
  </cols>
  <sheetData>
    <row r="1">
      <c r="A1" s="1" t="inlineStr">
        <is>
          <t>AAYNA Product Scout Lite — Product Tracker</t>
        </is>
      </c>
      <c r="I1" s="2" t="inlineStr">
        <is>
          <t>Reflect your everyday style — sourcing decisions, made together.</t>
        </is>
      </c>
    </row>
    <row r="2" ht="42" customHeight="1">
      <c r="A2" s="3" t="inlineStr">
        <is>
          <t>SKU</t>
        </is>
      </c>
      <c r="B2" s="3" t="inlineStr">
        <is>
          <t>Date Added</t>
        </is>
      </c>
      <c r="C2" s="3" t="inlineStr">
        <is>
          <t>Product Name</t>
        </is>
      </c>
      <c r="D2" s="3" t="inlineStr">
        <is>
          <t>Product Image/Link</t>
        </is>
      </c>
      <c r="E2" s="3" t="inlineStr">
        <is>
          <t>Category</t>
        </is>
      </c>
      <c r="F2" s="3" t="inlineStr">
        <is>
          <t>Source Platform</t>
        </is>
      </c>
      <c r="G2" s="3" t="inlineStr">
        <is>
          <t>Source URL</t>
        </is>
      </c>
      <c r="H2" s="3" t="inlineStr">
        <is>
          <t>Supplier Name</t>
        </is>
      </c>
      <c r="I2" s="4" t="inlineStr">
        <is>
          <t>Unit Cost (Source Currency)</t>
        </is>
      </c>
      <c r="J2" s="4" t="inlineStr">
        <is>
          <t>Source Currency</t>
        </is>
      </c>
      <c r="K2" s="4" t="inlineStr">
        <is>
          <t>Unit Cost (BDT)</t>
        </is>
      </c>
      <c r="L2" s="4" t="inlineStr">
        <is>
          <t>Shipping Cost/Unit (BDT)</t>
        </is>
      </c>
      <c r="M2" s="4" t="inlineStr">
        <is>
          <t>Customs/Duty %</t>
        </is>
      </c>
      <c r="N2" s="4" t="inlineStr">
        <is>
          <t>Misc Fees/Unit (BDT)</t>
        </is>
      </c>
      <c r="O2" s="4" t="inlineStr">
        <is>
          <t>Estimated Landed Cost (BDT)</t>
        </is>
      </c>
      <c r="P2" s="5" t="inlineStr">
        <is>
          <t>Suggested Selling Price (BDT)</t>
        </is>
      </c>
      <c r="Q2" s="5" t="inlineStr">
        <is>
          <t>Expected Profit/Unit (BDT)</t>
        </is>
      </c>
      <c r="R2" s="5" t="inlineStr">
        <is>
          <t>Profit Margin %</t>
        </is>
      </c>
      <c r="S2" s="6" t="inlineStr">
        <is>
          <t>Feminine Score (1-5)</t>
        </is>
      </c>
      <c r="T2" s="6" t="inlineStr">
        <is>
          <t>Trend Score (1-5)</t>
        </is>
      </c>
      <c r="U2" s="6" t="inlineStr">
        <is>
          <t>AAYNA Aesthetic Fit Score (1-5)</t>
        </is>
      </c>
      <c r="V2" s="6" t="inlineStr">
        <is>
          <t>Easy to Style Score (1-5)</t>
        </is>
      </c>
      <c r="W2" s="6" t="inlineStr">
        <is>
          <t>Lightweight Score (1-5)</t>
        </is>
      </c>
      <c r="X2" s="6" t="inlineStr">
        <is>
          <t>Reels/Photo Potential Score (1-5)</t>
        </is>
      </c>
      <c r="Y2" s="6" t="inlineStr">
        <is>
          <t>Giftability Score (1-5)</t>
        </is>
      </c>
      <c r="Z2" s="6" t="inlineStr">
        <is>
          <t>Price Fit Score (1-5)</t>
        </is>
      </c>
      <c r="AA2" s="6" t="inlineStr">
        <is>
          <t>Demand Score (1-5)</t>
        </is>
      </c>
      <c r="AB2" s="6" t="inlineStr">
        <is>
          <t>Quality/Risk Score (1-5)</t>
        </is>
      </c>
      <c r="AC2" s="6" t="inlineStr">
        <is>
          <t>Total Product Score (/100)</t>
        </is>
      </c>
      <c r="AD2" s="6" t="inlineStr">
        <is>
          <t>Decision</t>
        </is>
      </c>
      <c r="AE2" s="6" t="inlineStr">
        <is>
          <t>Reason</t>
        </is>
      </c>
      <c r="AF2" s="7" t="inlineStr">
        <is>
          <t>Content/Reel Idea</t>
        </is>
      </c>
      <c r="AG2" s="7" t="inlineStr">
        <is>
          <t>Approval Status</t>
        </is>
      </c>
      <c r="AH2" s="7" t="inlineStr">
        <is>
          <t>Approved By</t>
        </is>
      </c>
      <c r="AI2" s="7" t="inlineStr">
        <is>
          <t>Date Decided</t>
        </is>
      </c>
      <c r="AJ2" s="8" t="inlineStr">
        <is>
          <t>Rank Key: Overall (hidden)</t>
        </is>
      </c>
      <c r="AK2" s="8" t="inlineStr">
        <is>
          <t>Rank Key: Under 700 BDT (hidden)</t>
        </is>
      </c>
      <c r="AL2" s="8" t="inlineStr">
        <is>
          <t>Rank Key: Reels/Photo (hidden)</t>
        </is>
      </c>
      <c r="AM2" s="8" t="inlineStr">
        <is>
          <t>Rank Key: Giftability (hidden)</t>
        </is>
      </c>
      <c r="AN2" s="8" t="inlineStr">
        <is>
          <t>Rank Key: Needs Review (hidden)</t>
        </is>
      </c>
      <c r="AO2" s="9" t="inlineStr">
        <is>
          <t>Supplier Rating</t>
        </is>
      </c>
      <c r="AP2" s="9" t="inlineStr">
        <is>
          <t>Product Rating</t>
        </is>
      </c>
      <c r="AQ2" s="9" t="inlineStr">
        <is>
          <t>Sold Count / Order Count</t>
        </is>
      </c>
      <c r="AR2" s="9" t="inlineStr">
        <is>
          <t>Review Count</t>
        </is>
      </c>
      <c r="AS2" s="9" t="inlineStr">
        <is>
          <t>Real Review Photos?</t>
        </is>
      </c>
      <c r="AT2" s="10" t="inlineStr">
        <is>
          <t>MOQ</t>
        </is>
      </c>
      <c r="AU2" s="10" t="inlineStr">
        <is>
          <t>Recommended Test Quantity</t>
        </is>
      </c>
      <c r="AV2" s="10" t="inlineStr">
        <is>
          <t>Final Approved Quantity</t>
        </is>
      </c>
      <c r="AW2" s="10" t="inlineStr">
        <is>
          <t>Total Purchase Cost (BDT)</t>
        </is>
      </c>
      <c r="AX2" s="11" t="inlineStr">
        <is>
          <t>Weight / Size</t>
        </is>
      </c>
      <c r="AY2" s="11" t="inlineStr">
        <is>
          <t>Fragility Level</t>
        </is>
      </c>
      <c r="AZ2" s="11" t="inlineStr">
        <is>
          <t>Packaging Difficulty</t>
        </is>
      </c>
      <c r="BA2" s="11" t="inlineStr">
        <is>
          <t>Courier Risk</t>
        </is>
      </c>
      <c r="BB2" s="11" t="inlineStr">
        <is>
          <t>Duplicate Found on BD Market?</t>
        </is>
      </c>
      <c r="BC2" s="11" t="inlineStr">
        <is>
          <t>Competitor Price (BDT)</t>
        </is>
      </c>
      <c r="BD2" s="11" t="inlineStr">
        <is>
          <t>Market Saturation Level</t>
        </is>
      </c>
      <c r="BE2" s="6" t="inlineStr">
        <is>
          <t>Auto Flag / Warning</t>
        </is>
      </c>
      <c r="BF2" s="6" t="inlineStr">
        <is>
          <t>Sourcing Status</t>
        </is>
      </c>
      <c r="BG2" s="12" t="inlineStr">
        <is>
          <t>Product Name Finalized?</t>
        </is>
      </c>
      <c r="BH2" s="12" t="inlineStr">
        <is>
          <t>SKU Finalized?</t>
        </is>
      </c>
      <c r="BI2" s="12" t="inlineStr">
        <is>
          <t>Photos Ready?</t>
        </is>
      </c>
      <c r="BJ2" s="12" t="inlineStr">
        <is>
          <t>Description Ready?</t>
        </is>
      </c>
      <c r="BK2" s="12" t="inlineStr">
        <is>
          <t>Price Approved?</t>
        </is>
      </c>
      <c r="BL2" s="12" t="inlineStr">
        <is>
          <t>Ready for Website Upload?</t>
        </is>
      </c>
      <c r="BM2" s="13" t="inlineStr">
        <is>
          <t>Actual Product Cost (BDT)</t>
        </is>
      </c>
      <c r="BN2" s="13" t="inlineStr">
        <is>
          <t>Actual Shipping Cost (BDT)</t>
        </is>
      </c>
      <c r="BO2" s="13" t="inlineStr">
        <is>
          <t>Actual Landed Cost (BDT)</t>
        </is>
      </c>
      <c r="BP2" s="13" t="inlineStr">
        <is>
          <t>Actual Selling Price (BDT)</t>
        </is>
      </c>
      <c r="BQ2" s="13" t="inlineStr">
        <is>
          <t>Actual Profit (BDT)</t>
        </is>
      </c>
      <c r="BR2" s="13" t="inlineStr">
        <is>
          <t>Actual Profit Margin</t>
        </is>
      </c>
      <c r="BS2" s="14" t="inlineStr">
        <is>
          <t>Arrival Date</t>
        </is>
      </c>
      <c r="BT2" s="14" t="inlineStr">
        <is>
          <t>Quantity Received</t>
        </is>
      </c>
      <c r="BU2" s="14" t="inlineStr">
        <is>
          <t>Defect Count</t>
        </is>
      </c>
      <c r="BV2" s="14" t="inlineStr">
        <is>
          <t>QC Status</t>
        </is>
      </c>
      <c r="BW2" s="14" t="inlineStr">
        <is>
          <t>QC Notes</t>
        </is>
      </c>
      <c r="BX2" s="14" t="inlineStr">
        <is>
          <t>Final Stock Accepted</t>
        </is>
      </c>
      <c r="BY2" s="15" t="inlineStr">
        <is>
          <t>AI Tool Used</t>
        </is>
      </c>
      <c r="BZ2" s="15" t="inlineStr">
        <is>
          <t>AI Score Date</t>
        </is>
      </c>
      <c r="CA2" s="15" t="inlineStr">
        <is>
          <t>Scored By</t>
        </is>
      </c>
      <c r="CB2" s="15" t="inlineStr">
        <is>
          <t>Manual Score Adjusted?</t>
        </is>
      </c>
    </row>
    <row r="3">
      <c r="A3" s="16">
        <f>IF(C3="","","AYN-"&amp;IFERROR(VLOOKUP(E3,CATEGORY_PREFIX_TABLE,2,FALSE),"OTH")&amp;"-"&amp;TEXT(ROW()-2,"0000"))</f>
        <v/>
      </c>
      <c r="B3" s="17" t="inlineStr">
        <is>
          <t>2026-06-20</t>
        </is>
      </c>
      <c r="C3" s="16" t="inlineStr">
        <is>
          <t>Antique Gold Hoop Earrings</t>
        </is>
      </c>
      <c r="D3" s="16" t="inlineStr">
        <is>
          <t>drive.google.com/sample1</t>
        </is>
      </c>
      <c r="E3" s="16" t="inlineStr">
        <is>
          <t>Earrings</t>
        </is>
      </c>
      <c r="F3" s="16" t="inlineStr">
        <is>
          <t>AliExpress</t>
        </is>
      </c>
      <c r="G3" s="16" t="inlineStr">
        <is>
          <t>aliexpress.com/item/sample1</t>
        </is>
      </c>
      <c r="H3" s="16" t="inlineStr">
        <is>
          <t>Lin Wei Trading</t>
        </is>
      </c>
      <c r="I3" s="16" t="n">
        <v>1.8</v>
      </c>
      <c r="J3" s="16" t="inlineStr">
        <is>
          <t>USD</t>
        </is>
      </c>
      <c r="K3" s="18">
        <f>IF(I3="","",IF(J3="BDT",I3,IF(J3="USD",I3*USD_BDT,IF(J3="RMB",I3*RMB_BDT,""))))</f>
        <v/>
      </c>
      <c r="L3" s="18" t="n">
        <v>25</v>
      </c>
      <c r="M3" s="19" t="n"/>
      <c r="N3" s="18" t="n">
        <v>15</v>
      </c>
      <c r="O3" s="18">
        <f>IF(K3="","",K3+IFERROR(L3,0)+(K3*IF(M3="",CUSTOMS_PCT,M3))+IF(N3="",MISC_FEE,N3))</f>
        <v/>
      </c>
      <c r="P3" s="18">
        <f>IF(O3="","",ROUND(O3*(1+MARKUP_PCT),-1)-1)</f>
        <v/>
      </c>
      <c r="Q3" s="18">
        <f>IF(P3="","",P3-O3)</f>
        <v/>
      </c>
      <c r="R3" s="19">
        <f>IF(OR(P3="",P3=0),"",Q3/P3)</f>
        <v/>
      </c>
      <c r="S3" s="16" t="n">
        <v>5</v>
      </c>
      <c r="T3" s="16" t="n">
        <v>5</v>
      </c>
      <c r="U3" s="16" t="n">
        <v>5</v>
      </c>
      <c r="V3" s="16" t="n">
        <v>4</v>
      </c>
      <c r="W3" s="16" t="n">
        <v>5</v>
      </c>
      <c r="X3" s="16" t="n">
        <v>5</v>
      </c>
      <c r="Y3" s="16" t="n">
        <v>4</v>
      </c>
      <c r="Z3" s="16" t="n">
        <v>5</v>
      </c>
      <c r="AA3" s="16" t="n">
        <v>4</v>
      </c>
      <c r="AB3" s="16" t="n">
        <v>5</v>
      </c>
      <c r="AC3" s="20">
        <f>IF(COUNT(S3:AB3)&lt;10,"",(S3*W_FEMININE+T3*W_TREND+U3*W_AESTHETIC+V3*W_STYLE+W3*W_LIGHT+X3*W_REELS+Y3*W_GIFT+Z3*W_PRICEFIT+AA3*W_DEMAND+AB3*W_QUALITY)/5*100)</f>
        <v/>
      </c>
      <c r="AD3" s="16">
        <f>IF(P3="","",IF(P3&gt;HARD_REJECT_PRICE,"Reject",IF(P3&gt;MAX_PRICE,"Price Review",IF(AC3="","",IF(AND(AC3&gt;=BUY_THRESHOLD,OR(AB3&lt;=2,U3&lt;=2)),"Maybe",IF(AC3&gt;=BUY_THRESHOLD,"Buy",IF(AC3&gt;=MAYBE_THRESHOLD,"Maybe","Reject")))))))</f>
        <v/>
      </c>
      <c r="AE3" s="16" t="inlineStr">
        <is>
          <t>Strong rose-gold match, trending on TikTok, lightweight and giftable.</t>
        </is>
      </c>
      <c r="AF3" s="16" t="inlineStr">
        <is>
          <t>Reel: 'Get Ready With Me' earring swap, 3 looks in 15 sec.</t>
        </is>
      </c>
      <c r="AG3" s="16" t="inlineStr">
        <is>
          <t>Approved</t>
        </is>
      </c>
      <c r="AH3" s="16" t="inlineStr">
        <is>
          <t>Nadia</t>
        </is>
      </c>
      <c r="AI3" s="17" t="inlineStr">
        <is>
          <t>2026-06-21</t>
        </is>
      </c>
      <c r="AJ3">
        <f>IF(AC3="",-9999-ROW()*0.0000001,AC3-ROW()*0.0000001)</f>
        <v/>
      </c>
      <c r="AK3">
        <f>IF(OR(AC3="",P3="",P3&gt;MAX_PRICE),-9999-ROW()*0.0000001,AC3-ROW()*0.0000001)</f>
        <v/>
      </c>
      <c r="AL3">
        <f>IF(AC3="",-9999-ROW()*0.0000001,X3*1000+AC3-ROW()*0.0000001)</f>
        <v/>
      </c>
      <c r="AM3">
        <f>IF(AC3="",-9999-ROW()*0.0000001,Y3*1000+AC3-ROW()*0.0000001)</f>
        <v/>
      </c>
      <c r="AN3">
        <f>IF(AND(OR(AD3="Maybe",AD3="Price Review"),AG3&lt;&gt;"Approved",AG3&lt;&gt;"Rejected"),IF(AC3="",0,AC3)-ROW()*0.0000001,-9999-ROW()*0.0000001)</f>
        <v/>
      </c>
      <c r="AO3" s="21" t="n">
        <v>4.8</v>
      </c>
      <c r="AP3" s="21" t="n">
        <v>4.7</v>
      </c>
      <c r="AQ3" s="22" t="n">
        <v>1200</v>
      </c>
      <c r="AR3" s="22" t="n">
        <v>340</v>
      </c>
      <c r="AS3" s="16" t="inlineStr">
        <is>
          <t>Yes</t>
        </is>
      </c>
      <c r="AT3" s="22" t="n">
        <v>20</v>
      </c>
      <c r="AU3" s="22" t="n">
        <v>30</v>
      </c>
      <c r="AV3" s="22" t="n">
        <v>50</v>
      </c>
      <c r="AW3" s="18">
        <f>IF(OR(O3="",AV3=""),"",O3*AV3)</f>
        <v/>
      </c>
      <c r="AX3" s="16" t="inlineStr">
        <is>
          <t>15g, 3 x 4 cm</t>
        </is>
      </c>
      <c r="AY3" s="16" t="inlineStr">
        <is>
          <t>Low</t>
        </is>
      </c>
      <c r="AZ3" s="16" t="inlineStr">
        <is>
          <t>Easy</t>
        </is>
      </c>
      <c r="BA3" s="16" t="inlineStr">
        <is>
          <t>Low</t>
        </is>
      </c>
      <c r="BB3" s="16" t="inlineStr">
        <is>
          <t>No</t>
        </is>
      </c>
      <c r="BC3" s="18" t="n">
        <v>650</v>
      </c>
      <c r="BD3" s="16" t="inlineStr">
        <is>
          <t>Low</t>
        </is>
      </c>
      <c r="BE3" s="16">
        <f>IF(C3="","",IF(AND(ISNUMBER(P3),P3&gt;MAX_PRICE),"Price too high",IF(AND(ISNUMBER(AB3),AB3&lt;=2),"Quality risk",IF(AND(ISNUMBER(U3),U3&lt;=2),"Aesthetic mismatch",IF(AY3="High","Too fragile",IF(AND(ISNUMBER(R3),R3&lt;LOW_PROFIT_PCT),"Low profit",IF(AND(ISNUMBER(AT3),AT3&gt;MOQ_WARNING),"MOQ too high",IF(OR(AD3="Maybe",AD3="Price Review"),"Needs partner review",IF(AD3="Buy","Good candidate","")))))))))</f>
        <v/>
      </c>
      <c r="BF3" s="16" t="inlineStr">
        <is>
          <t>Approved - Not Ordered</t>
        </is>
      </c>
      <c r="BG3" s="16" t="inlineStr">
        <is>
          <t>Yes</t>
        </is>
      </c>
      <c r="BH3" s="16" t="inlineStr">
        <is>
          <t>Yes</t>
        </is>
      </c>
      <c r="BI3" s="16" t="inlineStr">
        <is>
          <t>Yes</t>
        </is>
      </c>
      <c r="BJ3" s="16" t="inlineStr">
        <is>
          <t>Yes</t>
        </is>
      </c>
      <c r="BK3" s="16" t="inlineStr">
        <is>
          <t>Yes</t>
        </is>
      </c>
      <c r="BL3" s="16">
        <f>IF(C3="","",IF(AND(BG3="Yes",BH3="Yes",BI3="Yes",BJ3="Yes",BK3="Yes"),"Yes","No"))</f>
        <v/>
      </c>
      <c r="BM3" s="18" t="n"/>
      <c r="BN3" s="18" t="n"/>
      <c r="BO3" s="18">
        <f>IF(OR(BM3="",BN3=""),"",BM3+BN3)</f>
        <v/>
      </c>
      <c r="BP3" s="18" t="n"/>
      <c r="BQ3" s="18">
        <f>IF(OR(BP3="",BO3=""),"",BP3-BO3)</f>
        <v/>
      </c>
      <c r="BR3" s="19">
        <f>IF(OR(BP3="",BP3=0,BQ3=""),"",BQ3/BP3)</f>
        <v/>
      </c>
      <c r="BS3" s="17" t="n"/>
      <c r="BT3" s="22" t="n"/>
      <c r="BU3" s="22" t="n"/>
      <c r="BV3" s="16" t="inlineStr">
        <is>
          <t>Not Arrived</t>
        </is>
      </c>
      <c r="BW3" s="16" t="n"/>
      <c r="BX3" s="22">
        <f>IF(OR(BT3="",BU3=""),"",BT3-BU3)</f>
        <v/>
      </c>
      <c r="BY3" s="16" t="inlineStr">
        <is>
          <t>Claude</t>
        </is>
      </c>
      <c r="BZ3" s="17" t="inlineStr">
        <is>
          <t>2026-06-20</t>
        </is>
      </c>
      <c r="CA3" s="16" t="inlineStr">
        <is>
          <t>Nadia</t>
        </is>
      </c>
      <c r="CB3" s="16" t="inlineStr">
        <is>
          <t>No</t>
        </is>
      </c>
    </row>
    <row r="4">
      <c r="A4" s="23">
        <f>IF(C4="","","AYN-"&amp;IFERROR(VLOOKUP(E4,CATEGORY_PREFIX_TABLE,2,FALSE),"OTH")&amp;"-"&amp;TEXT(ROW()-2,"0000"))</f>
        <v/>
      </c>
      <c r="B4" s="24" t="inlineStr">
        <is>
          <t>2026-06-21</t>
        </is>
      </c>
      <c r="C4" s="23" t="inlineStr">
        <is>
          <t>Beaded Choker Necklace</t>
        </is>
      </c>
      <c r="D4" s="23" t="inlineStr">
        <is>
          <t>drive.google.com/sample2</t>
        </is>
      </c>
      <c r="E4" s="23" t="inlineStr">
        <is>
          <t>Necklace</t>
        </is>
      </c>
      <c r="F4" s="23" t="inlineStr">
        <is>
          <t>SkyBuyBD</t>
        </is>
      </c>
      <c r="G4" s="23" t="inlineStr">
        <is>
          <t>skybuybd.com/item/sample2</t>
        </is>
      </c>
      <c r="H4" s="23" t="inlineStr">
        <is>
          <t>Skybuy Supplier 14</t>
        </is>
      </c>
      <c r="I4" s="23" t="n">
        <v>60</v>
      </c>
      <c r="J4" s="23" t="inlineStr">
        <is>
          <t>BDT</t>
        </is>
      </c>
      <c r="K4" s="25">
        <f>IF(I4="","",IF(J4="BDT",I4,IF(J4="USD",I4*USD_BDT,IF(J4="RMB",I4*RMB_BDT,""))))</f>
        <v/>
      </c>
      <c r="L4" s="25" t="n">
        <v>10</v>
      </c>
      <c r="M4" s="26" t="n"/>
      <c r="N4" s="25" t="n">
        <v>12</v>
      </c>
      <c r="O4" s="25">
        <f>IF(K4="","",K4+IFERROR(L4,0)+(K4*IF(M4="",CUSTOMS_PCT,M4))+IF(N4="",MISC_FEE,N4))</f>
        <v/>
      </c>
      <c r="P4" s="25">
        <f>IF(O4="","",ROUND(O4*(1+MARKUP_PCT),-1)-1)</f>
        <v/>
      </c>
      <c r="Q4" s="25">
        <f>IF(P4="","",P4-O4)</f>
        <v/>
      </c>
      <c r="R4" s="26">
        <f>IF(OR(P4="",P4=0),"",Q4/P4)</f>
        <v/>
      </c>
      <c r="S4" s="23" t="n">
        <v>5</v>
      </c>
      <c r="T4" s="23" t="n">
        <v>4</v>
      </c>
      <c r="U4" s="23" t="n">
        <v>5</v>
      </c>
      <c r="V4" s="23" t="n">
        <v>4</v>
      </c>
      <c r="W4" s="23" t="n">
        <v>4</v>
      </c>
      <c r="X4" s="23" t="n">
        <v>4</v>
      </c>
      <c r="Y4" s="23" t="n">
        <v>4</v>
      </c>
      <c r="Z4" s="23" t="n">
        <v>5</v>
      </c>
      <c r="AA4" s="23" t="n">
        <v>4</v>
      </c>
      <c r="AB4" s="23" t="n">
        <v>2</v>
      </c>
      <c r="AC4" s="27">
        <f>IF(COUNT(S4:AB4)&lt;10,"",(S4*W_FEMININE+T4*W_TREND+U4*W_AESTHETIC+V4*W_STYLE+W4*W_LIGHT+X4*W_REELS+Y4*W_GIFT+Z4*W_PRICEFIT+AA4*W_DEMAND+AB4*W_QUALITY)/5*100)</f>
        <v/>
      </c>
      <c r="AD4" s="23">
        <f>IF(P4="","",IF(P4&gt;HARD_REJECT_PRICE,"Reject",IF(P4&gt;MAX_PRICE,"Price Review",IF(AC4="","",IF(AND(AC4&gt;=BUY_THRESHOLD,OR(AB4&lt;=2,U4&lt;=2)),"Maybe",IF(AC4&gt;=BUY_THRESHOLD,"Buy",IF(AC4&gt;=MAYBE_THRESHOLD,"Maybe","Reject")))))))</f>
        <v/>
      </c>
      <c r="AE4" s="23" t="inlineStr">
        <is>
          <t>Gorgeous and on-trend, but beads chip easily in transit — quality/return risk caps this at Maybe.</t>
        </is>
      </c>
      <c r="AF4" s="23" t="inlineStr">
        <is>
          <t>Try-on reel layering 3 chokers.</t>
        </is>
      </c>
      <c r="AG4" s="23" t="inlineStr">
        <is>
          <t>Pending</t>
        </is>
      </c>
      <c r="AH4" s="23" t="n"/>
      <c r="AI4" s="24" t="n"/>
      <c r="AJ4">
        <f>IF(AC4="",-9999-ROW()*0.0000001,AC4-ROW()*0.0000001)</f>
        <v/>
      </c>
      <c r="AK4">
        <f>IF(OR(AC4="",P4="",P4&gt;MAX_PRICE),-9999-ROW()*0.0000001,AC4-ROW()*0.0000001)</f>
        <v/>
      </c>
      <c r="AL4">
        <f>IF(AC4="",-9999-ROW()*0.0000001,X4*1000+AC4-ROW()*0.0000001)</f>
        <v/>
      </c>
      <c r="AM4">
        <f>IF(AC4="",-9999-ROW()*0.0000001,Y4*1000+AC4-ROW()*0.0000001)</f>
        <v/>
      </c>
      <c r="AN4">
        <f>IF(AND(OR(AD4="Maybe",AD4="Price Review"),AG4&lt;&gt;"Approved",AG4&lt;&gt;"Rejected"),IF(AC4="",0,AC4)-ROW()*0.0000001,-9999-ROW()*0.0000001)</f>
        <v/>
      </c>
      <c r="AO4" s="28" t="n">
        <v>4.3</v>
      </c>
      <c r="AP4" s="28" t="n">
        <v>4.1</v>
      </c>
      <c r="AQ4" s="29" t="n">
        <v>650</v>
      </c>
      <c r="AR4" s="29" t="n">
        <v>180</v>
      </c>
      <c r="AS4" s="23" t="inlineStr">
        <is>
          <t>Yes</t>
        </is>
      </c>
      <c r="AT4" s="29" t="n">
        <v>30</v>
      </c>
      <c r="AU4" s="29" t="n">
        <v>20</v>
      </c>
      <c r="AV4" s="29" t="n"/>
      <c r="AW4" s="25">
        <f>IF(OR(O4="",AV4=""),"",O4*AV4)</f>
        <v/>
      </c>
      <c r="AX4" s="23" t="inlineStr">
        <is>
          <t>25g, one size</t>
        </is>
      </c>
      <c r="AY4" s="23" t="inlineStr">
        <is>
          <t>Medium</t>
        </is>
      </c>
      <c r="AZ4" s="23" t="inlineStr">
        <is>
          <t>Medium</t>
        </is>
      </c>
      <c r="BA4" s="23" t="inlineStr">
        <is>
          <t>Medium</t>
        </is>
      </c>
      <c r="BB4" s="23" t="inlineStr">
        <is>
          <t>Yes</t>
        </is>
      </c>
      <c r="BC4" s="25" t="n">
        <v>80</v>
      </c>
      <c r="BD4" s="23" t="inlineStr">
        <is>
          <t>Medium</t>
        </is>
      </c>
      <c r="BE4" s="23">
        <f>IF(C4="","",IF(AND(ISNUMBER(P4),P4&gt;MAX_PRICE),"Price too high",IF(AND(ISNUMBER(AB4),AB4&lt;=2),"Quality risk",IF(AND(ISNUMBER(U4),U4&lt;=2),"Aesthetic mismatch",IF(AY4="High","Too fragile",IF(AND(ISNUMBER(R4),R4&lt;LOW_PROFIT_PCT),"Low profit",IF(AND(ISNUMBER(AT4),AT4&gt;MOQ_WARNING),"MOQ too high",IF(OR(AD4="Maybe",AD4="Price Review"),"Needs partner review",IF(AD4="Buy","Good candidate","")))))))))</f>
        <v/>
      </c>
      <c r="BF4" s="23" t="inlineStr">
        <is>
          <t>Sample Ordered</t>
        </is>
      </c>
      <c r="BG4" s="23" t="n"/>
      <c r="BH4" s="23" t="n"/>
      <c r="BI4" s="23" t="n"/>
      <c r="BJ4" s="23" t="n"/>
      <c r="BK4" s="23" t="n"/>
      <c r="BL4" s="23">
        <f>IF(C4="","",IF(AND(BG4="Yes",BH4="Yes",BI4="Yes",BJ4="Yes",BK4="Yes"),"Yes","No"))</f>
        <v/>
      </c>
      <c r="BM4" s="25" t="n"/>
      <c r="BN4" s="25" t="n"/>
      <c r="BO4" s="25">
        <f>IF(OR(BM4="",BN4=""),"",BM4+BN4)</f>
        <v/>
      </c>
      <c r="BP4" s="25" t="n"/>
      <c r="BQ4" s="25">
        <f>IF(OR(BP4="",BO4=""),"",BP4-BO4)</f>
        <v/>
      </c>
      <c r="BR4" s="26">
        <f>IF(OR(BP4="",BP4=0,BQ4=""),"",BQ4/BP4)</f>
        <v/>
      </c>
      <c r="BS4" s="24" t="n"/>
      <c r="BT4" s="29" t="n"/>
      <c r="BU4" s="29" t="n"/>
      <c r="BV4" s="23" t="inlineStr">
        <is>
          <t>Not Arrived</t>
        </is>
      </c>
      <c r="BW4" s="23" t="n"/>
      <c r="BX4" s="29">
        <f>IF(OR(BT4="",BU4=""),"",BT4-BU4)</f>
        <v/>
      </c>
      <c r="BY4" s="23" t="inlineStr">
        <is>
          <t>ChatGPT</t>
        </is>
      </c>
      <c r="BZ4" s="24" t="inlineStr">
        <is>
          <t>2026-06-21</t>
        </is>
      </c>
      <c r="CA4" s="23" t="inlineStr">
        <is>
          <t>Imran</t>
        </is>
      </c>
      <c r="CB4" s="23" t="inlineStr">
        <is>
          <t>Yes</t>
        </is>
      </c>
    </row>
    <row r="5">
      <c r="A5" s="16">
        <f>IF(C5="","","AYN-"&amp;IFERROR(VLOOKUP(E5,CATEGORY_PREFIX_TABLE,2,FALSE),"OTH")&amp;"-"&amp;TEXT(ROW()-2,"0000"))</f>
        <v/>
      </c>
      <c r="B5" s="17" t="inlineStr">
        <is>
          <t>2026-06-21</t>
        </is>
      </c>
      <c r="C5" s="16" t="inlineStr">
        <is>
          <t>Plain Plastic Hair Clip</t>
        </is>
      </c>
      <c r="D5" s="16" t="inlineStr">
        <is>
          <t>drive.google.com/sample3</t>
        </is>
      </c>
      <c r="E5" s="16" t="inlineStr">
        <is>
          <t>Hair Accessory</t>
        </is>
      </c>
      <c r="F5" s="16" t="inlineStr">
        <is>
          <t>1688</t>
        </is>
      </c>
      <c r="G5" s="16" t="inlineStr">
        <is>
          <t>1688.com/item/sample3</t>
        </is>
      </c>
      <c r="H5" s="16" t="inlineStr">
        <is>
          <t>Generic Factory 8</t>
        </is>
      </c>
      <c r="I5" s="16" t="n">
        <v>25</v>
      </c>
      <c r="J5" s="16" t="inlineStr">
        <is>
          <t>BDT</t>
        </is>
      </c>
      <c r="K5" s="18">
        <f>IF(I5="","",IF(J5="BDT",I5,IF(J5="USD",I5*USD_BDT,IF(J5="RMB",I5*RMB_BDT,""))))</f>
        <v/>
      </c>
      <c r="L5" s="18" t="n">
        <v>8</v>
      </c>
      <c r="M5" s="19" t="n"/>
      <c r="N5" s="18" t="n">
        <v>10</v>
      </c>
      <c r="O5" s="18">
        <f>IF(K5="","",K5+IFERROR(L5,0)+(K5*IF(M5="",CUSTOMS_PCT,M5))+IF(N5="",MISC_FEE,N5))</f>
        <v/>
      </c>
      <c r="P5" s="18">
        <f>IF(O5="","",ROUND(O5*(1+MARKUP_PCT),-1)-1)</f>
        <v/>
      </c>
      <c r="Q5" s="18">
        <f>IF(P5="","",P5-O5)</f>
        <v/>
      </c>
      <c r="R5" s="19">
        <f>IF(OR(P5="",P5=0),"",Q5/P5)</f>
        <v/>
      </c>
      <c r="S5" s="16" t="n">
        <v>2</v>
      </c>
      <c r="T5" s="16" t="n">
        <v>2</v>
      </c>
      <c r="U5" s="16" t="n">
        <v>2</v>
      </c>
      <c r="V5" s="16" t="n">
        <v>3</v>
      </c>
      <c r="W5" s="16" t="n">
        <v>3</v>
      </c>
      <c r="X5" s="16" t="n">
        <v>2</v>
      </c>
      <c r="Y5" s="16" t="n">
        <v>2</v>
      </c>
      <c r="Z5" s="16" t="n">
        <v>4</v>
      </c>
      <c r="AA5" s="16" t="n">
        <v>2</v>
      </c>
      <c r="AB5" s="16" t="n">
        <v>3</v>
      </c>
      <c r="AC5" s="20">
        <f>IF(COUNT(S5:AB5)&lt;10,"",(S5*W_FEMININE+T5*W_TREND+U5*W_AESTHETIC+V5*W_STYLE+W5*W_LIGHT+X5*W_REELS+Y5*W_GIFT+Z5*W_PRICEFIT+AA5*W_DEMAND+AB5*W_QUALITY)/5*100)</f>
        <v/>
      </c>
      <c r="AD5" s="16">
        <f>IF(P5="","",IF(P5&gt;HARD_REJECT_PRICE,"Reject",IF(P5&gt;MAX_PRICE,"Price Review",IF(AC5="","",IF(AND(AC5&gt;=BUY_THRESHOLD,OR(AB5&lt;=2,U5&lt;=2)),"Maybe",IF(AC5&gt;=BUY_THRESHOLD,"Buy",IF(AC5&gt;=MAYBE_THRESHOLD,"Maybe","Reject")))))))</f>
        <v/>
      </c>
      <c r="AE5" s="16" t="inlineStr">
        <is>
          <t>Generic look, low trend/demand/aesthetic fit — total score too low to justify stocking.</t>
        </is>
      </c>
      <c r="AF5" s="16" t="inlineStr"/>
      <c r="AG5" s="16" t="inlineStr">
        <is>
          <t>Rejected</t>
        </is>
      </c>
      <c r="AH5" s="16" t="n"/>
      <c r="AI5" s="17" t="n"/>
      <c r="AJ5">
        <f>IF(AC5="",-9999-ROW()*0.0000001,AC5-ROW()*0.0000001)</f>
        <v/>
      </c>
      <c r="AK5">
        <f>IF(OR(AC5="",P5="",P5&gt;MAX_PRICE),-9999-ROW()*0.0000001,AC5-ROW()*0.0000001)</f>
        <v/>
      </c>
      <c r="AL5">
        <f>IF(AC5="",-9999-ROW()*0.0000001,X5*1000+AC5-ROW()*0.0000001)</f>
        <v/>
      </c>
      <c r="AM5">
        <f>IF(AC5="",-9999-ROW()*0.0000001,Y5*1000+AC5-ROW()*0.0000001)</f>
        <v/>
      </c>
      <c r="AN5">
        <f>IF(AND(OR(AD5="Maybe",AD5="Price Review"),AG5&lt;&gt;"Approved",AG5&lt;&gt;"Rejected"),IF(AC5="",0,AC5)-ROW()*0.0000001,-9999-ROW()*0.0000001)</f>
        <v/>
      </c>
      <c r="AO5" s="21" t="n">
        <v>3.2</v>
      </c>
      <c r="AP5" s="21" t="n">
        <v>3</v>
      </c>
      <c r="AQ5" s="22" t="n">
        <v>2200</v>
      </c>
      <c r="AR5" s="22" t="n">
        <v>90</v>
      </c>
      <c r="AS5" s="16" t="inlineStr">
        <is>
          <t>No</t>
        </is>
      </c>
      <c r="AT5" s="22" t="n">
        <v>80</v>
      </c>
      <c r="AU5" s="22" t="n"/>
      <c r="AV5" s="22" t="n"/>
      <c r="AW5" s="18">
        <f>IF(OR(O5="",AV5=""),"",O5*AV5)</f>
        <v/>
      </c>
      <c r="AX5" s="16" t="inlineStr">
        <is>
          <t>5g, 6 cm clip</t>
        </is>
      </c>
      <c r="AY5" s="16" t="inlineStr">
        <is>
          <t>Low</t>
        </is>
      </c>
      <c r="AZ5" s="16" t="inlineStr">
        <is>
          <t>Easy</t>
        </is>
      </c>
      <c r="BA5" s="16" t="inlineStr">
        <is>
          <t>Low</t>
        </is>
      </c>
      <c r="BB5" s="16" t="inlineStr">
        <is>
          <t>Yes</t>
        </is>
      </c>
      <c r="BC5" s="18" t="n">
        <v>15</v>
      </c>
      <c r="BD5" s="16" t="inlineStr">
        <is>
          <t>High</t>
        </is>
      </c>
      <c r="BE5" s="16">
        <f>IF(C5="","",IF(AND(ISNUMBER(P5),P5&gt;MAX_PRICE),"Price too high",IF(AND(ISNUMBER(AB5),AB5&lt;=2),"Quality risk",IF(AND(ISNUMBER(U5),U5&lt;=2),"Aesthetic mismatch",IF(AY5="High","Too fragile",IF(AND(ISNUMBER(R5),R5&lt;LOW_PROFIT_PCT),"Low profit",IF(AND(ISNUMBER(AT5),AT5&gt;MOQ_WARNING),"MOQ too high",IF(OR(AD5="Maybe",AD5="Price Review"),"Needs partner review",IF(AD5="Buy","Good candidate","")))))))))</f>
        <v/>
      </c>
      <c r="BF5" s="16" t="inlineStr">
        <is>
          <t>Not Started</t>
        </is>
      </c>
      <c r="BG5" s="16" t="n"/>
      <c r="BH5" s="16" t="n"/>
      <c r="BI5" s="16" t="n"/>
      <c r="BJ5" s="16" t="n"/>
      <c r="BK5" s="16" t="n"/>
      <c r="BL5" s="16">
        <f>IF(C5="","",IF(AND(BG5="Yes",BH5="Yes",BI5="Yes",BJ5="Yes",BK5="Yes"),"Yes","No"))</f>
        <v/>
      </c>
      <c r="BM5" s="18" t="n"/>
      <c r="BN5" s="18" t="n"/>
      <c r="BO5" s="18">
        <f>IF(OR(BM5="",BN5=""),"",BM5+BN5)</f>
        <v/>
      </c>
      <c r="BP5" s="18" t="n"/>
      <c r="BQ5" s="18">
        <f>IF(OR(BP5="",BO5=""),"",BP5-BO5)</f>
        <v/>
      </c>
      <c r="BR5" s="19">
        <f>IF(OR(BP5="",BP5=0,BQ5=""),"",BQ5/BP5)</f>
        <v/>
      </c>
      <c r="BS5" s="17" t="n"/>
      <c r="BT5" s="22" t="n"/>
      <c r="BU5" s="22" t="n"/>
      <c r="BV5" s="16" t="inlineStr">
        <is>
          <t>Not Arrived</t>
        </is>
      </c>
      <c r="BW5" s="16" t="n"/>
      <c r="BX5" s="22">
        <f>IF(OR(BT5="",BU5=""),"",BT5-BU5)</f>
        <v/>
      </c>
      <c r="BY5" s="16" t="inlineStr">
        <is>
          <t>Claude</t>
        </is>
      </c>
      <c r="BZ5" s="17" t="inlineStr">
        <is>
          <t>2026-06-21</t>
        </is>
      </c>
      <c r="CA5" s="16" t="inlineStr">
        <is>
          <t>Nadia</t>
        </is>
      </c>
      <c r="CB5" s="16" t="inlineStr">
        <is>
          <t>No</t>
        </is>
      </c>
    </row>
    <row r="6">
      <c r="A6" s="23">
        <f>IF(C6="","","AYN-"&amp;IFERROR(VLOOKUP(E6,CATEGORY_PREFIX_TABLE,2,FALSE),"OTH")&amp;"-"&amp;TEXT(ROW()-2,"0000"))</f>
        <v/>
      </c>
      <c r="B6" s="24" t="inlineStr">
        <is>
          <t>2026-06-22</t>
        </is>
      </c>
      <c r="C6" s="23" t="inlineStr">
        <is>
          <t>Embroidered Tote Bag</t>
        </is>
      </c>
      <c r="D6" s="23" t="inlineStr">
        <is>
          <t>drive.google.com/sample4</t>
        </is>
      </c>
      <c r="E6" s="23" t="inlineStr">
        <is>
          <t>Bag</t>
        </is>
      </c>
      <c r="F6" s="23" t="inlineStr">
        <is>
          <t>AliExpress</t>
        </is>
      </c>
      <c r="G6" s="23" t="inlineStr">
        <is>
          <t>aliexpress.com/item/sample4</t>
        </is>
      </c>
      <c r="H6" s="23" t="inlineStr">
        <is>
          <t>Lin Wei Trading</t>
        </is>
      </c>
      <c r="I6" s="23" t="n">
        <v>300</v>
      </c>
      <c r="J6" s="23" t="inlineStr">
        <is>
          <t>BDT</t>
        </is>
      </c>
      <c r="K6" s="25">
        <f>IF(I6="","",IF(J6="BDT",I6,IF(J6="USD",I6*USD_BDT,IF(J6="RMB",I6*RMB_BDT,""))))</f>
        <v/>
      </c>
      <c r="L6" s="25" t="n">
        <v>40</v>
      </c>
      <c r="M6" s="26" t="n"/>
      <c r="N6" s="25" t="n">
        <v>15</v>
      </c>
      <c r="O6" s="25">
        <f>IF(K6="","",K6+IFERROR(L6,0)+(K6*IF(M6="",CUSTOMS_PCT,M6))+IF(N6="",MISC_FEE,N6))</f>
        <v/>
      </c>
      <c r="P6" s="25">
        <f>IF(O6="","",ROUND(O6*(1+MARKUP_PCT),-1)-1)</f>
        <v/>
      </c>
      <c r="Q6" s="25">
        <f>IF(P6="","",P6-O6)</f>
        <v/>
      </c>
      <c r="R6" s="26">
        <f>IF(OR(P6="",P6=0),"",Q6/P6)</f>
        <v/>
      </c>
      <c r="S6" s="23" t="n">
        <v>4</v>
      </c>
      <c r="T6" s="23" t="n">
        <v>4</v>
      </c>
      <c r="U6" s="23" t="n">
        <v>4</v>
      </c>
      <c r="V6" s="23" t="n">
        <v>3</v>
      </c>
      <c r="W6" s="23" t="n">
        <v>3</v>
      </c>
      <c r="X6" s="23" t="n">
        <v>3</v>
      </c>
      <c r="Y6" s="23" t="n">
        <v>4</v>
      </c>
      <c r="Z6" s="23" t="n">
        <v>2</v>
      </c>
      <c r="AA6" s="23" t="n">
        <v>4</v>
      </c>
      <c r="AB6" s="23" t="n">
        <v>4</v>
      </c>
      <c r="AC6" s="27">
        <f>IF(COUNT(S6:AB6)&lt;10,"",(S6*W_FEMININE+T6*W_TREND+U6*W_AESTHETIC+V6*W_STYLE+W6*W_LIGHT+X6*W_REELS+Y6*W_GIFT+Z6*W_PRICEFIT+AA6*W_DEMAND+AB6*W_QUALITY)/5*100)</f>
        <v/>
      </c>
      <c r="AD6" s="23">
        <f>IF(P6="","",IF(P6&gt;HARD_REJECT_PRICE,"Reject",IF(P6&gt;MAX_PRICE,"Price Review",IF(AC6="","",IF(AND(AC6&gt;=BUY_THRESHOLD,OR(AB6&lt;=2,U6&lt;=2)),"Maybe",IF(AC6&gt;=BUY_THRESHOLD,"Buy",IF(AC6&gt;=MAYBE_THRESHOLD,"Maybe","Reject")))))))</f>
        <v/>
      </c>
      <c r="AE6" s="23" t="inlineStr">
        <is>
          <t>Lovely design, but landed cost pushes selling price over 700 — needs supplier price negotiation.</t>
        </is>
      </c>
      <c r="AF6" s="23" t="inlineStr">
        <is>
          <t>Flatlay reel with 3 outfit pairings.</t>
        </is>
      </c>
      <c r="AG6" s="23" t="inlineStr">
        <is>
          <t>Pending</t>
        </is>
      </c>
      <c r="AH6" s="23" t="n"/>
      <c r="AI6" s="24" t="n"/>
      <c r="AJ6">
        <f>IF(AC6="",-9999-ROW()*0.0000001,AC6-ROW()*0.0000001)</f>
        <v/>
      </c>
      <c r="AK6">
        <f>IF(OR(AC6="",P6="",P6&gt;MAX_PRICE),-9999-ROW()*0.0000001,AC6-ROW()*0.0000001)</f>
        <v/>
      </c>
      <c r="AL6">
        <f>IF(AC6="",-9999-ROW()*0.0000001,X6*1000+AC6-ROW()*0.0000001)</f>
        <v/>
      </c>
      <c r="AM6">
        <f>IF(AC6="",-9999-ROW()*0.0000001,Y6*1000+AC6-ROW()*0.0000001)</f>
        <v/>
      </c>
      <c r="AN6">
        <f>IF(AND(OR(AD6="Maybe",AD6="Price Review"),AG6&lt;&gt;"Approved",AG6&lt;&gt;"Rejected"),IF(AC6="",0,AC6)-ROW()*0.0000001,-9999-ROW()*0.0000001)</f>
        <v/>
      </c>
      <c r="AO6" s="28" t="n">
        <v>4.5</v>
      </c>
      <c r="AP6" s="28" t="n">
        <v>4.2</v>
      </c>
      <c r="AQ6" s="29" t="n">
        <v>300</v>
      </c>
      <c r="AR6" s="29" t="n">
        <v>75</v>
      </c>
      <c r="AS6" s="23" t="inlineStr">
        <is>
          <t>Yes</t>
        </is>
      </c>
      <c r="AT6" s="29" t="n">
        <v>40</v>
      </c>
      <c r="AU6" s="29" t="n">
        <v>15</v>
      </c>
      <c r="AV6" s="29" t="n"/>
      <c r="AW6" s="25">
        <f>IF(OR(O6="",AV6=""),"",O6*AV6)</f>
        <v/>
      </c>
      <c r="AX6" s="23" t="inlineStr">
        <is>
          <t>320g, 30 x 35 cm</t>
        </is>
      </c>
      <c r="AY6" s="23" t="inlineStr">
        <is>
          <t>Low</t>
        </is>
      </c>
      <c r="AZ6" s="23" t="inlineStr">
        <is>
          <t>Medium</t>
        </is>
      </c>
      <c r="BA6" s="23" t="inlineStr">
        <is>
          <t>Medium</t>
        </is>
      </c>
      <c r="BB6" s="23" t="inlineStr">
        <is>
          <t>No</t>
        </is>
      </c>
      <c r="BC6" s="25" t="n">
        <v>720</v>
      </c>
      <c r="BD6" s="23" t="inlineStr">
        <is>
          <t>Low</t>
        </is>
      </c>
      <c r="BE6" s="23">
        <f>IF(C6="","",IF(AND(ISNUMBER(P6),P6&gt;MAX_PRICE),"Price too high",IF(AND(ISNUMBER(AB6),AB6&lt;=2),"Quality risk",IF(AND(ISNUMBER(U6),U6&lt;=2),"Aesthetic mismatch",IF(AY6="High","Too fragile",IF(AND(ISNUMBER(R6),R6&lt;LOW_PROFIT_PCT),"Low profit",IF(AND(ISNUMBER(AT6),AT6&gt;MOQ_WARNING),"MOQ too high",IF(OR(AD6="Maybe",AD6="Price Review"),"Needs partner review",IF(AD6="Buy","Good candidate","")))))))))</f>
        <v/>
      </c>
      <c r="BF6" s="23" t="inlineStr">
        <is>
          <t>Sourcing</t>
        </is>
      </c>
      <c r="BG6" s="23" t="inlineStr">
        <is>
          <t>Yes</t>
        </is>
      </c>
      <c r="BH6" s="23" t="inlineStr">
        <is>
          <t>Yes</t>
        </is>
      </c>
      <c r="BI6" s="23" t="n"/>
      <c r="BJ6" s="23" t="n"/>
      <c r="BK6" s="23" t="n"/>
      <c r="BL6" s="23">
        <f>IF(C6="","",IF(AND(BG6="Yes",BH6="Yes",BI6="Yes",BJ6="Yes",BK6="Yes"),"Yes","No"))</f>
        <v/>
      </c>
      <c r="BM6" s="25" t="n"/>
      <c r="BN6" s="25" t="n"/>
      <c r="BO6" s="25">
        <f>IF(OR(BM6="",BN6=""),"",BM6+BN6)</f>
        <v/>
      </c>
      <c r="BP6" s="25" t="n"/>
      <c r="BQ6" s="25">
        <f>IF(OR(BP6="",BO6=""),"",BP6-BO6)</f>
        <v/>
      </c>
      <c r="BR6" s="26">
        <f>IF(OR(BP6="",BP6=0,BQ6=""),"",BQ6/BP6)</f>
        <v/>
      </c>
      <c r="BS6" s="24" t="n"/>
      <c r="BT6" s="29" t="n"/>
      <c r="BU6" s="29" t="n"/>
      <c r="BV6" s="23" t="inlineStr">
        <is>
          <t>Not Arrived</t>
        </is>
      </c>
      <c r="BW6" s="23" t="n"/>
      <c r="BX6" s="29">
        <f>IF(OR(BT6="",BU6=""),"",BT6-BU6)</f>
        <v/>
      </c>
      <c r="BY6" s="23" t="inlineStr">
        <is>
          <t>Gemini</t>
        </is>
      </c>
      <c r="BZ6" s="24" t="inlineStr">
        <is>
          <t>2026-06-22</t>
        </is>
      </c>
      <c r="CA6" s="23" t="inlineStr">
        <is>
          <t>Imran</t>
        </is>
      </c>
      <c r="CB6" s="23" t="inlineStr">
        <is>
          <t>No</t>
        </is>
      </c>
    </row>
    <row r="7">
      <c r="A7" s="16">
        <f>IF(C7="","","AYN-"&amp;IFERROR(VLOOKUP(E7,CATEGORY_PREFIX_TABLE,2,FALSE),"OTH")&amp;"-"&amp;TEXT(ROW()-2,"0000"))</f>
        <v/>
      </c>
      <c r="B7" s="17" t="inlineStr">
        <is>
          <t>2026-06-22</t>
        </is>
      </c>
      <c r="C7" s="16" t="inlineStr">
        <is>
          <t>Designer-Inspired Sunglasses</t>
        </is>
      </c>
      <c r="D7" s="16" t="inlineStr">
        <is>
          <t>drive.google.com/sample5</t>
        </is>
      </c>
      <c r="E7" s="16" t="inlineStr">
        <is>
          <t>Sunglasses</t>
        </is>
      </c>
      <c r="F7" s="16" t="inlineStr">
        <is>
          <t>AliExpress</t>
        </is>
      </c>
      <c r="G7" s="16" t="inlineStr">
        <is>
          <t>aliexpress.com/item/sample5</t>
        </is>
      </c>
      <c r="H7" s="16" t="inlineStr">
        <is>
          <t>Guangzhou Eyewear Co</t>
        </is>
      </c>
      <c r="I7" s="16" t="n">
        <v>15</v>
      </c>
      <c r="J7" s="16" t="inlineStr">
        <is>
          <t>USD</t>
        </is>
      </c>
      <c r="K7" s="18">
        <f>IF(I7="","",IF(J7="BDT",I7,IF(J7="USD",I7*USD_BDT,IF(J7="RMB",I7*RMB_BDT,""))))</f>
        <v/>
      </c>
      <c r="L7" s="18" t="n">
        <v>50</v>
      </c>
      <c r="M7" s="19" t="n"/>
      <c r="N7" s="18" t="n">
        <v>15</v>
      </c>
      <c r="O7" s="18">
        <f>IF(K7="","",K7+IFERROR(L7,0)+(K7*IF(M7="",CUSTOMS_PCT,M7))+IF(N7="",MISC_FEE,N7))</f>
        <v/>
      </c>
      <c r="P7" s="18">
        <f>IF(O7="","",ROUND(O7*(1+MARKUP_PCT),-1)-1)</f>
        <v/>
      </c>
      <c r="Q7" s="18">
        <f>IF(P7="","",P7-O7)</f>
        <v/>
      </c>
      <c r="R7" s="19">
        <f>IF(OR(P7="",P7=0),"",Q7/P7)</f>
        <v/>
      </c>
      <c r="S7" s="16" t="n"/>
      <c r="T7" s="16" t="n"/>
      <c r="U7" s="16" t="n"/>
      <c r="V7" s="16" t="n"/>
      <c r="W7" s="16" t="n"/>
      <c r="X7" s="16" t="n"/>
      <c r="Y7" s="16" t="n"/>
      <c r="Z7" s="16" t="n"/>
      <c r="AA7" s="16" t="n"/>
      <c r="AB7" s="16" t="n"/>
      <c r="AC7" s="20">
        <f>IF(COUNT(S7:AB7)&lt;10,"",(S7*W_FEMININE+T7*W_TREND+U7*W_AESTHETIC+V7*W_STYLE+W7*W_LIGHT+X7*W_REELS+Y7*W_GIFT+Z7*W_PRICEFIT+AA7*W_DEMAND+AB7*W_QUALITY)/5*100)</f>
        <v/>
      </c>
      <c r="AD7" s="16">
        <f>IF(P7="","",IF(P7&gt;HARD_REJECT_PRICE,"Reject",IF(P7&gt;MAX_PRICE,"Price Review",IF(AC7="","",IF(AND(AC7&gt;=BUY_THRESHOLD,OR(AB7&lt;=2,U7&lt;=2)),"Maybe",IF(AC7&gt;=BUY_THRESHOLD,"Buy",IF(AC7&gt;=MAYBE_THRESHOLD,"Maybe","Reject")))))))</f>
        <v/>
      </c>
      <c r="AE7" s="16" t="inlineStr">
        <is>
          <t>Cost alone puts this far above our price ceiling even before scoring — auto-rejected.</t>
        </is>
      </c>
      <c r="AF7" s="16" t="inlineStr"/>
      <c r="AG7" s="16" t="inlineStr">
        <is>
          <t>Rejected</t>
        </is>
      </c>
      <c r="AH7" s="16" t="n"/>
      <c r="AI7" s="17" t="n"/>
      <c r="AJ7">
        <f>IF(AC7="",-9999-ROW()*0.0000001,AC7-ROW()*0.0000001)</f>
        <v/>
      </c>
      <c r="AK7">
        <f>IF(OR(AC7="",P7="",P7&gt;MAX_PRICE),-9999-ROW()*0.0000001,AC7-ROW()*0.0000001)</f>
        <v/>
      </c>
      <c r="AL7">
        <f>IF(AC7="",-9999-ROW()*0.0000001,X7*1000+AC7-ROW()*0.0000001)</f>
        <v/>
      </c>
      <c r="AM7">
        <f>IF(AC7="",-9999-ROW()*0.0000001,Y7*1000+AC7-ROW()*0.0000001)</f>
        <v/>
      </c>
      <c r="AN7">
        <f>IF(AND(OR(AD7="Maybe",AD7="Price Review"),AG7&lt;&gt;"Approved",AG7&lt;&gt;"Rejected"),IF(AC7="",0,AC7)-ROW()*0.0000001,-9999-ROW()*0.0000001)</f>
        <v/>
      </c>
      <c r="AO7" s="21" t="n">
        <v>3.8</v>
      </c>
      <c r="AP7" s="21" t="n">
        <v>3.5</v>
      </c>
      <c r="AQ7" s="22" t="n">
        <v>900</v>
      </c>
      <c r="AR7" s="22" t="n">
        <v>210</v>
      </c>
      <c r="AS7" s="16" t="inlineStr">
        <is>
          <t>No</t>
        </is>
      </c>
      <c r="AT7" s="22" t="n">
        <v>60</v>
      </c>
      <c r="AU7" s="22" t="n"/>
      <c r="AV7" s="22" t="n"/>
      <c r="AW7" s="18">
        <f>IF(OR(O7="",AV7=""),"",O7*AV7)</f>
        <v/>
      </c>
      <c r="AX7" s="16" t="inlineStr">
        <is>
          <t>28g, with case</t>
        </is>
      </c>
      <c r="AY7" s="16" t="inlineStr">
        <is>
          <t>High</t>
        </is>
      </c>
      <c r="AZ7" s="16" t="inlineStr">
        <is>
          <t>Hard</t>
        </is>
      </c>
      <c r="BA7" s="16" t="inlineStr">
        <is>
          <t>High</t>
        </is>
      </c>
      <c r="BB7" s="16" t="inlineStr">
        <is>
          <t>Yes</t>
        </is>
      </c>
      <c r="BC7" s="18" t="n">
        <v>450</v>
      </c>
      <c r="BD7" s="16" t="inlineStr">
        <is>
          <t>High</t>
        </is>
      </c>
      <c r="BE7" s="16">
        <f>IF(C7="","",IF(AND(ISNUMBER(P7),P7&gt;MAX_PRICE),"Price too high",IF(AND(ISNUMBER(AB7),AB7&lt;=2),"Quality risk",IF(AND(ISNUMBER(U7),U7&lt;=2),"Aesthetic mismatch",IF(AY7="High","Too fragile",IF(AND(ISNUMBER(R7),R7&lt;LOW_PROFIT_PCT),"Low profit",IF(AND(ISNUMBER(AT7),AT7&gt;MOQ_WARNING),"MOQ too high",IF(OR(AD7="Maybe",AD7="Price Review"),"Needs partner review",IF(AD7="Buy","Good candidate","")))))))))</f>
        <v/>
      </c>
      <c r="BF7" s="16" t="inlineStr">
        <is>
          <t>Not Started</t>
        </is>
      </c>
      <c r="BG7" s="16" t="n"/>
      <c r="BH7" s="16" t="n"/>
      <c r="BI7" s="16" t="n"/>
      <c r="BJ7" s="16" t="n"/>
      <c r="BK7" s="16" t="n"/>
      <c r="BL7" s="16">
        <f>IF(C7="","",IF(AND(BG7="Yes",BH7="Yes",BI7="Yes",BJ7="Yes",BK7="Yes"),"Yes","No"))</f>
        <v/>
      </c>
      <c r="BM7" s="18" t="n"/>
      <c r="BN7" s="18" t="n"/>
      <c r="BO7" s="18">
        <f>IF(OR(BM7="",BN7=""),"",BM7+BN7)</f>
        <v/>
      </c>
      <c r="BP7" s="18" t="n"/>
      <c r="BQ7" s="18">
        <f>IF(OR(BP7="",BO7=""),"",BP7-BO7)</f>
        <v/>
      </c>
      <c r="BR7" s="19">
        <f>IF(OR(BP7="",BP7=0,BQ7=""),"",BQ7/BP7)</f>
        <v/>
      </c>
      <c r="BS7" s="17" t="n"/>
      <c r="BT7" s="22" t="n"/>
      <c r="BU7" s="22" t="n"/>
      <c r="BV7" s="16" t="inlineStr">
        <is>
          <t>Not Arrived</t>
        </is>
      </c>
      <c r="BW7" s="16" t="n"/>
      <c r="BX7" s="22">
        <f>IF(OR(BT7="",BU7=""),"",BT7-BU7)</f>
        <v/>
      </c>
      <c r="BY7" s="16" t="inlineStr">
        <is>
          <t>ChatGPT</t>
        </is>
      </c>
      <c r="BZ7" s="17" t="inlineStr">
        <is>
          <t>2026-06-22</t>
        </is>
      </c>
      <c r="CA7" s="16" t="inlineStr">
        <is>
          <t>Nadia</t>
        </is>
      </c>
      <c r="CB7" s="16" t="inlineStr">
        <is>
          <t>No</t>
        </is>
      </c>
    </row>
    <row r="8">
      <c r="A8" s="23">
        <f>IF(C8="","","AYN-"&amp;IFERROR(VLOOKUP(E8,CATEGORY_PREFIX_TABLE,2,FALSE),"OTH")&amp;"-"&amp;TEXT(ROW()-2,"0000"))</f>
        <v/>
      </c>
      <c r="B8" s="24" t="n"/>
      <c r="C8" s="23" t="n"/>
      <c r="D8" s="23" t="n"/>
      <c r="E8" s="23" t="n"/>
      <c r="F8" s="23" t="n"/>
      <c r="G8" s="23" t="n"/>
      <c r="H8" s="23" t="n"/>
      <c r="I8" s="23" t="n"/>
      <c r="J8" s="23" t="n"/>
      <c r="K8" s="25">
        <f>IF(I8="","",IF(J8="BDT",I8,IF(J8="USD",I8*USD_BDT,IF(J8="RMB",I8*RMB_BDT,""))))</f>
        <v/>
      </c>
      <c r="L8" s="25" t="n"/>
      <c r="M8" s="26" t="n"/>
      <c r="N8" s="25" t="n"/>
      <c r="O8" s="25">
        <f>IF(K8="","",K8+IFERROR(L8,0)+(K8*IF(M8="",CUSTOMS_PCT,M8))+IF(N8="",MISC_FEE,N8))</f>
        <v/>
      </c>
      <c r="P8" s="25">
        <f>IF(O8="","",ROUND(O8*(1+MARKUP_PCT),-1)-1)</f>
        <v/>
      </c>
      <c r="Q8" s="25">
        <f>IF(P8="","",P8-O8)</f>
        <v/>
      </c>
      <c r="R8" s="26">
        <f>IF(OR(P8="",P8=0),"",Q8/P8)</f>
        <v/>
      </c>
      <c r="S8" s="23" t="n"/>
      <c r="T8" s="23" t="n"/>
      <c r="U8" s="23" t="n"/>
      <c r="V8" s="23" t="n"/>
      <c r="W8" s="23" t="n"/>
      <c r="X8" s="23" t="n"/>
      <c r="Y8" s="23" t="n"/>
      <c r="Z8" s="23" t="n"/>
      <c r="AA8" s="23" t="n"/>
      <c r="AB8" s="23" t="n"/>
      <c r="AC8" s="27">
        <f>IF(COUNT(S8:AB8)&lt;10,"",(S8*W_FEMININE+T8*W_TREND+U8*W_AESTHETIC+V8*W_STYLE+W8*W_LIGHT+X8*W_REELS+Y8*W_GIFT+Z8*W_PRICEFIT+AA8*W_DEMAND+AB8*W_QUALITY)/5*100)</f>
        <v/>
      </c>
      <c r="AD8" s="23">
        <f>IF(P8="","",IF(P8&gt;HARD_REJECT_PRICE,"Reject",IF(P8&gt;MAX_PRICE,"Price Review",IF(AC8="","",IF(AND(AC8&gt;=BUY_THRESHOLD,OR(AB8&lt;=2,U8&lt;=2)),"Maybe",IF(AC8&gt;=BUY_THRESHOLD,"Buy",IF(AC8&gt;=MAYBE_THRESHOLD,"Maybe","Reject")))))))</f>
        <v/>
      </c>
      <c r="AE8" s="23" t="n"/>
      <c r="AF8" s="23" t="n"/>
      <c r="AG8" s="23" t="n"/>
      <c r="AH8" s="23" t="n"/>
      <c r="AI8" s="24" t="n"/>
      <c r="AJ8">
        <f>IF(AC8="",-9999-ROW()*0.0000001,AC8-ROW()*0.0000001)</f>
        <v/>
      </c>
      <c r="AK8">
        <f>IF(OR(AC8="",P8="",P8&gt;MAX_PRICE),-9999-ROW()*0.0000001,AC8-ROW()*0.0000001)</f>
        <v/>
      </c>
      <c r="AL8">
        <f>IF(AC8="",-9999-ROW()*0.0000001,X8*1000+AC8-ROW()*0.0000001)</f>
        <v/>
      </c>
      <c r="AM8">
        <f>IF(AC8="",-9999-ROW()*0.0000001,Y8*1000+AC8-ROW()*0.0000001)</f>
        <v/>
      </c>
      <c r="AN8">
        <f>IF(AND(OR(AD8="Maybe",AD8="Price Review"),AG8&lt;&gt;"Approved",AG8&lt;&gt;"Rejected"),IF(AC8="",0,AC8)-ROW()*0.0000001,-9999-ROW()*0.0000001)</f>
        <v/>
      </c>
      <c r="AO8" s="28" t="n"/>
      <c r="AP8" s="28" t="n"/>
      <c r="AQ8" s="29" t="n"/>
      <c r="AR8" s="29" t="n"/>
      <c r="AS8" s="23" t="n"/>
      <c r="AT8" s="29" t="n"/>
      <c r="AU8" s="29" t="n"/>
      <c r="AV8" s="29" t="n"/>
      <c r="AW8" s="25">
        <f>IF(OR(O8="",AV8=""),"",O8*AV8)</f>
        <v/>
      </c>
      <c r="AX8" s="23" t="n"/>
      <c r="AY8" s="23" t="n"/>
      <c r="AZ8" s="23" t="n"/>
      <c r="BA8" s="23" t="n"/>
      <c r="BB8" s="23" t="n"/>
      <c r="BC8" s="25" t="n"/>
      <c r="BD8" s="23" t="n"/>
      <c r="BE8" s="23">
        <f>IF(C8="","",IF(AND(ISNUMBER(P8),P8&gt;MAX_PRICE),"Price too high",IF(AND(ISNUMBER(AB8),AB8&lt;=2),"Quality risk",IF(AND(ISNUMBER(U8),U8&lt;=2),"Aesthetic mismatch",IF(AY8="High","Too fragile",IF(AND(ISNUMBER(R8),R8&lt;LOW_PROFIT_PCT),"Low profit",IF(AND(ISNUMBER(AT8),AT8&gt;MOQ_WARNING),"MOQ too high",IF(OR(AD8="Maybe",AD8="Price Review"),"Needs partner review",IF(AD8="Buy","Good candidate","")))))))))</f>
        <v/>
      </c>
      <c r="BF8" s="23" t="n"/>
      <c r="BG8" s="23" t="n"/>
      <c r="BH8" s="23" t="n"/>
      <c r="BI8" s="23" t="n"/>
      <c r="BJ8" s="23" t="n"/>
      <c r="BK8" s="23" t="n"/>
      <c r="BL8" s="23">
        <f>IF(C8="","",IF(AND(BG8="Yes",BH8="Yes",BI8="Yes",BJ8="Yes",BK8="Yes"),"Yes","No"))</f>
        <v/>
      </c>
      <c r="BM8" s="25" t="n"/>
      <c r="BN8" s="25" t="n"/>
      <c r="BO8" s="25">
        <f>IF(OR(BM8="",BN8=""),"",BM8+BN8)</f>
        <v/>
      </c>
      <c r="BP8" s="25" t="n"/>
      <c r="BQ8" s="25">
        <f>IF(OR(BP8="",BO8=""),"",BP8-BO8)</f>
        <v/>
      </c>
      <c r="BR8" s="26">
        <f>IF(OR(BP8="",BP8=0,BQ8=""),"",BQ8/BP8)</f>
        <v/>
      </c>
      <c r="BS8" s="24" t="n"/>
      <c r="BT8" s="29" t="n"/>
      <c r="BU8" s="29" t="n"/>
      <c r="BV8" s="23" t="n"/>
      <c r="BW8" s="23" t="n"/>
      <c r="BX8" s="29">
        <f>IF(OR(BT8="",BU8=""),"",BT8-BU8)</f>
        <v/>
      </c>
      <c r="BY8" s="23" t="n"/>
      <c r="BZ8" s="24" t="n"/>
      <c r="CA8" s="23" t="n"/>
      <c r="CB8" s="23" t="n"/>
    </row>
    <row r="9">
      <c r="A9" s="16">
        <f>IF(C9="","","AYN-"&amp;IFERROR(VLOOKUP(E9,CATEGORY_PREFIX_TABLE,2,FALSE),"OTH")&amp;"-"&amp;TEXT(ROW()-2,"0000"))</f>
        <v/>
      </c>
      <c r="B9" s="17" t="n"/>
      <c r="C9" s="16" t="n"/>
      <c r="D9" s="16" t="n"/>
      <c r="E9" s="16" t="n"/>
      <c r="F9" s="16" t="n"/>
      <c r="G9" s="16" t="n"/>
      <c r="H9" s="16" t="n"/>
      <c r="I9" s="16" t="n"/>
      <c r="J9" s="16" t="n"/>
      <c r="K9" s="18">
        <f>IF(I9="","",IF(J9="BDT",I9,IF(J9="USD",I9*USD_BDT,IF(J9="RMB",I9*RMB_BDT,""))))</f>
        <v/>
      </c>
      <c r="L9" s="18" t="n"/>
      <c r="M9" s="19" t="n"/>
      <c r="N9" s="18" t="n"/>
      <c r="O9" s="18">
        <f>IF(K9="","",K9+IFERROR(L9,0)+(K9*IF(M9="",CUSTOMS_PCT,M9))+IF(N9="",MISC_FEE,N9))</f>
        <v/>
      </c>
      <c r="P9" s="18">
        <f>IF(O9="","",ROUND(O9*(1+MARKUP_PCT),-1)-1)</f>
        <v/>
      </c>
      <c r="Q9" s="18">
        <f>IF(P9="","",P9-O9)</f>
        <v/>
      </c>
      <c r="R9" s="19">
        <f>IF(OR(P9="",P9=0),"",Q9/P9)</f>
        <v/>
      </c>
      <c r="S9" s="16" t="n"/>
      <c r="T9" s="16" t="n"/>
      <c r="U9" s="16" t="n"/>
      <c r="V9" s="16" t="n"/>
      <c r="W9" s="16" t="n"/>
      <c r="X9" s="16" t="n"/>
      <c r="Y9" s="16" t="n"/>
      <c r="Z9" s="16" t="n"/>
      <c r="AA9" s="16" t="n"/>
      <c r="AB9" s="16" t="n"/>
      <c r="AC9" s="20">
        <f>IF(COUNT(S9:AB9)&lt;10,"",(S9*W_FEMININE+T9*W_TREND+U9*W_AESTHETIC+V9*W_STYLE+W9*W_LIGHT+X9*W_REELS+Y9*W_GIFT+Z9*W_PRICEFIT+AA9*W_DEMAND+AB9*W_QUALITY)/5*100)</f>
        <v/>
      </c>
      <c r="AD9" s="16">
        <f>IF(P9="","",IF(P9&gt;HARD_REJECT_PRICE,"Reject",IF(P9&gt;MAX_PRICE,"Price Review",IF(AC9="","",IF(AND(AC9&gt;=BUY_THRESHOLD,OR(AB9&lt;=2,U9&lt;=2)),"Maybe",IF(AC9&gt;=BUY_THRESHOLD,"Buy",IF(AC9&gt;=MAYBE_THRESHOLD,"Maybe","Reject")))))))</f>
        <v/>
      </c>
      <c r="AE9" s="16" t="n"/>
      <c r="AF9" s="16" t="n"/>
      <c r="AG9" s="16" t="n"/>
      <c r="AH9" s="16" t="n"/>
      <c r="AI9" s="17" t="n"/>
      <c r="AJ9">
        <f>IF(AC9="",-9999-ROW()*0.0000001,AC9-ROW()*0.0000001)</f>
        <v/>
      </c>
      <c r="AK9">
        <f>IF(OR(AC9="",P9="",P9&gt;MAX_PRICE),-9999-ROW()*0.0000001,AC9-ROW()*0.0000001)</f>
        <v/>
      </c>
      <c r="AL9">
        <f>IF(AC9="",-9999-ROW()*0.0000001,X9*1000+AC9-ROW()*0.0000001)</f>
        <v/>
      </c>
      <c r="AM9">
        <f>IF(AC9="",-9999-ROW()*0.0000001,Y9*1000+AC9-ROW()*0.0000001)</f>
        <v/>
      </c>
      <c r="AN9">
        <f>IF(AND(OR(AD9="Maybe",AD9="Price Review"),AG9&lt;&gt;"Approved",AG9&lt;&gt;"Rejected"),IF(AC9="",0,AC9)-ROW()*0.0000001,-9999-ROW()*0.0000001)</f>
        <v/>
      </c>
      <c r="AO9" s="21" t="n"/>
      <c r="AP9" s="21" t="n"/>
      <c r="AQ9" s="22" t="n"/>
      <c r="AR9" s="22" t="n"/>
      <c r="AS9" s="16" t="n"/>
      <c r="AT9" s="22" t="n"/>
      <c r="AU9" s="22" t="n"/>
      <c r="AV9" s="22" t="n"/>
      <c r="AW9" s="18">
        <f>IF(OR(O9="",AV9=""),"",O9*AV9)</f>
        <v/>
      </c>
      <c r="AX9" s="16" t="n"/>
      <c r="AY9" s="16" t="n"/>
      <c r="AZ9" s="16" t="n"/>
      <c r="BA9" s="16" t="n"/>
      <c r="BB9" s="16" t="n"/>
      <c r="BC9" s="18" t="n"/>
      <c r="BD9" s="16" t="n"/>
      <c r="BE9" s="16">
        <f>IF(C9="","",IF(AND(ISNUMBER(P9),P9&gt;MAX_PRICE),"Price too high",IF(AND(ISNUMBER(AB9),AB9&lt;=2),"Quality risk",IF(AND(ISNUMBER(U9),U9&lt;=2),"Aesthetic mismatch",IF(AY9="High","Too fragile",IF(AND(ISNUMBER(R9),R9&lt;LOW_PROFIT_PCT),"Low profit",IF(AND(ISNUMBER(AT9),AT9&gt;MOQ_WARNING),"MOQ too high",IF(OR(AD9="Maybe",AD9="Price Review"),"Needs partner review",IF(AD9="Buy","Good candidate","")))))))))</f>
        <v/>
      </c>
      <c r="BF9" s="16" t="n"/>
      <c r="BG9" s="16" t="n"/>
      <c r="BH9" s="16" t="n"/>
      <c r="BI9" s="16" t="n"/>
      <c r="BJ9" s="16" t="n"/>
      <c r="BK9" s="16" t="n"/>
      <c r="BL9" s="16">
        <f>IF(C9="","",IF(AND(BG9="Yes",BH9="Yes",BI9="Yes",BJ9="Yes",BK9="Yes"),"Yes","No"))</f>
        <v/>
      </c>
      <c r="BM9" s="18" t="n"/>
      <c r="BN9" s="18" t="n"/>
      <c r="BO9" s="18">
        <f>IF(OR(BM9="",BN9=""),"",BM9+BN9)</f>
        <v/>
      </c>
      <c r="BP9" s="18" t="n"/>
      <c r="BQ9" s="18">
        <f>IF(OR(BP9="",BO9=""),"",BP9-BO9)</f>
        <v/>
      </c>
      <c r="BR9" s="19">
        <f>IF(OR(BP9="",BP9=0,BQ9=""),"",BQ9/BP9)</f>
        <v/>
      </c>
      <c r="BS9" s="17" t="n"/>
      <c r="BT9" s="22" t="n"/>
      <c r="BU9" s="22" t="n"/>
      <c r="BV9" s="16" t="n"/>
      <c r="BW9" s="16" t="n"/>
      <c r="BX9" s="22">
        <f>IF(OR(BT9="",BU9=""),"",BT9-BU9)</f>
        <v/>
      </c>
      <c r="BY9" s="16" t="n"/>
      <c r="BZ9" s="17" t="n"/>
      <c r="CA9" s="16" t="n"/>
      <c r="CB9" s="16" t="n"/>
    </row>
    <row r="10">
      <c r="A10" s="23">
        <f>IF(C10="","","AYN-"&amp;IFERROR(VLOOKUP(E10,CATEGORY_PREFIX_TABLE,2,FALSE),"OTH")&amp;"-"&amp;TEXT(ROW()-2,"0000"))</f>
        <v/>
      </c>
      <c r="B10" s="24" t="n"/>
      <c r="C10" s="23" t="n"/>
      <c r="D10" s="23" t="n"/>
      <c r="E10" s="23" t="n"/>
      <c r="F10" s="23" t="n"/>
      <c r="G10" s="23" t="n"/>
      <c r="H10" s="23" t="n"/>
      <c r="I10" s="23" t="n"/>
      <c r="J10" s="23" t="n"/>
      <c r="K10" s="25">
        <f>IF(I10="","",IF(J10="BDT",I10,IF(J10="USD",I10*USD_BDT,IF(J10="RMB",I10*RMB_BDT,""))))</f>
        <v/>
      </c>
      <c r="L10" s="25" t="n"/>
      <c r="M10" s="26" t="n"/>
      <c r="N10" s="25" t="n"/>
      <c r="O10" s="25">
        <f>IF(K10="","",K10+IFERROR(L10,0)+(K10*IF(M10="",CUSTOMS_PCT,M10))+IF(N10="",MISC_FEE,N10))</f>
        <v/>
      </c>
      <c r="P10" s="25">
        <f>IF(O10="","",ROUND(O10*(1+MARKUP_PCT),-1)-1)</f>
        <v/>
      </c>
      <c r="Q10" s="25">
        <f>IF(P10="","",P10-O10)</f>
        <v/>
      </c>
      <c r="R10" s="26">
        <f>IF(OR(P10="",P10=0),"",Q10/P10)</f>
        <v/>
      </c>
      <c r="S10" s="23" t="n"/>
      <c r="T10" s="23" t="n"/>
      <c r="U10" s="23" t="n"/>
      <c r="V10" s="23" t="n"/>
      <c r="W10" s="23" t="n"/>
      <c r="X10" s="23" t="n"/>
      <c r="Y10" s="23" t="n"/>
      <c r="Z10" s="23" t="n"/>
      <c r="AA10" s="23" t="n"/>
      <c r="AB10" s="23" t="n"/>
      <c r="AC10" s="27">
        <f>IF(COUNT(S10:AB10)&lt;10,"",(S10*W_FEMININE+T10*W_TREND+U10*W_AESTHETIC+V10*W_STYLE+W10*W_LIGHT+X10*W_REELS+Y10*W_GIFT+Z10*W_PRICEFIT+AA10*W_DEMAND+AB10*W_QUALITY)/5*100)</f>
        <v/>
      </c>
      <c r="AD10" s="23">
        <f>IF(P10="","",IF(P10&gt;HARD_REJECT_PRICE,"Reject",IF(P10&gt;MAX_PRICE,"Price Review",IF(AC10="","",IF(AND(AC10&gt;=BUY_THRESHOLD,OR(AB10&lt;=2,U10&lt;=2)),"Maybe",IF(AC10&gt;=BUY_THRESHOLD,"Buy",IF(AC10&gt;=MAYBE_THRESHOLD,"Maybe","Reject")))))))</f>
        <v/>
      </c>
      <c r="AE10" s="23" t="n"/>
      <c r="AF10" s="23" t="n"/>
      <c r="AG10" s="23" t="n"/>
      <c r="AH10" s="23" t="n"/>
      <c r="AI10" s="24" t="n"/>
      <c r="AJ10">
        <f>IF(AC10="",-9999-ROW()*0.0000001,AC10-ROW()*0.0000001)</f>
        <v/>
      </c>
      <c r="AK10">
        <f>IF(OR(AC10="",P10="",P10&gt;MAX_PRICE),-9999-ROW()*0.0000001,AC10-ROW()*0.0000001)</f>
        <v/>
      </c>
      <c r="AL10">
        <f>IF(AC10="",-9999-ROW()*0.0000001,X10*1000+AC10-ROW()*0.0000001)</f>
        <v/>
      </c>
      <c r="AM10">
        <f>IF(AC10="",-9999-ROW()*0.0000001,Y10*1000+AC10-ROW()*0.0000001)</f>
        <v/>
      </c>
      <c r="AN10">
        <f>IF(AND(OR(AD10="Maybe",AD10="Price Review"),AG10&lt;&gt;"Approved",AG10&lt;&gt;"Rejected"),IF(AC10="",0,AC10)-ROW()*0.0000001,-9999-ROW()*0.0000001)</f>
        <v/>
      </c>
      <c r="AO10" s="28" t="n"/>
      <c r="AP10" s="28" t="n"/>
      <c r="AQ10" s="29" t="n"/>
      <c r="AR10" s="29" t="n"/>
      <c r="AS10" s="23" t="n"/>
      <c r="AT10" s="29" t="n"/>
      <c r="AU10" s="29" t="n"/>
      <c r="AV10" s="29" t="n"/>
      <c r="AW10" s="25">
        <f>IF(OR(O10="",AV10=""),"",O10*AV10)</f>
        <v/>
      </c>
      <c r="AX10" s="23" t="n"/>
      <c r="AY10" s="23" t="n"/>
      <c r="AZ10" s="23" t="n"/>
      <c r="BA10" s="23" t="n"/>
      <c r="BB10" s="23" t="n"/>
      <c r="BC10" s="25" t="n"/>
      <c r="BD10" s="23" t="n"/>
      <c r="BE10" s="23">
        <f>IF(C10="","",IF(AND(ISNUMBER(P10),P10&gt;MAX_PRICE),"Price too high",IF(AND(ISNUMBER(AB10),AB10&lt;=2),"Quality risk",IF(AND(ISNUMBER(U10),U10&lt;=2),"Aesthetic mismatch",IF(AY10="High","Too fragile",IF(AND(ISNUMBER(R10),R10&lt;LOW_PROFIT_PCT),"Low profit",IF(AND(ISNUMBER(AT10),AT10&gt;MOQ_WARNING),"MOQ too high",IF(OR(AD10="Maybe",AD10="Price Review"),"Needs partner review",IF(AD10="Buy","Good candidate","")))))))))</f>
        <v/>
      </c>
      <c r="BF10" s="23" t="n"/>
      <c r="BG10" s="23" t="n"/>
      <c r="BH10" s="23" t="n"/>
      <c r="BI10" s="23" t="n"/>
      <c r="BJ10" s="23" t="n"/>
      <c r="BK10" s="23" t="n"/>
      <c r="BL10" s="23">
        <f>IF(C10="","",IF(AND(BG10="Yes",BH10="Yes",BI10="Yes",BJ10="Yes",BK10="Yes"),"Yes","No"))</f>
        <v/>
      </c>
      <c r="BM10" s="25" t="n"/>
      <c r="BN10" s="25" t="n"/>
      <c r="BO10" s="25">
        <f>IF(OR(BM10="",BN10=""),"",BM10+BN10)</f>
        <v/>
      </c>
      <c r="BP10" s="25" t="n"/>
      <c r="BQ10" s="25">
        <f>IF(OR(BP10="",BO10=""),"",BP10-BO10)</f>
        <v/>
      </c>
      <c r="BR10" s="26">
        <f>IF(OR(BP10="",BP10=0,BQ10=""),"",BQ10/BP10)</f>
        <v/>
      </c>
      <c r="BS10" s="24" t="n"/>
      <c r="BT10" s="29" t="n"/>
      <c r="BU10" s="29" t="n"/>
      <c r="BV10" s="23" t="n"/>
      <c r="BW10" s="23" t="n"/>
      <c r="BX10" s="29">
        <f>IF(OR(BT10="",BU10=""),"",BT10-BU10)</f>
        <v/>
      </c>
      <c r="BY10" s="23" t="n"/>
      <c r="BZ10" s="24" t="n"/>
      <c r="CA10" s="23" t="n"/>
      <c r="CB10" s="23" t="n"/>
    </row>
    <row r="11">
      <c r="A11" s="16">
        <f>IF(C11="","","AYN-"&amp;IFERROR(VLOOKUP(E11,CATEGORY_PREFIX_TABLE,2,FALSE),"OTH")&amp;"-"&amp;TEXT(ROW()-2,"0000"))</f>
        <v/>
      </c>
      <c r="B11" s="17" t="n"/>
      <c r="C11" s="16" t="n"/>
      <c r="D11" s="16" t="n"/>
      <c r="E11" s="16" t="n"/>
      <c r="F11" s="16" t="n"/>
      <c r="G11" s="16" t="n"/>
      <c r="H11" s="16" t="n"/>
      <c r="I11" s="16" t="n"/>
      <c r="J11" s="16" t="n"/>
      <c r="K11" s="18">
        <f>IF(I11="","",IF(J11="BDT",I11,IF(J11="USD",I11*USD_BDT,IF(J11="RMB",I11*RMB_BDT,""))))</f>
        <v/>
      </c>
      <c r="L11" s="18" t="n"/>
      <c r="M11" s="19" t="n"/>
      <c r="N11" s="18" t="n"/>
      <c r="O11" s="18">
        <f>IF(K11="","",K11+IFERROR(L11,0)+(K11*IF(M11="",CUSTOMS_PCT,M11))+IF(N11="",MISC_FEE,N11))</f>
        <v/>
      </c>
      <c r="P11" s="18">
        <f>IF(O11="","",ROUND(O11*(1+MARKUP_PCT),-1)-1)</f>
        <v/>
      </c>
      <c r="Q11" s="18">
        <f>IF(P11="","",P11-O11)</f>
        <v/>
      </c>
      <c r="R11" s="19">
        <f>IF(OR(P11="",P11=0),"",Q11/P11)</f>
        <v/>
      </c>
      <c r="S11" s="16" t="n"/>
      <c r="T11" s="16" t="n"/>
      <c r="U11" s="16" t="n"/>
      <c r="V11" s="16" t="n"/>
      <c r="W11" s="16" t="n"/>
      <c r="X11" s="16" t="n"/>
      <c r="Y11" s="16" t="n"/>
      <c r="Z11" s="16" t="n"/>
      <c r="AA11" s="16" t="n"/>
      <c r="AB11" s="16" t="n"/>
      <c r="AC11" s="20">
        <f>IF(COUNT(S11:AB11)&lt;10,"",(S11*W_FEMININE+T11*W_TREND+U11*W_AESTHETIC+V11*W_STYLE+W11*W_LIGHT+X11*W_REELS+Y11*W_GIFT+Z11*W_PRICEFIT+AA11*W_DEMAND+AB11*W_QUALITY)/5*100)</f>
        <v/>
      </c>
      <c r="AD11" s="16">
        <f>IF(P11="","",IF(P11&gt;HARD_REJECT_PRICE,"Reject",IF(P11&gt;MAX_PRICE,"Price Review",IF(AC11="","",IF(AND(AC11&gt;=BUY_THRESHOLD,OR(AB11&lt;=2,U11&lt;=2)),"Maybe",IF(AC11&gt;=BUY_THRESHOLD,"Buy",IF(AC11&gt;=MAYBE_THRESHOLD,"Maybe","Reject")))))))</f>
        <v/>
      </c>
      <c r="AE11" s="16" t="n"/>
      <c r="AF11" s="16" t="n"/>
      <c r="AG11" s="16" t="n"/>
      <c r="AH11" s="16" t="n"/>
      <c r="AI11" s="17" t="n"/>
      <c r="AJ11">
        <f>IF(AC11="",-9999-ROW()*0.0000001,AC11-ROW()*0.0000001)</f>
        <v/>
      </c>
      <c r="AK11">
        <f>IF(OR(AC11="",P11="",P11&gt;MAX_PRICE),-9999-ROW()*0.0000001,AC11-ROW()*0.0000001)</f>
        <v/>
      </c>
      <c r="AL11">
        <f>IF(AC11="",-9999-ROW()*0.0000001,X11*1000+AC11-ROW()*0.0000001)</f>
        <v/>
      </c>
      <c r="AM11">
        <f>IF(AC11="",-9999-ROW()*0.0000001,Y11*1000+AC11-ROW()*0.0000001)</f>
        <v/>
      </c>
      <c r="AN11">
        <f>IF(AND(OR(AD11="Maybe",AD11="Price Review"),AG11&lt;&gt;"Approved",AG11&lt;&gt;"Rejected"),IF(AC11="",0,AC11)-ROW()*0.0000001,-9999-ROW()*0.0000001)</f>
        <v/>
      </c>
      <c r="AO11" s="21" t="n"/>
      <c r="AP11" s="21" t="n"/>
      <c r="AQ11" s="22" t="n"/>
      <c r="AR11" s="22" t="n"/>
      <c r="AS11" s="16" t="n"/>
      <c r="AT11" s="22" t="n"/>
      <c r="AU11" s="22" t="n"/>
      <c r="AV11" s="22" t="n"/>
      <c r="AW11" s="18">
        <f>IF(OR(O11="",AV11=""),"",O11*AV11)</f>
        <v/>
      </c>
      <c r="AX11" s="16" t="n"/>
      <c r="AY11" s="16" t="n"/>
      <c r="AZ11" s="16" t="n"/>
      <c r="BA11" s="16" t="n"/>
      <c r="BB11" s="16" t="n"/>
      <c r="BC11" s="18" t="n"/>
      <c r="BD11" s="16" t="n"/>
      <c r="BE11" s="16">
        <f>IF(C11="","",IF(AND(ISNUMBER(P11),P11&gt;MAX_PRICE),"Price too high",IF(AND(ISNUMBER(AB11),AB11&lt;=2),"Quality risk",IF(AND(ISNUMBER(U11),U11&lt;=2),"Aesthetic mismatch",IF(AY11="High","Too fragile",IF(AND(ISNUMBER(R11),R11&lt;LOW_PROFIT_PCT),"Low profit",IF(AND(ISNUMBER(AT11),AT11&gt;MOQ_WARNING),"MOQ too high",IF(OR(AD11="Maybe",AD11="Price Review"),"Needs partner review",IF(AD11="Buy","Good candidate","")))))))))</f>
        <v/>
      </c>
      <c r="BF11" s="16" t="n"/>
      <c r="BG11" s="16" t="n"/>
      <c r="BH11" s="16" t="n"/>
      <c r="BI11" s="16" t="n"/>
      <c r="BJ11" s="16" t="n"/>
      <c r="BK11" s="16" t="n"/>
      <c r="BL11" s="16">
        <f>IF(C11="","",IF(AND(BG11="Yes",BH11="Yes",BI11="Yes",BJ11="Yes",BK11="Yes"),"Yes","No"))</f>
        <v/>
      </c>
      <c r="BM11" s="18" t="n"/>
      <c r="BN11" s="18" t="n"/>
      <c r="BO11" s="18">
        <f>IF(OR(BM11="",BN11=""),"",BM11+BN11)</f>
        <v/>
      </c>
      <c r="BP11" s="18" t="n"/>
      <c r="BQ11" s="18">
        <f>IF(OR(BP11="",BO11=""),"",BP11-BO11)</f>
        <v/>
      </c>
      <c r="BR11" s="19">
        <f>IF(OR(BP11="",BP11=0,BQ11=""),"",BQ11/BP11)</f>
        <v/>
      </c>
      <c r="BS11" s="17" t="n"/>
      <c r="BT11" s="22" t="n"/>
      <c r="BU11" s="22" t="n"/>
      <c r="BV11" s="16" t="n"/>
      <c r="BW11" s="16" t="n"/>
      <c r="BX11" s="22">
        <f>IF(OR(BT11="",BU11=""),"",BT11-BU11)</f>
        <v/>
      </c>
      <c r="BY11" s="16" t="n"/>
      <c r="BZ11" s="17" t="n"/>
      <c r="CA11" s="16" t="n"/>
      <c r="CB11" s="16" t="n"/>
    </row>
    <row r="12">
      <c r="A12" s="23">
        <f>IF(C12="","","AYN-"&amp;IFERROR(VLOOKUP(E12,CATEGORY_PREFIX_TABLE,2,FALSE),"OTH")&amp;"-"&amp;TEXT(ROW()-2,"0000"))</f>
        <v/>
      </c>
      <c r="B12" s="24" t="n"/>
      <c r="C12" s="23" t="n"/>
      <c r="D12" s="23" t="n"/>
      <c r="E12" s="23" t="n"/>
      <c r="F12" s="23" t="n"/>
      <c r="G12" s="23" t="n"/>
      <c r="H12" s="23" t="n"/>
      <c r="I12" s="23" t="n"/>
      <c r="J12" s="23" t="n"/>
      <c r="K12" s="25">
        <f>IF(I12="","",IF(J12="BDT",I12,IF(J12="USD",I12*USD_BDT,IF(J12="RMB",I12*RMB_BDT,""))))</f>
        <v/>
      </c>
      <c r="L12" s="25" t="n"/>
      <c r="M12" s="26" t="n"/>
      <c r="N12" s="25" t="n"/>
      <c r="O12" s="25">
        <f>IF(K12="","",K12+IFERROR(L12,0)+(K12*IF(M12="",CUSTOMS_PCT,M12))+IF(N12="",MISC_FEE,N12))</f>
        <v/>
      </c>
      <c r="P12" s="25">
        <f>IF(O12="","",ROUND(O12*(1+MARKUP_PCT),-1)-1)</f>
        <v/>
      </c>
      <c r="Q12" s="25">
        <f>IF(P12="","",P12-O12)</f>
        <v/>
      </c>
      <c r="R12" s="26">
        <f>IF(OR(P12="",P12=0),"",Q12/P12)</f>
        <v/>
      </c>
      <c r="S12" s="23" t="n"/>
      <c r="T12" s="23" t="n"/>
      <c r="U12" s="23" t="n"/>
      <c r="V12" s="23" t="n"/>
      <c r="W12" s="23" t="n"/>
      <c r="X12" s="23" t="n"/>
      <c r="Y12" s="23" t="n"/>
      <c r="Z12" s="23" t="n"/>
      <c r="AA12" s="23" t="n"/>
      <c r="AB12" s="23" t="n"/>
      <c r="AC12" s="27">
        <f>IF(COUNT(S12:AB12)&lt;10,"",(S12*W_FEMININE+T12*W_TREND+U12*W_AESTHETIC+V12*W_STYLE+W12*W_LIGHT+X12*W_REELS+Y12*W_GIFT+Z12*W_PRICEFIT+AA12*W_DEMAND+AB12*W_QUALITY)/5*100)</f>
        <v/>
      </c>
      <c r="AD12" s="23">
        <f>IF(P12="","",IF(P12&gt;HARD_REJECT_PRICE,"Reject",IF(P12&gt;MAX_PRICE,"Price Review",IF(AC12="","",IF(AND(AC12&gt;=BUY_THRESHOLD,OR(AB12&lt;=2,U12&lt;=2)),"Maybe",IF(AC12&gt;=BUY_THRESHOLD,"Buy",IF(AC12&gt;=MAYBE_THRESHOLD,"Maybe","Reject")))))))</f>
        <v/>
      </c>
      <c r="AE12" s="23" t="n"/>
      <c r="AF12" s="23" t="n"/>
      <c r="AG12" s="23" t="n"/>
      <c r="AH12" s="23" t="n"/>
      <c r="AI12" s="24" t="n"/>
      <c r="AJ12">
        <f>IF(AC12="",-9999-ROW()*0.0000001,AC12-ROW()*0.0000001)</f>
        <v/>
      </c>
      <c r="AK12">
        <f>IF(OR(AC12="",P12="",P12&gt;MAX_PRICE),-9999-ROW()*0.0000001,AC12-ROW()*0.0000001)</f>
        <v/>
      </c>
      <c r="AL12">
        <f>IF(AC12="",-9999-ROW()*0.0000001,X12*1000+AC12-ROW()*0.0000001)</f>
        <v/>
      </c>
      <c r="AM12">
        <f>IF(AC12="",-9999-ROW()*0.0000001,Y12*1000+AC12-ROW()*0.0000001)</f>
        <v/>
      </c>
      <c r="AN12">
        <f>IF(AND(OR(AD12="Maybe",AD12="Price Review"),AG12&lt;&gt;"Approved",AG12&lt;&gt;"Rejected"),IF(AC12="",0,AC12)-ROW()*0.0000001,-9999-ROW()*0.0000001)</f>
        <v/>
      </c>
      <c r="AO12" s="28" t="n"/>
      <c r="AP12" s="28" t="n"/>
      <c r="AQ12" s="29" t="n"/>
      <c r="AR12" s="29" t="n"/>
      <c r="AS12" s="23" t="n"/>
      <c r="AT12" s="29" t="n"/>
      <c r="AU12" s="29" t="n"/>
      <c r="AV12" s="29" t="n"/>
      <c r="AW12" s="25">
        <f>IF(OR(O12="",AV12=""),"",O12*AV12)</f>
        <v/>
      </c>
      <c r="AX12" s="23" t="n"/>
      <c r="AY12" s="23" t="n"/>
      <c r="AZ12" s="23" t="n"/>
      <c r="BA12" s="23" t="n"/>
      <c r="BB12" s="23" t="n"/>
      <c r="BC12" s="25" t="n"/>
      <c r="BD12" s="23" t="n"/>
      <c r="BE12" s="23">
        <f>IF(C12="","",IF(AND(ISNUMBER(P12),P12&gt;MAX_PRICE),"Price too high",IF(AND(ISNUMBER(AB12),AB12&lt;=2),"Quality risk",IF(AND(ISNUMBER(U12),U12&lt;=2),"Aesthetic mismatch",IF(AY12="High","Too fragile",IF(AND(ISNUMBER(R12),R12&lt;LOW_PROFIT_PCT),"Low profit",IF(AND(ISNUMBER(AT12),AT12&gt;MOQ_WARNING),"MOQ too high",IF(OR(AD12="Maybe",AD12="Price Review"),"Needs partner review",IF(AD12="Buy","Good candidate","")))))))))</f>
        <v/>
      </c>
      <c r="BF12" s="23" t="n"/>
      <c r="BG12" s="23" t="n"/>
      <c r="BH12" s="23" t="n"/>
      <c r="BI12" s="23" t="n"/>
      <c r="BJ12" s="23" t="n"/>
      <c r="BK12" s="23" t="n"/>
      <c r="BL12" s="23">
        <f>IF(C12="","",IF(AND(BG12="Yes",BH12="Yes",BI12="Yes",BJ12="Yes",BK12="Yes"),"Yes","No"))</f>
        <v/>
      </c>
      <c r="BM12" s="25" t="n"/>
      <c r="BN12" s="25" t="n"/>
      <c r="BO12" s="25">
        <f>IF(OR(BM12="",BN12=""),"",BM12+BN12)</f>
        <v/>
      </c>
      <c r="BP12" s="25" t="n"/>
      <c r="BQ12" s="25">
        <f>IF(OR(BP12="",BO12=""),"",BP12-BO12)</f>
        <v/>
      </c>
      <c r="BR12" s="26">
        <f>IF(OR(BP12="",BP12=0,BQ12=""),"",BQ12/BP12)</f>
        <v/>
      </c>
      <c r="BS12" s="24" t="n"/>
      <c r="BT12" s="29" t="n"/>
      <c r="BU12" s="29" t="n"/>
      <c r="BV12" s="23" t="n"/>
      <c r="BW12" s="23" t="n"/>
      <c r="BX12" s="29">
        <f>IF(OR(BT12="",BU12=""),"",BT12-BU12)</f>
        <v/>
      </c>
      <c r="BY12" s="23" t="n"/>
      <c r="BZ12" s="24" t="n"/>
      <c r="CA12" s="23" t="n"/>
      <c r="CB12" s="23" t="n"/>
    </row>
    <row r="13">
      <c r="A13" s="16">
        <f>IF(C13="","","AYN-"&amp;IFERROR(VLOOKUP(E13,CATEGORY_PREFIX_TABLE,2,FALSE),"OTH")&amp;"-"&amp;TEXT(ROW()-2,"0000"))</f>
        <v/>
      </c>
      <c r="B13" s="17" t="n"/>
      <c r="C13" s="16" t="n"/>
      <c r="D13" s="16" t="n"/>
      <c r="E13" s="16" t="n"/>
      <c r="F13" s="16" t="n"/>
      <c r="G13" s="16" t="n"/>
      <c r="H13" s="16" t="n"/>
      <c r="I13" s="16" t="n"/>
      <c r="J13" s="16" t="n"/>
      <c r="K13" s="18">
        <f>IF(I13="","",IF(J13="BDT",I13,IF(J13="USD",I13*USD_BDT,IF(J13="RMB",I13*RMB_BDT,""))))</f>
        <v/>
      </c>
      <c r="L13" s="18" t="n"/>
      <c r="M13" s="19" t="n"/>
      <c r="N13" s="18" t="n"/>
      <c r="O13" s="18">
        <f>IF(K13="","",K13+IFERROR(L13,0)+(K13*IF(M13="",CUSTOMS_PCT,M13))+IF(N13="",MISC_FEE,N13))</f>
        <v/>
      </c>
      <c r="P13" s="18">
        <f>IF(O13="","",ROUND(O13*(1+MARKUP_PCT),-1)-1)</f>
        <v/>
      </c>
      <c r="Q13" s="18">
        <f>IF(P13="","",P13-O13)</f>
        <v/>
      </c>
      <c r="R13" s="19">
        <f>IF(OR(P13="",P13=0),"",Q13/P13)</f>
        <v/>
      </c>
      <c r="S13" s="16" t="n"/>
      <c r="T13" s="16" t="n"/>
      <c r="U13" s="16" t="n"/>
      <c r="V13" s="16" t="n"/>
      <c r="W13" s="16" t="n"/>
      <c r="X13" s="16" t="n"/>
      <c r="Y13" s="16" t="n"/>
      <c r="Z13" s="16" t="n"/>
      <c r="AA13" s="16" t="n"/>
      <c r="AB13" s="16" t="n"/>
      <c r="AC13" s="20">
        <f>IF(COUNT(S13:AB13)&lt;10,"",(S13*W_FEMININE+T13*W_TREND+U13*W_AESTHETIC+V13*W_STYLE+W13*W_LIGHT+X13*W_REELS+Y13*W_GIFT+Z13*W_PRICEFIT+AA13*W_DEMAND+AB13*W_QUALITY)/5*100)</f>
        <v/>
      </c>
      <c r="AD13" s="16">
        <f>IF(P13="","",IF(P13&gt;HARD_REJECT_PRICE,"Reject",IF(P13&gt;MAX_PRICE,"Price Review",IF(AC13="","",IF(AND(AC13&gt;=BUY_THRESHOLD,OR(AB13&lt;=2,U13&lt;=2)),"Maybe",IF(AC13&gt;=BUY_THRESHOLD,"Buy",IF(AC13&gt;=MAYBE_THRESHOLD,"Maybe","Reject")))))))</f>
        <v/>
      </c>
      <c r="AE13" s="16" t="n"/>
      <c r="AF13" s="16" t="n"/>
      <c r="AG13" s="16" t="n"/>
      <c r="AH13" s="16" t="n"/>
      <c r="AI13" s="17" t="n"/>
      <c r="AJ13">
        <f>IF(AC13="",-9999-ROW()*0.0000001,AC13-ROW()*0.0000001)</f>
        <v/>
      </c>
      <c r="AK13">
        <f>IF(OR(AC13="",P13="",P13&gt;MAX_PRICE),-9999-ROW()*0.0000001,AC13-ROW()*0.0000001)</f>
        <v/>
      </c>
      <c r="AL13">
        <f>IF(AC13="",-9999-ROW()*0.0000001,X13*1000+AC13-ROW()*0.0000001)</f>
        <v/>
      </c>
      <c r="AM13">
        <f>IF(AC13="",-9999-ROW()*0.0000001,Y13*1000+AC13-ROW()*0.0000001)</f>
        <v/>
      </c>
      <c r="AN13">
        <f>IF(AND(OR(AD13="Maybe",AD13="Price Review"),AG13&lt;&gt;"Approved",AG13&lt;&gt;"Rejected"),IF(AC13="",0,AC13)-ROW()*0.0000001,-9999-ROW()*0.0000001)</f>
        <v/>
      </c>
      <c r="AO13" s="21" t="n"/>
      <c r="AP13" s="21" t="n"/>
      <c r="AQ13" s="22" t="n"/>
      <c r="AR13" s="22" t="n"/>
      <c r="AS13" s="16" t="n"/>
      <c r="AT13" s="22" t="n"/>
      <c r="AU13" s="22" t="n"/>
      <c r="AV13" s="22" t="n"/>
      <c r="AW13" s="18">
        <f>IF(OR(O13="",AV13=""),"",O13*AV13)</f>
        <v/>
      </c>
      <c r="AX13" s="16" t="n"/>
      <c r="AY13" s="16" t="n"/>
      <c r="AZ13" s="16" t="n"/>
      <c r="BA13" s="16" t="n"/>
      <c r="BB13" s="16" t="n"/>
      <c r="BC13" s="18" t="n"/>
      <c r="BD13" s="16" t="n"/>
      <c r="BE13" s="16">
        <f>IF(C13="","",IF(AND(ISNUMBER(P13),P13&gt;MAX_PRICE),"Price too high",IF(AND(ISNUMBER(AB13),AB13&lt;=2),"Quality risk",IF(AND(ISNUMBER(U13),U13&lt;=2),"Aesthetic mismatch",IF(AY13="High","Too fragile",IF(AND(ISNUMBER(R13),R13&lt;LOW_PROFIT_PCT),"Low profit",IF(AND(ISNUMBER(AT13),AT13&gt;MOQ_WARNING),"MOQ too high",IF(OR(AD13="Maybe",AD13="Price Review"),"Needs partner review",IF(AD13="Buy","Good candidate","")))))))))</f>
        <v/>
      </c>
      <c r="BF13" s="16" t="n"/>
      <c r="BG13" s="16" t="n"/>
      <c r="BH13" s="16" t="n"/>
      <c r="BI13" s="16" t="n"/>
      <c r="BJ13" s="16" t="n"/>
      <c r="BK13" s="16" t="n"/>
      <c r="BL13" s="16">
        <f>IF(C13="","",IF(AND(BG13="Yes",BH13="Yes",BI13="Yes",BJ13="Yes",BK13="Yes"),"Yes","No"))</f>
        <v/>
      </c>
      <c r="BM13" s="18" t="n"/>
      <c r="BN13" s="18" t="n"/>
      <c r="BO13" s="18">
        <f>IF(OR(BM13="",BN13=""),"",BM13+BN13)</f>
        <v/>
      </c>
      <c r="BP13" s="18" t="n"/>
      <c r="BQ13" s="18">
        <f>IF(OR(BP13="",BO13=""),"",BP13-BO13)</f>
        <v/>
      </c>
      <c r="BR13" s="19">
        <f>IF(OR(BP13="",BP13=0,BQ13=""),"",BQ13/BP13)</f>
        <v/>
      </c>
      <c r="BS13" s="17" t="n"/>
      <c r="BT13" s="22" t="n"/>
      <c r="BU13" s="22" t="n"/>
      <c r="BV13" s="16" t="n"/>
      <c r="BW13" s="16" t="n"/>
      <c r="BX13" s="22">
        <f>IF(OR(BT13="",BU13=""),"",BT13-BU13)</f>
        <v/>
      </c>
      <c r="BY13" s="16" t="n"/>
      <c r="BZ13" s="17" t="n"/>
      <c r="CA13" s="16" t="n"/>
      <c r="CB13" s="16" t="n"/>
    </row>
    <row r="14">
      <c r="A14" s="23">
        <f>IF(C14="","","AYN-"&amp;IFERROR(VLOOKUP(E14,CATEGORY_PREFIX_TABLE,2,FALSE),"OTH")&amp;"-"&amp;TEXT(ROW()-2,"0000"))</f>
        <v/>
      </c>
      <c r="B14" s="24" t="n"/>
      <c r="C14" s="23" t="n"/>
      <c r="D14" s="23" t="n"/>
      <c r="E14" s="23" t="n"/>
      <c r="F14" s="23" t="n"/>
      <c r="G14" s="23" t="n"/>
      <c r="H14" s="23" t="n"/>
      <c r="I14" s="23" t="n"/>
      <c r="J14" s="23" t="n"/>
      <c r="K14" s="25">
        <f>IF(I14="","",IF(J14="BDT",I14,IF(J14="USD",I14*USD_BDT,IF(J14="RMB",I14*RMB_BDT,""))))</f>
        <v/>
      </c>
      <c r="L14" s="25" t="n"/>
      <c r="M14" s="26" t="n"/>
      <c r="N14" s="25" t="n"/>
      <c r="O14" s="25">
        <f>IF(K14="","",K14+IFERROR(L14,0)+(K14*IF(M14="",CUSTOMS_PCT,M14))+IF(N14="",MISC_FEE,N14))</f>
        <v/>
      </c>
      <c r="P14" s="25">
        <f>IF(O14="","",ROUND(O14*(1+MARKUP_PCT),-1)-1)</f>
        <v/>
      </c>
      <c r="Q14" s="25">
        <f>IF(P14="","",P14-O14)</f>
        <v/>
      </c>
      <c r="R14" s="26">
        <f>IF(OR(P14="",P14=0),"",Q14/P14)</f>
        <v/>
      </c>
      <c r="S14" s="23" t="n"/>
      <c r="T14" s="23" t="n"/>
      <c r="U14" s="23" t="n"/>
      <c r="V14" s="23" t="n"/>
      <c r="W14" s="23" t="n"/>
      <c r="X14" s="23" t="n"/>
      <c r="Y14" s="23" t="n"/>
      <c r="Z14" s="23" t="n"/>
      <c r="AA14" s="23" t="n"/>
      <c r="AB14" s="23" t="n"/>
      <c r="AC14" s="27">
        <f>IF(COUNT(S14:AB14)&lt;10,"",(S14*W_FEMININE+T14*W_TREND+U14*W_AESTHETIC+V14*W_STYLE+W14*W_LIGHT+X14*W_REELS+Y14*W_GIFT+Z14*W_PRICEFIT+AA14*W_DEMAND+AB14*W_QUALITY)/5*100)</f>
        <v/>
      </c>
      <c r="AD14" s="23">
        <f>IF(P14="","",IF(P14&gt;HARD_REJECT_PRICE,"Reject",IF(P14&gt;MAX_PRICE,"Price Review",IF(AC14="","",IF(AND(AC14&gt;=BUY_THRESHOLD,OR(AB14&lt;=2,U14&lt;=2)),"Maybe",IF(AC14&gt;=BUY_THRESHOLD,"Buy",IF(AC14&gt;=MAYBE_THRESHOLD,"Maybe","Reject")))))))</f>
        <v/>
      </c>
      <c r="AE14" s="23" t="n"/>
      <c r="AF14" s="23" t="n"/>
      <c r="AG14" s="23" t="n"/>
      <c r="AH14" s="23" t="n"/>
      <c r="AI14" s="24" t="n"/>
      <c r="AJ14">
        <f>IF(AC14="",-9999-ROW()*0.0000001,AC14-ROW()*0.0000001)</f>
        <v/>
      </c>
      <c r="AK14">
        <f>IF(OR(AC14="",P14="",P14&gt;MAX_PRICE),-9999-ROW()*0.0000001,AC14-ROW()*0.0000001)</f>
        <v/>
      </c>
      <c r="AL14">
        <f>IF(AC14="",-9999-ROW()*0.0000001,X14*1000+AC14-ROW()*0.0000001)</f>
        <v/>
      </c>
      <c r="AM14">
        <f>IF(AC14="",-9999-ROW()*0.0000001,Y14*1000+AC14-ROW()*0.0000001)</f>
        <v/>
      </c>
      <c r="AN14">
        <f>IF(AND(OR(AD14="Maybe",AD14="Price Review"),AG14&lt;&gt;"Approved",AG14&lt;&gt;"Rejected"),IF(AC14="",0,AC14)-ROW()*0.0000001,-9999-ROW()*0.0000001)</f>
        <v/>
      </c>
      <c r="AO14" s="28" t="n"/>
      <c r="AP14" s="28" t="n"/>
      <c r="AQ14" s="29" t="n"/>
      <c r="AR14" s="29" t="n"/>
      <c r="AS14" s="23" t="n"/>
      <c r="AT14" s="29" t="n"/>
      <c r="AU14" s="29" t="n"/>
      <c r="AV14" s="29" t="n"/>
      <c r="AW14" s="25">
        <f>IF(OR(O14="",AV14=""),"",O14*AV14)</f>
        <v/>
      </c>
      <c r="AX14" s="23" t="n"/>
      <c r="AY14" s="23" t="n"/>
      <c r="AZ14" s="23" t="n"/>
      <c r="BA14" s="23" t="n"/>
      <c r="BB14" s="23" t="n"/>
      <c r="BC14" s="25" t="n"/>
      <c r="BD14" s="23" t="n"/>
      <c r="BE14" s="23">
        <f>IF(C14="","",IF(AND(ISNUMBER(P14),P14&gt;MAX_PRICE),"Price too high",IF(AND(ISNUMBER(AB14),AB14&lt;=2),"Quality risk",IF(AND(ISNUMBER(U14),U14&lt;=2),"Aesthetic mismatch",IF(AY14="High","Too fragile",IF(AND(ISNUMBER(R14),R14&lt;LOW_PROFIT_PCT),"Low profit",IF(AND(ISNUMBER(AT14),AT14&gt;MOQ_WARNING),"MOQ too high",IF(OR(AD14="Maybe",AD14="Price Review"),"Needs partner review",IF(AD14="Buy","Good candidate","")))))))))</f>
        <v/>
      </c>
      <c r="BF14" s="23" t="n"/>
      <c r="BG14" s="23" t="n"/>
      <c r="BH14" s="23" t="n"/>
      <c r="BI14" s="23" t="n"/>
      <c r="BJ14" s="23" t="n"/>
      <c r="BK14" s="23" t="n"/>
      <c r="BL14" s="23">
        <f>IF(C14="","",IF(AND(BG14="Yes",BH14="Yes",BI14="Yes",BJ14="Yes",BK14="Yes"),"Yes","No"))</f>
        <v/>
      </c>
      <c r="BM14" s="25" t="n"/>
      <c r="BN14" s="25" t="n"/>
      <c r="BO14" s="25">
        <f>IF(OR(BM14="",BN14=""),"",BM14+BN14)</f>
        <v/>
      </c>
      <c r="BP14" s="25" t="n"/>
      <c r="BQ14" s="25">
        <f>IF(OR(BP14="",BO14=""),"",BP14-BO14)</f>
        <v/>
      </c>
      <c r="BR14" s="26">
        <f>IF(OR(BP14="",BP14=0,BQ14=""),"",BQ14/BP14)</f>
        <v/>
      </c>
      <c r="BS14" s="24" t="n"/>
      <c r="BT14" s="29" t="n"/>
      <c r="BU14" s="29" t="n"/>
      <c r="BV14" s="23" t="n"/>
      <c r="BW14" s="23" t="n"/>
      <c r="BX14" s="29">
        <f>IF(OR(BT14="",BU14=""),"",BT14-BU14)</f>
        <v/>
      </c>
      <c r="BY14" s="23" t="n"/>
      <c r="BZ14" s="24" t="n"/>
      <c r="CA14" s="23" t="n"/>
      <c r="CB14" s="23" t="n"/>
    </row>
    <row r="15">
      <c r="A15" s="16">
        <f>IF(C15="","","AYN-"&amp;IFERROR(VLOOKUP(E15,CATEGORY_PREFIX_TABLE,2,FALSE),"OTH")&amp;"-"&amp;TEXT(ROW()-2,"0000"))</f>
        <v/>
      </c>
      <c r="B15" s="17" t="n"/>
      <c r="C15" s="16" t="n"/>
      <c r="D15" s="16" t="n"/>
      <c r="E15" s="16" t="n"/>
      <c r="F15" s="16" t="n"/>
      <c r="G15" s="16" t="n"/>
      <c r="H15" s="16" t="n"/>
      <c r="I15" s="16" t="n"/>
      <c r="J15" s="16" t="n"/>
      <c r="K15" s="18">
        <f>IF(I15="","",IF(J15="BDT",I15,IF(J15="USD",I15*USD_BDT,IF(J15="RMB",I15*RMB_BDT,""))))</f>
        <v/>
      </c>
      <c r="L15" s="18" t="n"/>
      <c r="M15" s="19" t="n"/>
      <c r="N15" s="18" t="n"/>
      <c r="O15" s="18">
        <f>IF(K15="","",K15+IFERROR(L15,0)+(K15*IF(M15="",CUSTOMS_PCT,M15))+IF(N15="",MISC_FEE,N15))</f>
        <v/>
      </c>
      <c r="P15" s="18">
        <f>IF(O15="","",ROUND(O15*(1+MARKUP_PCT),-1)-1)</f>
        <v/>
      </c>
      <c r="Q15" s="18">
        <f>IF(P15="","",P15-O15)</f>
        <v/>
      </c>
      <c r="R15" s="19">
        <f>IF(OR(P15="",P15=0),"",Q15/P15)</f>
        <v/>
      </c>
      <c r="S15" s="16" t="n"/>
      <c r="T15" s="16" t="n"/>
      <c r="U15" s="16" t="n"/>
      <c r="V15" s="16" t="n"/>
      <c r="W15" s="16" t="n"/>
      <c r="X15" s="16" t="n"/>
      <c r="Y15" s="16" t="n"/>
      <c r="Z15" s="16" t="n"/>
      <c r="AA15" s="16" t="n"/>
      <c r="AB15" s="16" t="n"/>
      <c r="AC15" s="20">
        <f>IF(COUNT(S15:AB15)&lt;10,"",(S15*W_FEMININE+T15*W_TREND+U15*W_AESTHETIC+V15*W_STYLE+W15*W_LIGHT+X15*W_REELS+Y15*W_GIFT+Z15*W_PRICEFIT+AA15*W_DEMAND+AB15*W_QUALITY)/5*100)</f>
        <v/>
      </c>
      <c r="AD15" s="16">
        <f>IF(P15="","",IF(P15&gt;HARD_REJECT_PRICE,"Reject",IF(P15&gt;MAX_PRICE,"Price Review",IF(AC15="","",IF(AND(AC15&gt;=BUY_THRESHOLD,OR(AB15&lt;=2,U15&lt;=2)),"Maybe",IF(AC15&gt;=BUY_THRESHOLD,"Buy",IF(AC15&gt;=MAYBE_THRESHOLD,"Maybe","Reject")))))))</f>
        <v/>
      </c>
      <c r="AE15" s="16" t="n"/>
      <c r="AF15" s="16" t="n"/>
      <c r="AG15" s="16" t="n"/>
      <c r="AH15" s="16" t="n"/>
      <c r="AI15" s="17" t="n"/>
      <c r="AJ15">
        <f>IF(AC15="",-9999-ROW()*0.0000001,AC15-ROW()*0.0000001)</f>
        <v/>
      </c>
      <c r="AK15">
        <f>IF(OR(AC15="",P15="",P15&gt;MAX_PRICE),-9999-ROW()*0.0000001,AC15-ROW()*0.0000001)</f>
        <v/>
      </c>
      <c r="AL15">
        <f>IF(AC15="",-9999-ROW()*0.0000001,X15*1000+AC15-ROW()*0.0000001)</f>
        <v/>
      </c>
      <c r="AM15">
        <f>IF(AC15="",-9999-ROW()*0.0000001,Y15*1000+AC15-ROW()*0.0000001)</f>
        <v/>
      </c>
      <c r="AN15">
        <f>IF(AND(OR(AD15="Maybe",AD15="Price Review"),AG15&lt;&gt;"Approved",AG15&lt;&gt;"Rejected"),IF(AC15="",0,AC15)-ROW()*0.0000001,-9999-ROW()*0.0000001)</f>
        <v/>
      </c>
      <c r="AO15" s="21" t="n"/>
      <c r="AP15" s="21" t="n"/>
      <c r="AQ15" s="22" t="n"/>
      <c r="AR15" s="22" t="n"/>
      <c r="AS15" s="16" t="n"/>
      <c r="AT15" s="22" t="n"/>
      <c r="AU15" s="22" t="n"/>
      <c r="AV15" s="22" t="n"/>
      <c r="AW15" s="18">
        <f>IF(OR(O15="",AV15=""),"",O15*AV15)</f>
        <v/>
      </c>
      <c r="AX15" s="16" t="n"/>
      <c r="AY15" s="16" t="n"/>
      <c r="AZ15" s="16" t="n"/>
      <c r="BA15" s="16" t="n"/>
      <c r="BB15" s="16" t="n"/>
      <c r="BC15" s="18" t="n"/>
      <c r="BD15" s="16" t="n"/>
      <c r="BE15" s="16">
        <f>IF(C15="","",IF(AND(ISNUMBER(P15),P15&gt;MAX_PRICE),"Price too high",IF(AND(ISNUMBER(AB15),AB15&lt;=2),"Quality risk",IF(AND(ISNUMBER(U15),U15&lt;=2),"Aesthetic mismatch",IF(AY15="High","Too fragile",IF(AND(ISNUMBER(R15),R15&lt;LOW_PROFIT_PCT),"Low profit",IF(AND(ISNUMBER(AT15),AT15&gt;MOQ_WARNING),"MOQ too high",IF(OR(AD15="Maybe",AD15="Price Review"),"Needs partner review",IF(AD15="Buy","Good candidate","")))))))))</f>
        <v/>
      </c>
      <c r="BF15" s="16" t="n"/>
      <c r="BG15" s="16" t="n"/>
      <c r="BH15" s="16" t="n"/>
      <c r="BI15" s="16" t="n"/>
      <c r="BJ15" s="16" t="n"/>
      <c r="BK15" s="16" t="n"/>
      <c r="BL15" s="16">
        <f>IF(C15="","",IF(AND(BG15="Yes",BH15="Yes",BI15="Yes",BJ15="Yes",BK15="Yes"),"Yes","No"))</f>
        <v/>
      </c>
      <c r="BM15" s="18" t="n"/>
      <c r="BN15" s="18" t="n"/>
      <c r="BO15" s="18">
        <f>IF(OR(BM15="",BN15=""),"",BM15+BN15)</f>
        <v/>
      </c>
      <c r="BP15" s="18" t="n"/>
      <c r="BQ15" s="18">
        <f>IF(OR(BP15="",BO15=""),"",BP15-BO15)</f>
        <v/>
      </c>
      <c r="BR15" s="19">
        <f>IF(OR(BP15="",BP15=0,BQ15=""),"",BQ15/BP15)</f>
        <v/>
      </c>
      <c r="BS15" s="17" t="n"/>
      <c r="BT15" s="22" t="n"/>
      <c r="BU15" s="22" t="n"/>
      <c r="BV15" s="16" t="n"/>
      <c r="BW15" s="16" t="n"/>
      <c r="BX15" s="22">
        <f>IF(OR(BT15="",BU15=""),"",BT15-BU15)</f>
        <v/>
      </c>
      <c r="BY15" s="16" t="n"/>
      <c r="BZ15" s="17" t="n"/>
      <c r="CA15" s="16" t="n"/>
      <c r="CB15" s="16" t="n"/>
    </row>
    <row r="16">
      <c r="A16" s="23">
        <f>IF(C16="","","AYN-"&amp;IFERROR(VLOOKUP(E16,CATEGORY_PREFIX_TABLE,2,FALSE),"OTH")&amp;"-"&amp;TEXT(ROW()-2,"0000"))</f>
        <v/>
      </c>
      <c r="B16" s="24" t="n"/>
      <c r="C16" s="23" t="n"/>
      <c r="D16" s="23" t="n"/>
      <c r="E16" s="23" t="n"/>
      <c r="F16" s="23" t="n"/>
      <c r="G16" s="23" t="n"/>
      <c r="H16" s="23" t="n"/>
      <c r="I16" s="23" t="n"/>
      <c r="J16" s="23" t="n"/>
      <c r="K16" s="25">
        <f>IF(I16="","",IF(J16="BDT",I16,IF(J16="USD",I16*USD_BDT,IF(J16="RMB",I16*RMB_BDT,""))))</f>
        <v/>
      </c>
      <c r="L16" s="25" t="n"/>
      <c r="M16" s="26" t="n"/>
      <c r="N16" s="25" t="n"/>
      <c r="O16" s="25">
        <f>IF(K16="","",K16+IFERROR(L16,0)+(K16*IF(M16="",CUSTOMS_PCT,M16))+IF(N16="",MISC_FEE,N16))</f>
        <v/>
      </c>
      <c r="P16" s="25">
        <f>IF(O16="","",ROUND(O16*(1+MARKUP_PCT),-1)-1)</f>
        <v/>
      </c>
      <c r="Q16" s="25">
        <f>IF(P16="","",P16-O16)</f>
        <v/>
      </c>
      <c r="R16" s="26">
        <f>IF(OR(P16="",P16=0),"",Q16/P16)</f>
        <v/>
      </c>
      <c r="S16" s="23" t="n"/>
      <c r="T16" s="23" t="n"/>
      <c r="U16" s="23" t="n"/>
      <c r="V16" s="23" t="n"/>
      <c r="W16" s="23" t="n"/>
      <c r="X16" s="23" t="n"/>
      <c r="Y16" s="23" t="n"/>
      <c r="Z16" s="23" t="n"/>
      <c r="AA16" s="23" t="n"/>
      <c r="AB16" s="23" t="n"/>
      <c r="AC16" s="27">
        <f>IF(COUNT(S16:AB16)&lt;10,"",(S16*W_FEMININE+T16*W_TREND+U16*W_AESTHETIC+V16*W_STYLE+W16*W_LIGHT+X16*W_REELS+Y16*W_GIFT+Z16*W_PRICEFIT+AA16*W_DEMAND+AB16*W_QUALITY)/5*100)</f>
        <v/>
      </c>
      <c r="AD16" s="23">
        <f>IF(P16="","",IF(P16&gt;HARD_REJECT_PRICE,"Reject",IF(P16&gt;MAX_PRICE,"Price Review",IF(AC16="","",IF(AND(AC16&gt;=BUY_THRESHOLD,OR(AB16&lt;=2,U16&lt;=2)),"Maybe",IF(AC16&gt;=BUY_THRESHOLD,"Buy",IF(AC16&gt;=MAYBE_THRESHOLD,"Maybe","Reject")))))))</f>
        <v/>
      </c>
      <c r="AE16" s="23" t="n"/>
      <c r="AF16" s="23" t="n"/>
      <c r="AG16" s="23" t="n"/>
      <c r="AH16" s="23" t="n"/>
      <c r="AI16" s="24" t="n"/>
      <c r="AJ16">
        <f>IF(AC16="",-9999-ROW()*0.0000001,AC16-ROW()*0.0000001)</f>
        <v/>
      </c>
      <c r="AK16">
        <f>IF(OR(AC16="",P16="",P16&gt;MAX_PRICE),-9999-ROW()*0.0000001,AC16-ROW()*0.0000001)</f>
        <v/>
      </c>
      <c r="AL16">
        <f>IF(AC16="",-9999-ROW()*0.0000001,X16*1000+AC16-ROW()*0.0000001)</f>
        <v/>
      </c>
      <c r="AM16">
        <f>IF(AC16="",-9999-ROW()*0.0000001,Y16*1000+AC16-ROW()*0.0000001)</f>
        <v/>
      </c>
      <c r="AN16">
        <f>IF(AND(OR(AD16="Maybe",AD16="Price Review"),AG16&lt;&gt;"Approved",AG16&lt;&gt;"Rejected"),IF(AC16="",0,AC16)-ROW()*0.0000001,-9999-ROW()*0.0000001)</f>
        <v/>
      </c>
      <c r="AO16" s="28" t="n"/>
      <c r="AP16" s="28" t="n"/>
      <c r="AQ16" s="29" t="n"/>
      <c r="AR16" s="29" t="n"/>
      <c r="AS16" s="23" t="n"/>
      <c r="AT16" s="29" t="n"/>
      <c r="AU16" s="29" t="n"/>
      <c r="AV16" s="29" t="n"/>
      <c r="AW16" s="25">
        <f>IF(OR(O16="",AV16=""),"",O16*AV16)</f>
        <v/>
      </c>
      <c r="AX16" s="23" t="n"/>
      <c r="AY16" s="23" t="n"/>
      <c r="AZ16" s="23" t="n"/>
      <c r="BA16" s="23" t="n"/>
      <c r="BB16" s="23" t="n"/>
      <c r="BC16" s="25" t="n"/>
      <c r="BD16" s="23" t="n"/>
      <c r="BE16" s="23">
        <f>IF(C16="","",IF(AND(ISNUMBER(P16),P16&gt;MAX_PRICE),"Price too high",IF(AND(ISNUMBER(AB16),AB16&lt;=2),"Quality risk",IF(AND(ISNUMBER(U16),U16&lt;=2),"Aesthetic mismatch",IF(AY16="High","Too fragile",IF(AND(ISNUMBER(R16),R16&lt;LOW_PROFIT_PCT),"Low profit",IF(AND(ISNUMBER(AT16),AT16&gt;MOQ_WARNING),"MOQ too high",IF(OR(AD16="Maybe",AD16="Price Review"),"Needs partner review",IF(AD16="Buy","Good candidate","")))))))))</f>
        <v/>
      </c>
      <c r="BF16" s="23" t="n"/>
      <c r="BG16" s="23" t="n"/>
      <c r="BH16" s="23" t="n"/>
      <c r="BI16" s="23" t="n"/>
      <c r="BJ16" s="23" t="n"/>
      <c r="BK16" s="23" t="n"/>
      <c r="BL16" s="23">
        <f>IF(C16="","",IF(AND(BG16="Yes",BH16="Yes",BI16="Yes",BJ16="Yes",BK16="Yes"),"Yes","No"))</f>
        <v/>
      </c>
      <c r="BM16" s="25" t="n"/>
      <c r="BN16" s="25" t="n"/>
      <c r="BO16" s="25">
        <f>IF(OR(BM16="",BN16=""),"",BM16+BN16)</f>
        <v/>
      </c>
      <c r="BP16" s="25" t="n"/>
      <c r="BQ16" s="25">
        <f>IF(OR(BP16="",BO16=""),"",BP16-BO16)</f>
        <v/>
      </c>
      <c r="BR16" s="26">
        <f>IF(OR(BP16="",BP16=0,BQ16=""),"",BQ16/BP16)</f>
        <v/>
      </c>
      <c r="BS16" s="24" t="n"/>
      <c r="BT16" s="29" t="n"/>
      <c r="BU16" s="29" t="n"/>
      <c r="BV16" s="23" t="n"/>
      <c r="BW16" s="23" t="n"/>
      <c r="BX16" s="29">
        <f>IF(OR(BT16="",BU16=""),"",BT16-BU16)</f>
        <v/>
      </c>
      <c r="BY16" s="23" t="n"/>
      <c r="BZ16" s="24" t="n"/>
      <c r="CA16" s="23" t="n"/>
      <c r="CB16" s="23" t="n"/>
    </row>
    <row r="17">
      <c r="A17" s="16">
        <f>IF(C17="","","AYN-"&amp;IFERROR(VLOOKUP(E17,CATEGORY_PREFIX_TABLE,2,FALSE),"OTH")&amp;"-"&amp;TEXT(ROW()-2,"0000"))</f>
        <v/>
      </c>
      <c r="B17" s="17" t="n"/>
      <c r="C17" s="16" t="n"/>
      <c r="D17" s="16" t="n"/>
      <c r="E17" s="16" t="n"/>
      <c r="F17" s="16" t="n"/>
      <c r="G17" s="16" t="n"/>
      <c r="H17" s="16" t="n"/>
      <c r="I17" s="16" t="n"/>
      <c r="J17" s="16" t="n"/>
      <c r="K17" s="18">
        <f>IF(I17="","",IF(J17="BDT",I17,IF(J17="USD",I17*USD_BDT,IF(J17="RMB",I17*RMB_BDT,""))))</f>
        <v/>
      </c>
      <c r="L17" s="18" t="n"/>
      <c r="M17" s="19" t="n"/>
      <c r="N17" s="18" t="n"/>
      <c r="O17" s="18">
        <f>IF(K17="","",K17+IFERROR(L17,0)+(K17*IF(M17="",CUSTOMS_PCT,M17))+IF(N17="",MISC_FEE,N17))</f>
        <v/>
      </c>
      <c r="P17" s="18">
        <f>IF(O17="","",ROUND(O17*(1+MARKUP_PCT),-1)-1)</f>
        <v/>
      </c>
      <c r="Q17" s="18">
        <f>IF(P17="","",P17-O17)</f>
        <v/>
      </c>
      <c r="R17" s="19">
        <f>IF(OR(P17="",P17=0),"",Q17/P17)</f>
        <v/>
      </c>
      <c r="S17" s="16" t="n"/>
      <c r="T17" s="16" t="n"/>
      <c r="U17" s="16" t="n"/>
      <c r="V17" s="16" t="n"/>
      <c r="W17" s="16" t="n"/>
      <c r="X17" s="16" t="n"/>
      <c r="Y17" s="16" t="n"/>
      <c r="Z17" s="16" t="n"/>
      <c r="AA17" s="16" t="n"/>
      <c r="AB17" s="16" t="n"/>
      <c r="AC17" s="20">
        <f>IF(COUNT(S17:AB17)&lt;10,"",(S17*W_FEMININE+T17*W_TREND+U17*W_AESTHETIC+V17*W_STYLE+W17*W_LIGHT+X17*W_REELS+Y17*W_GIFT+Z17*W_PRICEFIT+AA17*W_DEMAND+AB17*W_QUALITY)/5*100)</f>
        <v/>
      </c>
      <c r="AD17" s="16">
        <f>IF(P17="","",IF(P17&gt;HARD_REJECT_PRICE,"Reject",IF(P17&gt;MAX_PRICE,"Price Review",IF(AC17="","",IF(AND(AC17&gt;=BUY_THRESHOLD,OR(AB17&lt;=2,U17&lt;=2)),"Maybe",IF(AC17&gt;=BUY_THRESHOLD,"Buy",IF(AC17&gt;=MAYBE_THRESHOLD,"Maybe","Reject")))))))</f>
        <v/>
      </c>
      <c r="AE17" s="16" t="n"/>
      <c r="AF17" s="16" t="n"/>
      <c r="AG17" s="16" t="n"/>
      <c r="AH17" s="16" t="n"/>
      <c r="AI17" s="17" t="n"/>
      <c r="AJ17">
        <f>IF(AC17="",-9999-ROW()*0.0000001,AC17-ROW()*0.0000001)</f>
        <v/>
      </c>
      <c r="AK17">
        <f>IF(OR(AC17="",P17="",P17&gt;MAX_PRICE),-9999-ROW()*0.0000001,AC17-ROW()*0.0000001)</f>
        <v/>
      </c>
      <c r="AL17">
        <f>IF(AC17="",-9999-ROW()*0.0000001,X17*1000+AC17-ROW()*0.0000001)</f>
        <v/>
      </c>
      <c r="AM17">
        <f>IF(AC17="",-9999-ROW()*0.0000001,Y17*1000+AC17-ROW()*0.0000001)</f>
        <v/>
      </c>
      <c r="AN17">
        <f>IF(AND(OR(AD17="Maybe",AD17="Price Review"),AG17&lt;&gt;"Approved",AG17&lt;&gt;"Rejected"),IF(AC17="",0,AC17)-ROW()*0.0000001,-9999-ROW()*0.0000001)</f>
        <v/>
      </c>
      <c r="AO17" s="21" t="n"/>
      <c r="AP17" s="21" t="n"/>
      <c r="AQ17" s="22" t="n"/>
      <c r="AR17" s="22" t="n"/>
      <c r="AS17" s="16" t="n"/>
      <c r="AT17" s="22" t="n"/>
      <c r="AU17" s="22" t="n"/>
      <c r="AV17" s="22" t="n"/>
      <c r="AW17" s="18">
        <f>IF(OR(O17="",AV17=""),"",O17*AV17)</f>
        <v/>
      </c>
      <c r="AX17" s="16" t="n"/>
      <c r="AY17" s="16" t="n"/>
      <c r="AZ17" s="16" t="n"/>
      <c r="BA17" s="16" t="n"/>
      <c r="BB17" s="16" t="n"/>
      <c r="BC17" s="18" t="n"/>
      <c r="BD17" s="16" t="n"/>
      <c r="BE17" s="16">
        <f>IF(C17="","",IF(AND(ISNUMBER(P17),P17&gt;MAX_PRICE),"Price too high",IF(AND(ISNUMBER(AB17),AB17&lt;=2),"Quality risk",IF(AND(ISNUMBER(U17),U17&lt;=2),"Aesthetic mismatch",IF(AY17="High","Too fragile",IF(AND(ISNUMBER(R17),R17&lt;LOW_PROFIT_PCT),"Low profit",IF(AND(ISNUMBER(AT17),AT17&gt;MOQ_WARNING),"MOQ too high",IF(OR(AD17="Maybe",AD17="Price Review"),"Needs partner review",IF(AD17="Buy","Good candidate","")))))))))</f>
        <v/>
      </c>
      <c r="BF17" s="16" t="n"/>
      <c r="BG17" s="16" t="n"/>
      <c r="BH17" s="16" t="n"/>
      <c r="BI17" s="16" t="n"/>
      <c r="BJ17" s="16" t="n"/>
      <c r="BK17" s="16" t="n"/>
      <c r="BL17" s="16">
        <f>IF(C17="","",IF(AND(BG17="Yes",BH17="Yes",BI17="Yes",BJ17="Yes",BK17="Yes"),"Yes","No"))</f>
        <v/>
      </c>
      <c r="BM17" s="18" t="n"/>
      <c r="BN17" s="18" t="n"/>
      <c r="BO17" s="18">
        <f>IF(OR(BM17="",BN17=""),"",BM17+BN17)</f>
        <v/>
      </c>
      <c r="BP17" s="18" t="n"/>
      <c r="BQ17" s="18">
        <f>IF(OR(BP17="",BO17=""),"",BP17-BO17)</f>
        <v/>
      </c>
      <c r="BR17" s="19">
        <f>IF(OR(BP17="",BP17=0,BQ17=""),"",BQ17/BP17)</f>
        <v/>
      </c>
      <c r="BS17" s="17" t="n"/>
      <c r="BT17" s="22" t="n"/>
      <c r="BU17" s="22" t="n"/>
      <c r="BV17" s="16" t="n"/>
      <c r="BW17" s="16" t="n"/>
      <c r="BX17" s="22">
        <f>IF(OR(BT17="",BU17=""),"",BT17-BU17)</f>
        <v/>
      </c>
      <c r="BY17" s="16" t="n"/>
      <c r="BZ17" s="17" t="n"/>
      <c r="CA17" s="16" t="n"/>
      <c r="CB17" s="16" t="n"/>
    </row>
    <row r="18">
      <c r="A18" s="23">
        <f>IF(C18="","","AYN-"&amp;IFERROR(VLOOKUP(E18,CATEGORY_PREFIX_TABLE,2,FALSE),"OTH")&amp;"-"&amp;TEXT(ROW()-2,"0000"))</f>
        <v/>
      </c>
      <c r="B18" s="24" t="n"/>
      <c r="C18" s="23" t="n"/>
      <c r="D18" s="23" t="n"/>
      <c r="E18" s="23" t="n"/>
      <c r="F18" s="23" t="n"/>
      <c r="G18" s="23" t="n"/>
      <c r="H18" s="23" t="n"/>
      <c r="I18" s="23" t="n"/>
      <c r="J18" s="23" t="n"/>
      <c r="K18" s="25">
        <f>IF(I18="","",IF(J18="BDT",I18,IF(J18="USD",I18*USD_BDT,IF(J18="RMB",I18*RMB_BDT,""))))</f>
        <v/>
      </c>
      <c r="L18" s="25" t="n"/>
      <c r="M18" s="26" t="n"/>
      <c r="N18" s="25" t="n"/>
      <c r="O18" s="25">
        <f>IF(K18="","",K18+IFERROR(L18,0)+(K18*IF(M18="",CUSTOMS_PCT,M18))+IF(N18="",MISC_FEE,N18))</f>
        <v/>
      </c>
      <c r="P18" s="25">
        <f>IF(O18="","",ROUND(O18*(1+MARKUP_PCT),-1)-1)</f>
        <v/>
      </c>
      <c r="Q18" s="25">
        <f>IF(P18="","",P18-O18)</f>
        <v/>
      </c>
      <c r="R18" s="26">
        <f>IF(OR(P18="",P18=0),"",Q18/P18)</f>
        <v/>
      </c>
      <c r="S18" s="23" t="n"/>
      <c r="T18" s="23" t="n"/>
      <c r="U18" s="23" t="n"/>
      <c r="V18" s="23" t="n"/>
      <c r="W18" s="23" t="n"/>
      <c r="X18" s="23" t="n"/>
      <c r="Y18" s="23" t="n"/>
      <c r="Z18" s="23" t="n"/>
      <c r="AA18" s="23" t="n"/>
      <c r="AB18" s="23" t="n"/>
      <c r="AC18" s="27">
        <f>IF(COUNT(S18:AB18)&lt;10,"",(S18*W_FEMININE+T18*W_TREND+U18*W_AESTHETIC+V18*W_STYLE+W18*W_LIGHT+X18*W_REELS+Y18*W_GIFT+Z18*W_PRICEFIT+AA18*W_DEMAND+AB18*W_QUALITY)/5*100)</f>
        <v/>
      </c>
      <c r="AD18" s="23">
        <f>IF(P18="","",IF(P18&gt;HARD_REJECT_PRICE,"Reject",IF(P18&gt;MAX_PRICE,"Price Review",IF(AC18="","",IF(AND(AC18&gt;=BUY_THRESHOLD,OR(AB18&lt;=2,U18&lt;=2)),"Maybe",IF(AC18&gt;=BUY_THRESHOLD,"Buy",IF(AC18&gt;=MAYBE_THRESHOLD,"Maybe","Reject")))))))</f>
        <v/>
      </c>
      <c r="AE18" s="23" t="n"/>
      <c r="AF18" s="23" t="n"/>
      <c r="AG18" s="23" t="n"/>
      <c r="AH18" s="23" t="n"/>
      <c r="AI18" s="24" t="n"/>
      <c r="AJ18">
        <f>IF(AC18="",-9999-ROW()*0.0000001,AC18-ROW()*0.0000001)</f>
        <v/>
      </c>
      <c r="AK18">
        <f>IF(OR(AC18="",P18="",P18&gt;MAX_PRICE),-9999-ROW()*0.0000001,AC18-ROW()*0.0000001)</f>
        <v/>
      </c>
      <c r="AL18">
        <f>IF(AC18="",-9999-ROW()*0.0000001,X18*1000+AC18-ROW()*0.0000001)</f>
        <v/>
      </c>
      <c r="AM18">
        <f>IF(AC18="",-9999-ROW()*0.0000001,Y18*1000+AC18-ROW()*0.0000001)</f>
        <v/>
      </c>
      <c r="AN18">
        <f>IF(AND(OR(AD18="Maybe",AD18="Price Review"),AG18&lt;&gt;"Approved",AG18&lt;&gt;"Rejected"),IF(AC18="",0,AC18)-ROW()*0.0000001,-9999-ROW()*0.0000001)</f>
        <v/>
      </c>
      <c r="AO18" s="28" t="n"/>
      <c r="AP18" s="28" t="n"/>
      <c r="AQ18" s="29" t="n"/>
      <c r="AR18" s="29" t="n"/>
      <c r="AS18" s="23" t="n"/>
      <c r="AT18" s="29" t="n"/>
      <c r="AU18" s="29" t="n"/>
      <c r="AV18" s="29" t="n"/>
      <c r="AW18" s="25">
        <f>IF(OR(O18="",AV18=""),"",O18*AV18)</f>
        <v/>
      </c>
      <c r="AX18" s="23" t="n"/>
      <c r="AY18" s="23" t="n"/>
      <c r="AZ18" s="23" t="n"/>
      <c r="BA18" s="23" t="n"/>
      <c r="BB18" s="23" t="n"/>
      <c r="BC18" s="25" t="n"/>
      <c r="BD18" s="23" t="n"/>
      <c r="BE18" s="23">
        <f>IF(C18="","",IF(AND(ISNUMBER(P18),P18&gt;MAX_PRICE),"Price too high",IF(AND(ISNUMBER(AB18),AB18&lt;=2),"Quality risk",IF(AND(ISNUMBER(U18),U18&lt;=2),"Aesthetic mismatch",IF(AY18="High","Too fragile",IF(AND(ISNUMBER(R18),R18&lt;LOW_PROFIT_PCT),"Low profit",IF(AND(ISNUMBER(AT18),AT18&gt;MOQ_WARNING),"MOQ too high",IF(OR(AD18="Maybe",AD18="Price Review"),"Needs partner review",IF(AD18="Buy","Good candidate","")))))))))</f>
        <v/>
      </c>
      <c r="BF18" s="23" t="n"/>
      <c r="BG18" s="23" t="n"/>
      <c r="BH18" s="23" t="n"/>
      <c r="BI18" s="23" t="n"/>
      <c r="BJ18" s="23" t="n"/>
      <c r="BK18" s="23" t="n"/>
      <c r="BL18" s="23">
        <f>IF(C18="","",IF(AND(BG18="Yes",BH18="Yes",BI18="Yes",BJ18="Yes",BK18="Yes"),"Yes","No"))</f>
        <v/>
      </c>
      <c r="BM18" s="25" t="n"/>
      <c r="BN18" s="25" t="n"/>
      <c r="BO18" s="25">
        <f>IF(OR(BM18="",BN18=""),"",BM18+BN18)</f>
        <v/>
      </c>
      <c r="BP18" s="25" t="n"/>
      <c r="BQ18" s="25">
        <f>IF(OR(BP18="",BO18=""),"",BP18-BO18)</f>
        <v/>
      </c>
      <c r="BR18" s="26">
        <f>IF(OR(BP18="",BP18=0,BQ18=""),"",BQ18/BP18)</f>
        <v/>
      </c>
      <c r="BS18" s="24" t="n"/>
      <c r="BT18" s="29" t="n"/>
      <c r="BU18" s="29" t="n"/>
      <c r="BV18" s="23" t="n"/>
      <c r="BW18" s="23" t="n"/>
      <c r="BX18" s="29">
        <f>IF(OR(BT18="",BU18=""),"",BT18-BU18)</f>
        <v/>
      </c>
      <c r="BY18" s="23" t="n"/>
      <c r="BZ18" s="24" t="n"/>
      <c r="CA18" s="23" t="n"/>
      <c r="CB18" s="23" t="n"/>
    </row>
    <row r="19">
      <c r="A19" s="16">
        <f>IF(C19="","","AYN-"&amp;IFERROR(VLOOKUP(E19,CATEGORY_PREFIX_TABLE,2,FALSE),"OTH")&amp;"-"&amp;TEXT(ROW()-2,"0000"))</f>
        <v/>
      </c>
      <c r="B19" s="17" t="n"/>
      <c r="C19" s="16" t="n"/>
      <c r="D19" s="16" t="n"/>
      <c r="E19" s="16" t="n"/>
      <c r="F19" s="16" t="n"/>
      <c r="G19" s="16" t="n"/>
      <c r="H19" s="16" t="n"/>
      <c r="I19" s="16" t="n"/>
      <c r="J19" s="16" t="n"/>
      <c r="K19" s="18">
        <f>IF(I19="","",IF(J19="BDT",I19,IF(J19="USD",I19*USD_BDT,IF(J19="RMB",I19*RMB_BDT,""))))</f>
        <v/>
      </c>
      <c r="L19" s="18" t="n"/>
      <c r="M19" s="19" t="n"/>
      <c r="N19" s="18" t="n"/>
      <c r="O19" s="18">
        <f>IF(K19="","",K19+IFERROR(L19,0)+(K19*IF(M19="",CUSTOMS_PCT,M19))+IF(N19="",MISC_FEE,N19))</f>
        <v/>
      </c>
      <c r="P19" s="18">
        <f>IF(O19="","",ROUND(O19*(1+MARKUP_PCT),-1)-1)</f>
        <v/>
      </c>
      <c r="Q19" s="18">
        <f>IF(P19="","",P19-O19)</f>
        <v/>
      </c>
      <c r="R19" s="19">
        <f>IF(OR(P19="",P19=0),"",Q19/P19)</f>
        <v/>
      </c>
      <c r="S19" s="16" t="n"/>
      <c r="T19" s="16" t="n"/>
      <c r="U19" s="16" t="n"/>
      <c r="V19" s="16" t="n"/>
      <c r="W19" s="16" t="n"/>
      <c r="X19" s="16" t="n"/>
      <c r="Y19" s="16" t="n"/>
      <c r="Z19" s="16" t="n"/>
      <c r="AA19" s="16" t="n"/>
      <c r="AB19" s="16" t="n"/>
      <c r="AC19" s="20">
        <f>IF(COUNT(S19:AB19)&lt;10,"",(S19*W_FEMININE+T19*W_TREND+U19*W_AESTHETIC+V19*W_STYLE+W19*W_LIGHT+X19*W_REELS+Y19*W_GIFT+Z19*W_PRICEFIT+AA19*W_DEMAND+AB19*W_QUALITY)/5*100)</f>
        <v/>
      </c>
      <c r="AD19" s="16">
        <f>IF(P19="","",IF(P19&gt;HARD_REJECT_PRICE,"Reject",IF(P19&gt;MAX_PRICE,"Price Review",IF(AC19="","",IF(AND(AC19&gt;=BUY_THRESHOLD,OR(AB19&lt;=2,U19&lt;=2)),"Maybe",IF(AC19&gt;=BUY_THRESHOLD,"Buy",IF(AC19&gt;=MAYBE_THRESHOLD,"Maybe","Reject")))))))</f>
        <v/>
      </c>
      <c r="AE19" s="16" t="n"/>
      <c r="AF19" s="16" t="n"/>
      <c r="AG19" s="16" t="n"/>
      <c r="AH19" s="16" t="n"/>
      <c r="AI19" s="17" t="n"/>
      <c r="AJ19">
        <f>IF(AC19="",-9999-ROW()*0.0000001,AC19-ROW()*0.0000001)</f>
        <v/>
      </c>
      <c r="AK19">
        <f>IF(OR(AC19="",P19="",P19&gt;MAX_PRICE),-9999-ROW()*0.0000001,AC19-ROW()*0.0000001)</f>
        <v/>
      </c>
      <c r="AL19">
        <f>IF(AC19="",-9999-ROW()*0.0000001,X19*1000+AC19-ROW()*0.0000001)</f>
        <v/>
      </c>
      <c r="AM19">
        <f>IF(AC19="",-9999-ROW()*0.0000001,Y19*1000+AC19-ROW()*0.0000001)</f>
        <v/>
      </c>
      <c r="AN19">
        <f>IF(AND(OR(AD19="Maybe",AD19="Price Review"),AG19&lt;&gt;"Approved",AG19&lt;&gt;"Rejected"),IF(AC19="",0,AC19)-ROW()*0.0000001,-9999-ROW()*0.0000001)</f>
        <v/>
      </c>
      <c r="AO19" s="21" t="n"/>
      <c r="AP19" s="21" t="n"/>
      <c r="AQ19" s="22" t="n"/>
      <c r="AR19" s="22" t="n"/>
      <c r="AS19" s="16" t="n"/>
      <c r="AT19" s="22" t="n"/>
      <c r="AU19" s="22" t="n"/>
      <c r="AV19" s="22" t="n"/>
      <c r="AW19" s="18">
        <f>IF(OR(O19="",AV19=""),"",O19*AV19)</f>
        <v/>
      </c>
      <c r="AX19" s="16" t="n"/>
      <c r="AY19" s="16" t="n"/>
      <c r="AZ19" s="16" t="n"/>
      <c r="BA19" s="16" t="n"/>
      <c r="BB19" s="16" t="n"/>
      <c r="BC19" s="18" t="n"/>
      <c r="BD19" s="16" t="n"/>
      <c r="BE19" s="16">
        <f>IF(C19="","",IF(AND(ISNUMBER(P19),P19&gt;MAX_PRICE),"Price too high",IF(AND(ISNUMBER(AB19),AB19&lt;=2),"Quality risk",IF(AND(ISNUMBER(U19),U19&lt;=2),"Aesthetic mismatch",IF(AY19="High","Too fragile",IF(AND(ISNUMBER(R19),R19&lt;LOW_PROFIT_PCT),"Low profit",IF(AND(ISNUMBER(AT19),AT19&gt;MOQ_WARNING),"MOQ too high",IF(OR(AD19="Maybe",AD19="Price Review"),"Needs partner review",IF(AD19="Buy","Good candidate","")))))))))</f>
        <v/>
      </c>
      <c r="BF19" s="16" t="n"/>
      <c r="BG19" s="16" t="n"/>
      <c r="BH19" s="16" t="n"/>
      <c r="BI19" s="16" t="n"/>
      <c r="BJ19" s="16" t="n"/>
      <c r="BK19" s="16" t="n"/>
      <c r="BL19" s="16">
        <f>IF(C19="","",IF(AND(BG19="Yes",BH19="Yes",BI19="Yes",BJ19="Yes",BK19="Yes"),"Yes","No"))</f>
        <v/>
      </c>
      <c r="BM19" s="18" t="n"/>
      <c r="BN19" s="18" t="n"/>
      <c r="BO19" s="18">
        <f>IF(OR(BM19="",BN19=""),"",BM19+BN19)</f>
        <v/>
      </c>
      <c r="BP19" s="18" t="n"/>
      <c r="BQ19" s="18">
        <f>IF(OR(BP19="",BO19=""),"",BP19-BO19)</f>
        <v/>
      </c>
      <c r="BR19" s="19">
        <f>IF(OR(BP19="",BP19=0,BQ19=""),"",BQ19/BP19)</f>
        <v/>
      </c>
      <c r="BS19" s="17" t="n"/>
      <c r="BT19" s="22" t="n"/>
      <c r="BU19" s="22" t="n"/>
      <c r="BV19" s="16" t="n"/>
      <c r="BW19" s="16" t="n"/>
      <c r="BX19" s="22">
        <f>IF(OR(BT19="",BU19=""),"",BT19-BU19)</f>
        <v/>
      </c>
      <c r="BY19" s="16" t="n"/>
      <c r="BZ19" s="17" t="n"/>
      <c r="CA19" s="16" t="n"/>
      <c r="CB19" s="16" t="n"/>
    </row>
    <row r="20">
      <c r="A20" s="23">
        <f>IF(C20="","","AYN-"&amp;IFERROR(VLOOKUP(E20,CATEGORY_PREFIX_TABLE,2,FALSE),"OTH")&amp;"-"&amp;TEXT(ROW()-2,"0000"))</f>
        <v/>
      </c>
      <c r="B20" s="24" t="n"/>
      <c r="C20" s="23" t="n"/>
      <c r="D20" s="23" t="n"/>
      <c r="E20" s="23" t="n"/>
      <c r="F20" s="23" t="n"/>
      <c r="G20" s="23" t="n"/>
      <c r="H20" s="23" t="n"/>
      <c r="I20" s="23" t="n"/>
      <c r="J20" s="23" t="n"/>
      <c r="K20" s="25">
        <f>IF(I20="","",IF(J20="BDT",I20,IF(J20="USD",I20*USD_BDT,IF(J20="RMB",I20*RMB_BDT,""))))</f>
        <v/>
      </c>
      <c r="L20" s="25" t="n"/>
      <c r="M20" s="26" t="n"/>
      <c r="N20" s="25" t="n"/>
      <c r="O20" s="25">
        <f>IF(K20="","",K20+IFERROR(L20,0)+(K20*IF(M20="",CUSTOMS_PCT,M20))+IF(N20="",MISC_FEE,N20))</f>
        <v/>
      </c>
      <c r="P20" s="25">
        <f>IF(O20="","",ROUND(O20*(1+MARKUP_PCT),-1)-1)</f>
        <v/>
      </c>
      <c r="Q20" s="25">
        <f>IF(P20="","",P20-O20)</f>
        <v/>
      </c>
      <c r="R20" s="26">
        <f>IF(OR(P20="",P20=0),"",Q20/P20)</f>
        <v/>
      </c>
      <c r="S20" s="23" t="n"/>
      <c r="T20" s="23" t="n"/>
      <c r="U20" s="23" t="n"/>
      <c r="V20" s="23" t="n"/>
      <c r="W20" s="23" t="n"/>
      <c r="X20" s="23" t="n"/>
      <c r="Y20" s="23" t="n"/>
      <c r="Z20" s="23" t="n"/>
      <c r="AA20" s="23" t="n"/>
      <c r="AB20" s="23" t="n"/>
      <c r="AC20" s="27">
        <f>IF(COUNT(S20:AB20)&lt;10,"",(S20*W_FEMININE+T20*W_TREND+U20*W_AESTHETIC+V20*W_STYLE+W20*W_LIGHT+X20*W_REELS+Y20*W_GIFT+Z20*W_PRICEFIT+AA20*W_DEMAND+AB20*W_QUALITY)/5*100)</f>
        <v/>
      </c>
      <c r="AD20" s="23">
        <f>IF(P20="","",IF(P20&gt;HARD_REJECT_PRICE,"Reject",IF(P20&gt;MAX_PRICE,"Price Review",IF(AC20="","",IF(AND(AC20&gt;=BUY_THRESHOLD,OR(AB20&lt;=2,U20&lt;=2)),"Maybe",IF(AC20&gt;=BUY_THRESHOLD,"Buy",IF(AC20&gt;=MAYBE_THRESHOLD,"Maybe","Reject")))))))</f>
        <v/>
      </c>
      <c r="AE20" s="23" t="n"/>
      <c r="AF20" s="23" t="n"/>
      <c r="AG20" s="23" t="n"/>
      <c r="AH20" s="23" t="n"/>
      <c r="AI20" s="24" t="n"/>
      <c r="AJ20">
        <f>IF(AC20="",-9999-ROW()*0.0000001,AC20-ROW()*0.0000001)</f>
        <v/>
      </c>
      <c r="AK20">
        <f>IF(OR(AC20="",P20="",P20&gt;MAX_PRICE),-9999-ROW()*0.0000001,AC20-ROW()*0.0000001)</f>
        <v/>
      </c>
      <c r="AL20">
        <f>IF(AC20="",-9999-ROW()*0.0000001,X20*1000+AC20-ROW()*0.0000001)</f>
        <v/>
      </c>
      <c r="AM20">
        <f>IF(AC20="",-9999-ROW()*0.0000001,Y20*1000+AC20-ROW()*0.0000001)</f>
        <v/>
      </c>
      <c r="AN20">
        <f>IF(AND(OR(AD20="Maybe",AD20="Price Review"),AG20&lt;&gt;"Approved",AG20&lt;&gt;"Rejected"),IF(AC20="",0,AC20)-ROW()*0.0000001,-9999-ROW()*0.0000001)</f>
        <v/>
      </c>
      <c r="AO20" s="28" t="n"/>
      <c r="AP20" s="28" t="n"/>
      <c r="AQ20" s="29" t="n"/>
      <c r="AR20" s="29" t="n"/>
      <c r="AS20" s="23" t="n"/>
      <c r="AT20" s="29" t="n"/>
      <c r="AU20" s="29" t="n"/>
      <c r="AV20" s="29" t="n"/>
      <c r="AW20" s="25">
        <f>IF(OR(O20="",AV20=""),"",O20*AV20)</f>
        <v/>
      </c>
      <c r="AX20" s="23" t="n"/>
      <c r="AY20" s="23" t="n"/>
      <c r="AZ20" s="23" t="n"/>
      <c r="BA20" s="23" t="n"/>
      <c r="BB20" s="23" t="n"/>
      <c r="BC20" s="25" t="n"/>
      <c r="BD20" s="23" t="n"/>
      <c r="BE20" s="23">
        <f>IF(C20="","",IF(AND(ISNUMBER(P20),P20&gt;MAX_PRICE),"Price too high",IF(AND(ISNUMBER(AB20),AB20&lt;=2),"Quality risk",IF(AND(ISNUMBER(U20),U20&lt;=2),"Aesthetic mismatch",IF(AY20="High","Too fragile",IF(AND(ISNUMBER(R20),R20&lt;LOW_PROFIT_PCT),"Low profit",IF(AND(ISNUMBER(AT20),AT20&gt;MOQ_WARNING),"MOQ too high",IF(OR(AD20="Maybe",AD20="Price Review"),"Needs partner review",IF(AD20="Buy","Good candidate","")))))))))</f>
        <v/>
      </c>
      <c r="BF20" s="23" t="n"/>
      <c r="BG20" s="23" t="n"/>
      <c r="BH20" s="23" t="n"/>
      <c r="BI20" s="23" t="n"/>
      <c r="BJ20" s="23" t="n"/>
      <c r="BK20" s="23" t="n"/>
      <c r="BL20" s="23">
        <f>IF(C20="","",IF(AND(BG20="Yes",BH20="Yes",BI20="Yes",BJ20="Yes",BK20="Yes"),"Yes","No"))</f>
        <v/>
      </c>
      <c r="BM20" s="25" t="n"/>
      <c r="BN20" s="25" t="n"/>
      <c r="BO20" s="25">
        <f>IF(OR(BM20="",BN20=""),"",BM20+BN20)</f>
        <v/>
      </c>
      <c r="BP20" s="25" t="n"/>
      <c r="BQ20" s="25">
        <f>IF(OR(BP20="",BO20=""),"",BP20-BO20)</f>
        <v/>
      </c>
      <c r="BR20" s="26">
        <f>IF(OR(BP20="",BP20=0,BQ20=""),"",BQ20/BP20)</f>
        <v/>
      </c>
      <c r="BS20" s="24" t="n"/>
      <c r="BT20" s="29" t="n"/>
      <c r="BU20" s="29" t="n"/>
      <c r="BV20" s="23" t="n"/>
      <c r="BW20" s="23" t="n"/>
      <c r="BX20" s="29">
        <f>IF(OR(BT20="",BU20=""),"",BT20-BU20)</f>
        <v/>
      </c>
      <c r="BY20" s="23" t="n"/>
      <c r="BZ20" s="24" t="n"/>
      <c r="CA20" s="23" t="n"/>
      <c r="CB20" s="23" t="n"/>
    </row>
    <row r="21">
      <c r="A21" s="16">
        <f>IF(C21="","","AYN-"&amp;IFERROR(VLOOKUP(E21,CATEGORY_PREFIX_TABLE,2,FALSE),"OTH")&amp;"-"&amp;TEXT(ROW()-2,"0000"))</f>
        <v/>
      </c>
      <c r="B21" s="17" t="n"/>
      <c r="C21" s="16" t="n"/>
      <c r="D21" s="16" t="n"/>
      <c r="E21" s="16" t="n"/>
      <c r="F21" s="16" t="n"/>
      <c r="G21" s="16" t="n"/>
      <c r="H21" s="16" t="n"/>
      <c r="I21" s="16" t="n"/>
      <c r="J21" s="16" t="n"/>
      <c r="K21" s="18">
        <f>IF(I21="","",IF(J21="BDT",I21,IF(J21="USD",I21*USD_BDT,IF(J21="RMB",I21*RMB_BDT,""))))</f>
        <v/>
      </c>
      <c r="L21" s="18" t="n"/>
      <c r="M21" s="19" t="n"/>
      <c r="N21" s="18" t="n"/>
      <c r="O21" s="18">
        <f>IF(K21="","",K21+IFERROR(L21,0)+(K21*IF(M21="",CUSTOMS_PCT,M21))+IF(N21="",MISC_FEE,N21))</f>
        <v/>
      </c>
      <c r="P21" s="18">
        <f>IF(O21="","",ROUND(O21*(1+MARKUP_PCT),-1)-1)</f>
        <v/>
      </c>
      <c r="Q21" s="18">
        <f>IF(P21="","",P21-O21)</f>
        <v/>
      </c>
      <c r="R21" s="19">
        <f>IF(OR(P21="",P21=0),"",Q21/P21)</f>
        <v/>
      </c>
      <c r="S21" s="16" t="n"/>
      <c r="T21" s="16" t="n"/>
      <c r="U21" s="16" t="n"/>
      <c r="V21" s="16" t="n"/>
      <c r="W21" s="16" t="n"/>
      <c r="X21" s="16" t="n"/>
      <c r="Y21" s="16" t="n"/>
      <c r="Z21" s="16" t="n"/>
      <c r="AA21" s="16" t="n"/>
      <c r="AB21" s="16" t="n"/>
      <c r="AC21" s="20">
        <f>IF(COUNT(S21:AB21)&lt;10,"",(S21*W_FEMININE+T21*W_TREND+U21*W_AESTHETIC+V21*W_STYLE+W21*W_LIGHT+X21*W_REELS+Y21*W_GIFT+Z21*W_PRICEFIT+AA21*W_DEMAND+AB21*W_QUALITY)/5*100)</f>
        <v/>
      </c>
      <c r="AD21" s="16">
        <f>IF(P21="","",IF(P21&gt;HARD_REJECT_PRICE,"Reject",IF(P21&gt;MAX_PRICE,"Price Review",IF(AC21="","",IF(AND(AC21&gt;=BUY_THRESHOLD,OR(AB21&lt;=2,U21&lt;=2)),"Maybe",IF(AC21&gt;=BUY_THRESHOLD,"Buy",IF(AC21&gt;=MAYBE_THRESHOLD,"Maybe","Reject")))))))</f>
        <v/>
      </c>
      <c r="AE21" s="16" t="n"/>
      <c r="AF21" s="16" t="n"/>
      <c r="AG21" s="16" t="n"/>
      <c r="AH21" s="16" t="n"/>
      <c r="AI21" s="17" t="n"/>
      <c r="AJ21">
        <f>IF(AC21="",-9999-ROW()*0.0000001,AC21-ROW()*0.0000001)</f>
        <v/>
      </c>
      <c r="AK21">
        <f>IF(OR(AC21="",P21="",P21&gt;MAX_PRICE),-9999-ROW()*0.0000001,AC21-ROW()*0.0000001)</f>
        <v/>
      </c>
      <c r="AL21">
        <f>IF(AC21="",-9999-ROW()*0.0000001,X21*1000+AC21-ROW()*0.0000001)</f>
        <v/>
      </c>
      <c r="AM21">
        <f>IF(AC21="",-9999-ROW()*0.0000001,Y21*1000+AC21-ROW()*0.0000001)</f>
        <v/>
      </c>
      <c r="AN21">
        <f>IF(AND(OR(AD21="Maybe",AD21="Price Review"),AG21&lt;&gt;"Approved",AG21&lt;&gt;"Rejected"),IF(AC21="",0,AC21)-ROW()*0.0000001,-9999-ROW()*0.0000001)</f>
        <v/>
      </c>
      <c r="AO21" s="21" t="n"/>
      <c r="AP21" s="21" t="n"/>
      <c r="AQ21" s="22" t="n"/>
      <c r="AR21" s="22" t="n"/>
      <c r="AS21" s="16" t="n"/>
      <c r="AT21" s="22" t="n"/>
      <c r="AU21" s="22" t="n"/>
      <c r="AV21" s="22" t="n"/>
      <c r="AW21" s="18">
        <f>IF(OR(O21="",AV21=""),"",O21*AV21)</f>
        <v/>
      </c>
      <c r="AX21" s="16" t="n"/>
      <c r="AY21" s="16" t="n"/>
      <c r="AZ21" s="16" t="n"/>
      <c r="BA21" s="16" t="n"/>
      <c r="BB21" s="16" t="n"/>
      <c r="BC21" s="18" t="n"/>
      <c r="BD21" s="16" t="n"/>
      <c r="BE21" s="16">
        <f>IF(C21="","",IF(AND(ISNUMBER(P21),P21&gt;MAX_PRICE),"Price too high",IF(AND(ISNUMBER(AB21),AB21&lt;=2),"Quality risk",IF(AND(ISNUMBER(U21),U21&lt;=2),"Aesthetic mismatch",IF(AY21="High","Too fragile",IF(AND(ISNUMBER(R21),R21&lt;LOW_PROFIT_PCT),"Low profit",IF(AND(ISNUMBER(AT21),AT21&gt;MOQ_WARNING),"MOQ too high",IF(OR(AD21="Maybe",AD21="Price Review"),"Needs partner review",IF(AD21="Buy","Good candidate","")))))))))</f>
        <v/>
      </c>
      <c r="BF21" s="16" t="n"/>
      <c r="BG21" s="16" t="n"/>
      <c r="BH21" s="16" t="n"/>
      <c r="BI21" s="16" t="n"/>
      <c r="BJ21" s="16" t="n"/>
      <c r="BK21" s="16" t="n"/>
      <c r="BL21" s="16">
        <f>IF(C21="","",IF(AND(BG21="Yes",BH21="Yes",BI21="Yes",BJ21="Yes",BK21="Yes"),"Yes","No"))</f>
        <v/>
      </c>
      <c r="BM21" s="18" t="n"/>
      <c r="BN21" s="18" t="n"/>
      <c r="BO21" s="18">
        <f>IF(OR(BM21="",BN21=""),"",BM21+BN21)</f>
        <v/>
      </c>
      <c r="BP21" s="18" t="n"/>
      <c r="BQ21" s="18">
        <f>IF(OR(BP21="",BO21=""),"",BP21-BO21)</f>
        <v/>
      </c>
      <c r="BR21" s="19">
        <f>IF(OR(BP21="",BP21=0,BQ21=""),"",BQ21/BP21)</f>
        <v/>
      </c>
      <c r="BS21" s="17" t="n"/>
      <c r="BT21" s="22" t="n"/>
      <c r="BU21" s="22" t="n"/>
      <c r="BV21" s="16" t="n"/>
      <c r="BW21" s="16" t="n"/>
      <c r="BX21" s="22">
        <f>IF(OR(BT21="",BU21=""),"",BT21-BU21)</f>
        <v/>
      </c>
      <c r="BY21" s="16" t="n"/>
      <c r="BZ21" s="17" t="n"/>
      <c r="CA21" s="16" t="n"/>
      <c r="CB21" s="16" t="n"/>
    </row>
    <row r="22">
      <c r="A22" s="23">
        <f>IF(C22="","","AYN-"&amp;IFERROR(VLOOKUP(E22,CATEGORY_PREFIX_TABLE,2,FALSE),"OTH")&amp;"-"&amp;TEXT(ROW()-2,"0000"))</f>
        <v/>
      </c>
      <c r="B22" s="24" t="n"/>
      <c r="C22" s="23" t="n"/>
      <c r="D22" s="23" t="n"/>
      <c r="E22" s="23" t="n"/>
      <c r="F22" s="23" t="n"/>
      <c r="G22" s="23" t="n"/>
      <c r="H22" s="23" t="n"/>
      <c r="I22" s="23" t="n"/>
      <c r="J22" s="23" t="n"/>
      <c r="K22" s="25">
        <f>IF(I22="","",IF(J22="BDT",I22,IF(J22="USD",I22*USD_BDT,IF(J22="RMB",I22*RMB_BDT,""))))</f>
        <v/>
      </c>
      <c r="L22" s="25" t="n"/>
      <c r="M22" s="26" t="n"/>
      <c r="N22" s="25" t="n"/>
      <c r="O22" s="25">
        <f>IF(K22="","",K22+IFERROR(L22,0)+(K22*IF(M22="",CUSTOMS_PCT,M22))+IF(N22="",MISC_FEE,N22))</f>
        <v/>
      </c>
      <c r="P22" s="25">
        <f>IF(O22="","",ROUND(O22*(1+MARKUP_PCT),-1)-1)</f>
        <v/>
      </c>
      <c r="Q22" s="25">
        <f>IF(P22="","",P22-O22)</f>
        <v/>
      </c>
      <c r="R22" s="26">
        <f>IF(OR(P22="",P22=0),"",Q22/P22)</f>
        <v/>
      </c>
      <c r="S22" s="23" t="n"/>
      <c r="T22" s="23" t="n"/>
      <c r="U22" s="23" t="n"/>
      <c r="V22" s="23" t="n"/>
      <c r="W22" s="23" t="n"/>
      <c r="X22" s="23" t="n"/>
      <c r="Y22" s="23" t="n"/>
      <c r="Z22" s="23" t="n"/>
      <c r="AA22" s="23" t="n"/>
      <c r="AB22" s="23" t="n"/>
      <c r="AC22" s="27">
        <f>IF(COUNT(S22:AB22)&lt;10,"",(S22*W_FEMININE+T22*W_TREND+U22*W_AESTHETIC+V22*W_STYLE+W22*W_LIGHT+X22*W_REELS+Y22*W_GIFT+Z22*W_PRICEFIT+AA22*W_DEMAND+AB22*W_QUALITY)/5*100)</f>
        <v/>
      </c>
      <c r="AD22" s="23">
        <f>IF(P22="","",IF(P22&gt;HARD_REJECT_PRICE,"Reject",IF(P22&gt;MAX_PRICE,"Price Review",IF(AC22="","",IF(AND(AC22&gt;=BUY_THRESHOLD,OR(AB22&lt;=2,U22&lt;=2)),"Maybe",IF(AC22&gt;=BUY_THRESHOLD,"Buy",IF(AC22&gt;=MAYBE_THRESHOLD,"Maybe","Reject")))))))</f>
        <v/>
      </c>
      <c r="AE22" s="23" t="n"/>
      <c r="AF22" s="23" t="n"/>
      <c r="AG22" s="23" t="n"/>
      <c r="AH22" s="23" t="n"/>
      <c r="AI22" s="24" t="n"/>
      <c r="AJ22">
        <f>IF(AC22="",-9999-ROW()*0.0000001,AC22-ROW()*0.0000001)</f>
        <v/>
      </c>
      <c r="AK22">
        <f>IF(OR(AC22="",P22="",P22&gt;MAX_PRICE),-9999-ROW()*0.0000001,AC22-ROW()*0.0000001)</f>
        <v/>
      </c>
      <c r="AL22">
        <f>IF(AC22="",-9999-ROW()*0.0000001,X22*1000+AC22-ROW()*0.0000001)</f>
        <v/>
      </c>
      <c r="AM22">
        <f>IF(AC22="",-9999-ROW()*0.0000001,Y22*1000+AC22-ROW()*0.0000001)</f>
        <v/>
      </c>
      <c r="AN22">
        <f>IF(AND(OR(AD22="Maybe",AD22="Price Review"),AG22&lt;&gt;"Approved",AG22&lt;&gt;"Rejected"),IF(AC22="",0,AC22)-ROW()*0.0000001,-9999-ROW()*0.0000001)</f>
        <v/>
      </c>
      <c r="AO22" s="28" t="n"/>
      <c r="AP22" s="28" t="n"/>
      <c r="AQ22" s="29" t="n"/>
      <c r="AR22" s="29" t="n"/>
      <c r="AS22" s="23" t="n"/>
      <c r="AT22" s="29" t="n"/>
      <c r="AU22" s="29" t="n"/>
      <c r="AV22" s="29" t="n"/>
      <c r="AW22" s="25">
        <f>IF(OR(O22="",AV22=""),"",O22*AV22)</f>
        <v/>
      </c>
      <c r="AX22" s="23" t="n"/>
      <c r="AY22" s="23" t="n"/>
      <c r="AZ22" s="23" t="n"/>
      <c r="BA22" s="23" t="n"/>
      <c r="BB22" s="23" t="n"/>
      <c r="BC22" s="25" t="n"/>
      <c r="BD22" s="23" t="n"/>
      <c r="BE22" s="23">
        <f>IF(C22="","",IF(AND(ISNUMBER(P22),P22&gt;MAX_PRICE),"Price too high",IF(AND(ISNUMBER(AB22),AB22&lt;=2),"Quality risk",IF(AND(ISNUMBER(U22),U22&lt;=2),"Aesthetic mismatch",IF(AY22="High","Too fragile",IF(AND(ISNUMBER(R22),R22&lt;LOW_PROFIT_PCT),"Low profit",IF(AND(ISNUMBER(AT22),AT22&gt;MOQ_WARNING),"MOQ too high",IF(OR(AD22="Maybe",AD22="Price Review"),"Needs partner review",IF(AD22="Buy","Good candidate","")))))))))</f>
        <v/>
      </c>
      <c r="BF22" s="23" t="n"/>
      <c r="BG22" s="23" t="n"/>
      <c r="BH22" s="23" t="n"/>
      <c r="BI22" s="23" t="n"/>
      <c r="BJ22" s="23" t="n"/>
      <c r="BK22" s="23" t="n"/>
      <c r="BL22" s="23">
        <f>IF(C22="","",IF(AND(BG22="Yes",BH22="Yes",BI22="Yes",BJ22="Yes",BK22="Yes"),"Yes","No"))</f>
        <v/>
      </c>
      <c r="BM22" s="25" t="n"/>
      <c r="BN22" s="25" t="n"/>
      <c r="BO22" s="25">
        <f>IF(OR(BM22="",BN22=""),"",BM22+BN22)</f>
        <v/>
      </c>
      <c r="BP22" s="25" t="n"/>
      <c r="BQ22" s="25">
        <f>IF(OR(BP22="",BO22=""),"",BP22-BO22)</f>
        <v/>
      </c>
      <c r="BR22" s="26">
        <f>IF(OR(BP22="",BP22=0,BQ22=""),"",BQ22/BP22)</f>
        <v/>
      </c>
      <c r="BS22" s="24" t="n"/>
      <c r="BT22" s="29" t="n"/>
      <c r="BU22" s="29" t="n"/>
      <c r="BV22" s="23" t="n"/>
      <c r="BW22" s="23" t="n"/>
      <c r="BX22" s="29">
        <f>IF(OR(BT22="",BU22=""),"",BT22-BU22)</f>
        <v/>
      </c>
      <c r="BY22" s="23" t="n"/>
      <c r="BZ22" s="24" t="n"/>
      <c r="CA22" s="23" t="n"/>
      <c r="CB22" s="23" t="n"/>
    </row>
    <row r="23">
      <c r="A23" s="16">
        <f>IF(C23="","","AYN-"&amp;IFERROR(VLOOKUP(E23,CATEGORY_PREFIX_TABLE,2,FALSE),"OTH")&amp;"-"&amp;TEXT(ROW()-2,"0000"))</f>
        <v/>
      </c>
      <c r="B23" s="17" t="n"/>
      <c r="C23" s="16" t="n"/>
      <c r="D23" s="16" t="n"/>
      <c r="E23" s="16" t="n"/>
      <c r="F23" s="16" t="n"/>
      <c r="G23" s="16" t="n"/>
      <c r="H23" s="16" t="n"/>
      <c r="I23" s="16" t="n"/>
      <c r="J23" s="16" t="n"/>
      <c r="K23" s="18">
        <f>IF(I23="","",IF(J23="BDT",I23,IF(J23="USD",I23*USD_BDT,IF(J23="RMB",I23*RMB_BDT,""))))</f>
        <v/>
      </c>
      <c r="L23" s="18" t="n"/>
      <c r="M23" s="19" t="n"/>
      <c r="N23" s="18" t="n"/>
      <c r="O23" s="18">
        <f>IF(K23="","",K23+IFERROR(L23,0)+(K23*IF(M23="",CUSTOMS_PCT,M23))+IF(N23="",MISC_FEE,N23))</f>
        <v/>
      </c>
      <c r="P23" s="18">
        <f>IF(O23="","",ROUND(O23*(1+MARKUP_PCT),-1)-1)</f>
        <v/>
      </c>
      <c r="Q23" s="18">
        <f>IF(P23="","",P23-O23)</f>
        <v/>
      </c>
      <c r="R23" s="19">
        <f>IF(OR(P23="",P23=0),"",Q23/P23)</f>
        <v/>
      </c>
      <c r="S23" s="16" t="n"/>
      <c r="T23" s="16" t="n"/>
      <c r="U23" s="16" t="n"/>
      <c r="V23" s="16" t="n"/>
      <c r="W23" s="16" t="n"/>
      <c r="X23" s="16" t="n"/>
      <c r="Y23" s="16" t="n"/>
      <c r="Z23" s="16" t="n"/>
      <c r="AA23" s="16" t="n"/>
      <c r="AB23" s="16" t="n"/>
      <c r="AC23" s="20">
        <f>IF(COUNT(S23:AB23)&lt;10,"",(S23*W_FEMININE+T23*W_TREND+U23*W_AESTHETIC+V23*W_STYLE+W23*W_LIGHT+X23*W_REELS+Y23*W_GIFT+Z23*W_PRICEFIT+AA23*W_DEMAND+AB23*W_QUALITY)/5*100)</f>
        <v/>
      </c>
      <c r="AD23" s="16">
        <f>IF(P23="","",IF(P23&gt;HARD_REJECT_PRICE,"Reject",IF(P23&gt;MAX_PRICE,"Price Review",IF(AC23="","",IF(AND(AC23&gt;=BUY_THRESHOLD,OR(AB23&lt;=2,U23&lt;=2)),"Maybe",IF(AC23&gt;=BUY_THRESHOLD,"Buy",IF(AC23&gt;=MAYBE_THRESHOLD,"Maybe","Reject")))))))</f>
        <v/>
      </c>
      <c r="AE23" s="16" t="n"/>
      <c r="AF23" s="16" t="n"/>
      <c r="AG23" s="16" t="n"/>
      <c r="AH23" s="16" t="n"/>
      <c r="AI23" s="17" t="n"/>
      <c r="AJ23">
        <f>IF(AC23="",-9999-ROW()*0.0000001,AC23-ROW()*0.0000001)</f>
        <v/>
      </c>
      <c r="AK23">
        <f>IF(OR(AC23="",P23="",P23&gt;MAX_PRICE),-9999-ROW()*0.0000001,AC23-ROW()*0.0000001)</f>
        <v/>
      </c>
      <c r="AL23">
        <f>IF(AC23="",-9999-ROW()*0.0000001,X23*1000+AC23-ROW()*0.0000001)</f>
        <v/>
      </c>
      <c r="AM23">
        <f>IF(AC23="",-9999-ROW()*0.0000001,Y23*1000+AC23-ROW()*0.0000001)</f>
        <v/>
      </c>
      <c r="AN23">
        <f>IF(AND(OR(AD23="Maybe",AD23="Price Review"),AG23&lt;&gt;"Approved",AG23&lt;&gt;"Rejected"),IF(AC23="",0,AC23)-ROW()*0.0000001,-9999-ROW()*0.0000001)</f>
        <v/>
      </c>
      <c r="AO23" s="21" t="n"/>
      <c r="AP23" s="21" t="n"/>
      <c r="AQ23" s="22" t="n"/>
      <c r="AR23" s="22" t="n"/>
      <c r="AS23" s="16" t="n"/>
      <c r="AT23" s="22" t="n"/>
      <c r="AU23" s="22" t="n"/>
      <c r="AV23" s="22" t="n"/>
      <c r="AW23" s="18">
        <f>IF(OR(O23="",AV23=""),"",O23*AV23)</f>
        <v/>
      </c>
      <c r="AX23" s="16" t="n"/>
      <c r="AY23" s="16" t="n"/>
      <c r="AZ23" s="16" t="n"/>
      <c r="BA23" s="16" t="n"/>
      <c r="BB23" s="16" t="n"/>
      <c r="BC23" s="18" t="n"/>
      <c r="BD23" s="16" t="n"/>
      <c r="BE23" s="16">
        <f>IF(C23="","",IF(AND(ISNUMBER(P23),P23&gt;MAX_PRICE),"Price too high",IF(AND(ISNUMBER(AB23),AB23&lt;=2),"Quality risk",IF(AND(ISNUMBER(U23),U23&lt;=2),"Aesthetic mismatch",IF(AY23="High","Too fragile",IF(AND(ISNUMBER(R23),R23&lt;LOW_PROFIT_PCT),"Low profit",IF(AND(ISNUMBER(AT23),AT23&gt;MOQ_WARNING),"MOQ too high",IF(OR(AD23="Maybe",AD23="Price Review"),"Needs partner review",IF(AD23="Buy","Good candidate","")))))))))</f>
        <v/>
      </c>
      <c r="BF23" s="16" t="n"/>
      <c r="BG23" s="16" t="n"/>
      <c r="BH23" s="16" t="n"/>
      <c r="BI23" s="16" t="n"/>
      <c r="BJ23" s="16" t="n"/>
      <c r="BK23" s="16" t="n"/>
      <c r="BL23" s="16">
        <f>IF(C23="","",IF(AND(BG23="Yes",BH23="Yes",BI23="Yes",BJ23="Yes",BK23="Yes"),"Yes","No"))</f>
        <v/>
      </c>
      <c r="BM23" s="18" t="n"/>
      <c r="BN23" s="18" t="n"/>
      <c r="BO23" s="18">
        <f>IF(OR(BM23="",BN23=""),"",BM23+BN23)</f>
        <v/>
      </c>
      <c r="BP23" s="18" t="n"/>
      <c r="BQ23" s="18">
        <f>IF(OR(BP23="",BO23=""),"",BP23-BO23)</f>
        <v/>
      </c>
      <c r="BR23" s="19">
        <f>IF(OR(BP23="",BP23=0,BQ23=""),"",BQ23/BP23)</f>
        <v/>
      </c>
      <c r="BS23" s="17" t="n"/>
      <c r="BT23" s="22" t="n"/>
      <c r="BU23" s="22" t="n"/>
      <c r="BV23" s="16" t="n"/>
      <c r="BW23" s="16" t="n"/>
      <c r="BX23" s="22">
        <f>IF(OR(BT23="",BU23=""),"",BT23-BU23)</f>
        <v/>
      </c>
      <c r="BY23" s="16" t="n"/>
      <c r="BZ23" s="17" t="n"/>
      <c r="CA23" s="16" t="n"/>
      <c r="CB23" s="16" t="n"/>
    </row>
    <row r="24">
      <c r="A24" s="23">
        <f>IF(C24="","","AYN-"&amp;IFERROR(VLOOKUP(E24,CATEGORY_PREFIX_TABLE,2,FALSE),"OTH")&amp;"-"&amp;TEXT(ROW()-2,"0000"))</f>
        <v/>
      </c>
      <c r="B24" s="24" t="n"/>
      <c r="C24" s="23" t="n"/>
      <c r="D24" s="23" t="n"/>
      <c r="E24" s="23" t="n"/>
      <c r="F24" s="23" t="n"/>
      <c r="G24" s="23" t="n"/>
      <c r="H24" s="23" t="n"/>
      <c r="I24" s="23" t="n"/>
      <c r="J24" s="23" t="n"/>
      <c r="K24" s="25">
        <f>IF(I24="","",IF(J24="BDT",I24,IF(J24="USD",I24*USD_BDT,IF(J24="RMB",I24*RMB_BDT,""))))</f>
        <v/>
      </c>
      <c r="L24" s="25" t="n"/>
      <c r="M24" s="26" t="n"/>
      <c r="N24" s="25" t="n"/>
      <c r="O24" s="25">
        <f>IF(K24="","",K24+IFERROR(L24,0)+(K24*IF(M24="",CUSTOMS_PCT,M24))+IF(N24="",MISC_FEE,N24))</f>
        <v/>
      </c>
      <c r="P24" s="25">
        <f>IF(O24="","",ROUND(O24*(1+MARKUP_PCT),-1)-1)</f>
        <v/>
      </c>
      <c r="Q24" s="25">
        <f>IF(P24="","",P24-O24)</f>
        <v/>
      </c>
      <c r="R24" s="26">
        <f>IF(OR(P24="",P24=0),"",Q24/P24)</f>
        <v/>
      </c>
      <c r="S24" s="23" t="n"/>
      <c r="T24" s="23" t="n"/>
      <c r="U24" s="23" t="n"/>
      <c r="V24" s="23" t="n"/>
      <c r="W24" s="23" t="n"/>
      <c r="X24" s="23" t="n"/>
      <c r="Y24" s="23" t="n"/>
      <c r="Z24" s="23" t="n"/>
      <c r="AA24" s="23" t="n"/>
      <c r="AB24" s="23" t="n"/>
      <c r="AC24" s="27">
        <f>IF(COUNT(S24:AB24)&lt;10,"",(S24*W_FEMININE+T24*W_TREND+U24*W_AESTHETIC+V24*W_STYLE+W24*W_LIGHT+X24*W_REELS+Y24*W_GIFT+Z24*W_PRICEFIT+AA24*W_DEMAND+AB24*W_QUALITY)/5*100)</f>
        <v/>
      </c>
      <c r="AD24" s="23">
        <f>IF(P24="","",IF(P24&gt;HARD_REJECT_PRICE,"Reject",IF(P24&gt;MAX_PRICE,"Price Review",IF(AC24="","",IF(AND(AC24&gt;=BUY_THRESHOLD,OR(AB24&lt;=2,U24&lt;=2)),"Maybe",IF(AC24&gt;=BUY_THRESHOLD,"Buy",IF(AC24&gt;=MAYBE_THRESHOLD,"Maybe","Reject")))))))</f>
        <v/>
      </c>
      <c r="AE24" s="23" t="n"/>
      <c r="AF24" s="23" t="n"/>
      <c r="AG24" s="23" t="n"/>
      <c r="AH24" s="23" t="n"/>
      <c r="AI24" s="24" t="n"/>
      <c r="AJ24">
        <f>IF(AC24="",-9999-ROW()*0.0000001,AC24-ROW()*0.0000001)</f>
        <v/>
      </c>
      <c r="AK24">
        <f>IF(OR(AC24="",P24="",P24&gt;MAX_PRICE),-9999-ROW()*0.0000001,AC24-ROW()*0.0000001)</f>
        <v/>
      </c>
      <c r="AL24">
        <f>IF(AC24="",-9999-ROW()*0.0000001,X24*1000+AC24-ROW()*0.0000001)</f>
        <v/>
      </c>
      <c r="AM24">
        <f>IF(AC24="",-9999-ROW()*0.0000001,Y24*1000+AC24-ROW()*0.0000001)</f>
        <v/>
      </c>
      <c r="AN24">
        <f>IF(AND(OR(AD24="Maybe",AD24="Price Review"),AG24&lt;&gt;"Approved",AG24&lt;&gt;"Rejected"),IF(AC24="",0,AC24)-ROW()*0.0000001,-9999-ROW()*0.0000001)</f>
        <v/>
      </c>
      <c r="AO24" s="28" t="n"/>
      <c r="AP24" s="28" t="n"/>
      <c r="AQ24" s="29" t="n"/>
      <c r="AR24" s="29" t="n"/>
      <c r="AS24" s="23" t="n"/>
      <c r="AT24" s="29" t="n"/>
      <c r="AU24" s="29" t="n"/>
      <c r="AV24" s="29" t="n"/>
      <c r="AW24" s="25">
        <f>IF(OR(O24="",AV24=""),"",O24*AV24)</f>
        <v/>
      </c>
      <c r="AX24" s="23" t="n"/>
      <c r="AY24" s="23" t="n"/>
      <c r="AZ24" s="23" t="n"/>
      <c r="BA24" s="23" t="n"/>
      <c r="BB24" s="23" t="n"/>
      <c r="BC24" s="25" t="n"/>
      <c r="BD24" s="23" t="n"/>
      <c r="BE24" s="23">
        <f>IF(C24="","",IF(AND(ISNUMBER(P24),P24&gt;MAX_PRICE),"Price too high",IF(AND(ISNUMBER(AB24),AB24&lt;=2),"Quality risk",IF(AND(ISNUMBER(U24),U24&lt;=2),"Aesthetic mismatch",IF(AY24="High","Too fragile",IF(AND(ISNUMBER(R24),R24&lt;LOW_PROFIT_PCT),"Low profit",IF(AND(ISNUMBER(AT24),AT24&gt;MOQ_WARNING),"MOQ too high",IF(OR(AD24="Maybe",AD24="Price Review"),"Needs partner review",IF(AD24="Buy","Good candidate","")))))))))</f>
        <v/>
      </c>
      <c r="BF24" s="23" t="n"/>
      <c r="BG24" s="23" t="n"/>
      <c r="BH24" s="23" t="n"/>
      <c r="BI24" s="23" t="n"/>
      <c r="BJ24" s="23" t="n"/>
      <c r="BK24" s="23" t="n"/>
      <c r="BL24" s="23">
        <f>IF(C24="","",IF(AND(BG24="Yes",BH24="Yes",BI24="Yes",BJ24="Yes",BK24="Yes"),"Yes","No"))</f>
        <v/>
      </c>
      <c r="BM24" s="25" t="n"/>
      <c r="BN24" s="25" t="n"/>
      <c r="BO24" s="25">
        <f>IF(OR(BM24="",BN24=""),"",BM24+BN24)</f>
        <v/>
      </c>
      <c r="BP24" s="25" t="n"/>
      <c r="BQ24" s="25">
        <f>IF(OR(BP24="",BO24=""),"",BP24-BO24)</f>
        <v/>
      </c>
      <c r="BR24" s="26">
        <f>IF(OR(BP24="",BP24=0,BQ24=""),"",BQ24/BP24)</f>
        <v/>
      </c>
      <c r="BS24" s="24" t="n"/>
      <c r="BT24" s="29" t="n"/>
      <c r="BU24" s="29" t="n"/>
      <c r="BV24" s="23" t="n"/>
      <c r="BW24" s="23" t="n"/>
      <c r="BX24" s="29">
        <f>IF(OR(BT24="",BU24=""),"",BT24-BU24)</f>
        <v/>
      </c>
      <c r="BY24" s="23" t="n"/>
      <c r="BZ24" s="24" t="n"/>
      <c r="CA24" s="23" t="n"/>
      <c r="CB24" s="23" t="n"/>
    </row>
    <row r="25">
      <c r="A25" s="16">
        <f>IF(C25="","","AYN-"&amp;IFERROR(VLOOKUP(E25,CATEGORY_PREFIX_TABLE,2,FALSE),"OTH")&amp;"-"&amp;TEXT(ROW()-2,"0000"))</f>
        <v/>
      </c>
      <c r="B25" s="17" t="n"/>
      <c r="C25" s="16" t="n"/>
      <c r="D25" s="16" t="n"/>
      <c r="E25" s="16" t="n"/>
      <c r="F25" s="16" t="n"/>
      <c r="G25" s="16" t="n"/>
      <c r="H25" s="16" t="n"/>
      <c r="I25" s="16" t="n"/>
      <c r="J25" s="16" t="n"/>
      <c r="K25" s="18">
        <f>IF(I25="","",IF(J25="BDT",I25,IF(J25="USD",I25*USD_BDT,IF(J25="RMB",I25*RMB_BDT,""))))</f>
        <v/>
      </c>
      <c r="L25" s="18" t="n"/>
      <c r="M25" s="19" t="n"/>
      <c r="N25" s="18" t="n"/>
      <c r="O25" s="18">
        <f>IF(K25="","",K25+IFERROR(L25,0)+(K25*IF(M25="",CUSTOMS_PCT,M25))+IF(N25="",MISC_FEE,N25))</f>
        <v/>
      </c>
      <c r="P25" s="18">
        <f>IF(O25="","",ROUND(O25*(1+MARKUP_PCT),-1)-1)</f>
        <v/>
      </c>
      <c r="Q25" s="18">
        <f>IF(P25="","",P25-O25)</f>
        <v/>
      </c>
      <c r="R25" s="19">
        <f>IF(OR(P25="",P25=0),"",Q25/P25)</f>
        <v/>
      </c>
      <c r="S25" s="16" t="n"/>
      <c r="T25" s="16" t="n"/>
      <c r="U25" s="16" t="n"/>
      <c r="V25" s="16" t="n"/>
      <c r="W25" s="16" t="n"/>
      <c r="X25" s="16" t="n"/>
      <c r="Y25" s="16" t="n"/>
      <c r="Z25" s="16" t="n"/>
      <c r="AA25" s="16" t="n"/>
      <c r="AB25" s="16" t="n"/>
      <c r="AC25" s="20">
        <f>IF(COUNT(S25:AB25)&lt;10,"",(S25*W_FEMININE+T25*W_TREND+U25*W_AESTHETIC+V25*W_STYLE+W25*W_LIGHT+X25*W_REELS+Y25*W_GIFT+Z25*W_PRICEFIT+AA25*W_DEMAND+AB25*W_QUALITY)/5*100)</f>
        <v/>
      </c>
      <c r="AD25" s="16">
        <f>IF(P25="","",IF(P25&gt;HARD_REJECT_PRICE,"Reject",IF(P25&gt;MAX_PRICE,"Price Review",IF(AC25="","",IF(AND(AC25&gt;=BUY_THRESHOLD,OR(AB25&lt;=2,U25&lt;=2)),"Maybe",IF(AC25&gt;=BUY_THRESHOLD,"Buy",IF(AC25&gt;=MAYBE_THRESHOLD,"Maybe","Reject")))))))</f>
        <v/>
      </c>
      <c r="AE25" s="16" t="n"/>
      <c r="AF25" s="16" t="n"/>
      <c r="AG25" s="16" t="n"/>
      <c r="AH25" s="16" t="n"/>
      <c r="AI25" s="17" t="n"/>
      <c r="AJ25">
        <f>IF(AC25="",-9999-ROW()*0.0000001,AC25-ROW()*0.0000001)</f>
        <v/>
      </c>
      <c r="AK25">
        <f>IF(OR(AC25="",P25="",P25&gt;MAX_PRICE),-9999-ROW()*0.0000001,AC25-ROW()*0.0000001)</f>
        <v/>
      </c>
      <c r="AL25">
        <f>IF(AC25="",-9999-ROW()*0.0000001,X25*1000+AC25-ROW()*0.0000001)</f>
        <v/>
      </c>
      <c r="AM25">
        <f>IF(AC25="",-9999-ROW()*0.0000001,Y25*1000+AC25-ROW()*0.0000001)</f>
        <v/>
      </c>
      <c r="AN25">
        <f>IF(AND(OR(AD25="Maybe",AD25="Price Review"),AG25&lt;&gt;"Approved",AG25&lt;&gt;"Rejected"),IF(AC25="",0,AC25)-ROW()*0.0000001,-9999-ROW()*0.0000001)</f>
        <v/>
      </c>
      <c r="AO25" s="21" t="n"/>
      <c r="AP25" s="21" t="n"/>
      <c r="AQ25" s="22" t="n"/>
      <c r="AR25" s="22" t="n"/>
      <c r="AS25" s="16" t="n"/>
      <c r="AT25" s="22" t="n"/>
      <c r="AU25" s="22" t="n"/>
      <c r="AV25" s="22" t="n"/>
      <c r="AW25" s="18">
        <f>IF(OR(O25="",AV25=""),"",O25*AV25)</f>
        <v/>
      </c>
      <c r="AX25" s="16" t="n"/>
      <c r="AY25" s="16" t="n"/>
      <c r="AZ25" s="16" t="n"/>
      <c r="BA25" s="16" t="n"/>
      <c r="BB25" s="16" t="n"/>
      <c r="BC25" s="18" t="n"/>
      <c r="BD25" s="16" t="n"/>
      <c r="BE25" s="16">
        <f>IF(C25="","",IF(AND(ISNUMBER(P25),P25&gt;MAX_PRICE),"Price too high",IF(AND(ISNUMBER(AB25),AB25&lt;=2),"Quality risk",IF(AND(ISNUMBER(U25),U25&lt;=2),"Aesthetic mismatch",IF(AY25="High","Too fragile",IF(AND(ISNUMBER(R25),R25&lt;LOW_PROFIT_PCT),"Low profit",IF(AND(ISNUMBER(AT25),AT25&gt;MOQ_WARNING),"MOQ too high",IF(OR(AD25="Maybe",AD25="Price Review"),"Needs partner review",IF(AD25="Buy","Good candidate","")))))))))</f>
        <v/>
      </c>
      <c r="BF25" s="16" t="n"/>
      <c r="BG25" s="16" t="n"/>
      <c r="BH25" s="16" t="n"/>
      <c r="BI25" s="16" t="n"/>
      <c r="BJ25" s="16" t="n"/>
      <c r="BK25" s="16" t="n"/>
      <c r="BL25" s="16">
        <f>IF(C25="","",IF(AND(BG25="Yes",BH25="Yes",BI25="Yes",BJ25="Yes",BK25="Yes"),"Yes","No"))</f>
        <v/>
      </c>
      <c r="BM25" s="18" t="n"/>
      <c r="BN25" s="18" t="n"/>
      <c r="BO25" s="18">
        <f>IF(OR(BM25="",BN25=""),"",BM25+BN25)</f>
        <v/>
      </c>
      <c r="BP25" s="18" t="n"/>
      <c r="BQ25" s="18">
        <f>IF(OR(BP25="",BO25=""),"",BP25-BO25)</f>
        <v/>
      </c>
      <c r="BR25" s="19">
        <f>IF(OR(BP25="",BP25=0,BQ25=""),"",BQ25/BP25)</f>
        <v/>
      </c>
      <c r="BS25" s="17" t="n"/>
      <c r="BT25" s="22" t="n"/>
      <c r="BU25" s="22" t="n"/>
      <c r="BV25" s="16" t="n"/>
      <c r="BW25" s="16" t="n"/>
      <c r="BX25" s="22">
        <f>IF(OR(BT25="",BU25=""),"",BT25-BU25)</f>
        <v/>
      </c>
      <c r="BY25" s="16" t="n"/>
      <c r="BZ25" s="17" t="n"/>
      <c r="CA25" s="16" t="n"/>
      <c r="CB25" s="16" t="n"/>
    </row>
    <row r="26">
      <c r="A26" s="23">
        <f>IF(C26="","","AYN-"&amp;IFERROR(VLOOKUP(E26,CATEGORY_PREFIX_TABLE,2,FALSE),"OTH")&amp;"-"&amp;TEXT(ROW()-2,"0000"))</f>
        <v/>
      </c>
      <c r="B26" s="24" t="n"/>
      <c r="C26" s="23" t="n"/>
      <c r="D26" s="23" t="n"/>
      <c r="E26" s="23" t="n"/>
      <c r="F26" s="23" t="n"/>
      <c r="G26" s="23" t="n"/>
      <c r="H26" s="23" t="n"/>
      <c r="I26" s="23" t="n"/>
      <c r="J26" s="23" t="n"/>
      <c r="K26" s="25">
        <f>IF(I26="","",IF(J26="BDT",I26,IF(J26="USD",I26*USD_BDT,IF(J26="RMB",I26*RMB_BDT,""))))</f>
        <v/>
      </c>
      <c r="L26" s="25" t="n"/>
      <c r="M26" s="26" t="n"/>
      <c r="N26" s="25" t="n"/>
      <c r="O26" s="25">
        <f>IF(K26="","",K26+IFERROR(L26,0)+(K26*IF(M26="",CUSTOMS_PCT,M26))+IF(N26="",MISC_FEE,N26))</f>
        <v/>
      </c>
      <c r="P26" s="25">
        <f>IF(O26="","",ROUND(O26*(1+MARKUP_PCT),-1)-1)</f>
        <v/>
      </c>
      <c r="Q26" s="25">
        <f>IF(P26="","",P26-O26)</f>
        <v/>
      </c>
      <c r="R26" s="26">
        <f>IF(OR(P26="",P26=0),"",Q26/P26)</f>
        <v/>
      </c>
      <c r="S26" s="23" t="n"/>
      <c r="T26" s="23" t="n"/>
      <c r="U26" s="23" t="n"/>
      <c r="V26" s="23" t="n"/>
      <c r="W26" s="23" t="n"/>
      <c r="X26" s="23" t="n"/>
      <c r="Y26" s="23" t="n"/>
      <c r="Z26" s="23" t="n"/>
      <c r="AA26" s="23" t="n"/>
      <c r="AB26" s="23" t="n"/>
      <c r="AC26" s="27">
        <f>IF(COUNT(S26:AB26)&lt;10,"",(S26*W_FEMININE+T26*W_TREND+U26*W_AESTHETIC+V26*W_STYLE+W26*W_LIGHT+X26*W_REELS+Y26*W_GIFT+Z26*W_PRICEFIT+AA26*W_DEMAND+AB26*W_QUALITY)/5*100)</f>
        <v/>
      </c>
      <c r="AD26" s="23">
        <f>IF(P26="","",IF(P26&gt;HARD_REJECT_PRICE,"Reject",IF(P26&gt;MAX_PRICE,"Price Review",IF(AC26="","",IF(AND(AC26&gt;=BUY_THRESHOLD,OR(AB26&lt;=2,U26&lt;=2)),"Maybe",IF(AC26&gt;=BUY_THRESHOLD,"Buy",IF(AC26&gt;=MAYBE_THRESHOLD,"Maybe","Reject")))))))</f>
        <v/>
      </c>
      <c r="AE26" s="23" t="n"/>
      <c r="AF26" s="23" t="n"/>
      <c r="AG26" s="23" t="n"/>
      <c r="AH26" s="23" t="n"/>
      <c r="AI26" s="24" t="n"/>
      <c r="AJ26">
        <f>IF(AC26="",-9999-ROW()*0.0000001,AC26-ROW()*0.0000001)</f>
        <v/>
      </c>
      <c r="AK26">
        <f>IF(OR(AC26="",P26="",P26&gt;MAX_PRICE),-9999-ROW()*0.0000001,AC26-ROW()*0.0000001)</f>
        <v/>
      </c>
      <c r="AL26">
        <f>IF(AC26="",-9999-ROW()*0.0000001,X26*1000+AC26-ROW()*0.0000001)</f>
        <v/>
      </c>
      <c r="AM26">
        <f>IF(AC26="",-9999-ROW()*0.0000001,Y26*1000+AC26-ROW()*0.0000001)</f>
        <v/>
      </c>
      <c r="AN26">
        <f>IF(AND(OR(AD26="Maybe",AD26="Price Review"),AG26&lt;&gt;"Approved",AG26&lt;&gt;"Rejected"),IF(AC26="",0,AC26)-ROW()*0.0000001,-9999-ROW()*0.0000001)</f>
        <v/>
      </c>
      <c r="AO26" s="28" t="n"/>
      <c r="AP26" s="28" t="n"/>
      <c r="AQ26" s="29" t="n"/>
      <c r="AR26" s="29" t="n"/>
      <c r="AS26" s="23" t="n"/>
      <c r="AT26" s="29" t="n"/>
      <c r="AU26" s="29" t="n"/>
      <c r="AV26" s="29" t="n"/>
      <c r="AW26" s="25">
        <f>IF(OR(O26="",AV26=""),"",O26*AV26)</f>
        <v/>
      </c>
      <c r="AX26" s="23" t="n"/>
      <c r="AY26" s="23" t="n"/>
      <c r="AZ26" s="23" t="n"/>
      <c r="BA26" s="23" t="n"/>
      <c r="BB26" s="23" t="n"/>
      <c r="BC26" s="25" t="n"/>
      <c r="BD26" s="23" t="n"/>
      <c r="BE26" s="23">
        <f>IF(C26="","",IF(AND(ISNUMBER(P26),P26&gt;MAX_PRICE),"Price too high",IF(AND(ISNUMBER(AB26),AB26&lt;=2),"Quality risk",IF(AND(ISNUMBER(U26),U26&lt;=2),"Aesthetic mismatch",IF(AY26="High","Too fragile",IF(AND(ISNUMBER(R26),R26&lt;LOW_PROFIT_PCT),"Low profit",IF(AND(ISNUMBER(AT26),AT26&gt;MOQ_WARNING),"MOQ too high",IF(OR(AD26="Maybe",AD26="Price Review"),"Needs partner review",IF(AD26="Buy","Good candidate","")))))))))</f>
        <v/>
      </c>
      <c r="BF26" s="23" t="n"/>
      <c r="BG26" s="23" t="n"/>
      <c r="BH26" s="23" t="n"/>
      <c r="BI26" s="23" t="n"/>
      <c r="BJ26" s="23" t="n"/>
      <c r="BK26" s="23" t="n"/>
      <c r="BL26" s="23">
        <f>IF(C26="","",IF(AND(BG26="Yes",BH26="Yes",BI26="Yes",BJ26="Yes",BK26="Yes"),"Yes","No"))</f>
        <v/>
      </c>
      <c r="BM26" s="25" t="n"/>
      <c r="BN26" s="25" t="n"/>
      <c r="BO26" s="25">
        <f>IF(OR(BM26="",BN26=""),"",BM26+BN26)</f>
        <v/>
      </c>
      <c r="BP26" s="25" t="n"/>
      <c r="BQ26" s="25">
        <f>IF(OR(BP26="",BO26=""),"",BP26-BO26)</f>
        <v/>
      </c>
      <c r="BR26" s="26">
        <f>IF(OR(BP26="",BP26=0,BQ26=""),"",BQ26/BP26)</f>
        <v/>
      </c>
      <c r="BS26" s="24" t="n"/>
      <c r="BT26" s="29" t="n"/>
      <c r="BU26" s="29" t="n"/>
      <c r="BV26" s="23" t="n"/>
      <c r="BW26" s="23" t="n"/>
      <c r="BX26" s="29">
        <f>IF(OR(BT26="",BU26=""),"",BT26-BU26)</f>
        <v/>
      </c>
      <c r="BY26" s="23" t="n"/>
      <c r="BZ26" s="24" t="n"/>
      <c r="CA26" s="23" t="n"/>
      <c r="CB26" s="23" t="n"/>
    </row>
    <row r="27">
      <c r="A27" s="16">
        <f>IF(C27="","","AYN-"&amp;IFERROR(VLOOKUP(E27,CATEGORY_PREFIX_TABLE,2,FALSE),"OTH")&amp;"-"&amp;TEXT(ROW()-2,"0000"))</f>
        <v/>
      </c>
      <c r="B27" s="17" t="n"/>
      <c r="C27" s="16" t="n"/>
      <c r="D27" s="16" t="n"/>
      <c r="E27" s="16" t="n"/>
      <c r="F27" s="16" t="n"/>
      <c r="G27" s="16" t="n"/>
      <c r="H27" s="16" t="n"/>
      <c r="I27" s="16" t="n"/>
      <c r="J27" s="16" t="n"/>
      <c r="K27" s="18">
        <f>IF(I27="","",IF(J27="BDT",I27,IF(J27="USD",I27*USD_BDT,IF(J27="RMB",I27*RMB_BDT,""))))</f>
        <v/>
      </c>
      <c r="L27" s="18" t="n"/>
      <c r="M27" s="19" t="n"/>
      <c r="N27" s="18" t="n"/>
      <c r="O27" s="18">
        <f>IF(K27="","",K27+IFERROR(L27,0)+(K27*IF(M27="",CUSTOMS_PCT,M27))+IF(N27="",MISC_FEE,N27))</f>
        <v/>
      </c>
      <c r="P27" s="18">
        <f>IF(O27="","",ROUND(O27*(1+MARKUP_PCT),-1)-1)</f>
        <v/>
      </c>
      <c r="Q27" s="18">
        <f>IF(P27="","",P27-O27)</f>
        <v/>
      </c>
      <c r="R27" s="19">
        <f>IF(OR(P27="",P27=0),"",Q27/P27)</f>
        <v/>
      </c>
      <c r="S27" s="16" t="n"/>
      <c r="T27" s="16" t="n"/>
      <c r="U27" s="16" t="n"/>
      <c r="V27" s="16" t="n"/>
      <c r="W27" s="16" t="n"/>
      <c r="X27" s="16" t="n"/>
      <c r="Y27" s="16" t="n"/>
      <c r="Z27" s="16" t="n"/>
      <c r="AA27" s="16" t="n"/>
      <c r="AB27" s="16" t="n"/>
      <c r="AC27" s="20">
        <f>IF(COUNT(S27:AB27)&lt;10,"",(S27*W_FEMININE+T27*W_TREND+U27*W_AESTHETIC+V27*W_STYLE+W27*W_LIGHT+X27*W_REELS+Y27*W_GIFT+Z27*W_PRICEFIT+AA27*W_DEMAND+AB27*W_QUALITY)/5*100)</f>
        <v/>
      </c>
      <c r="AD27" s="16">
        <f>IF(P27="","",IF(P27&gt;HARD_REJECT_PRICE,"Reject",IF(P27&gt;MAX_PRICE,"Price Review",IF(AC27="","",IF(AND(AC27&gt;=BUY_THRESHOLD,OR(AB27&lt;=2,U27&lt;=2)),"Maybe",IF(AC27&gt;=BUY_THRESHOLD,"Buy",IF(AC27&gt;=MAYBE_THRESHOLD,"Maybe","Reject")))))))</f>
        <v/>
      </c>
      <c r="AE27" s="16" t="n"/>
      <c r="AF27" s="16" t="n"/>
      <c r="AG27" s="16" t="n"/>
      <c r="AH27" s="16" t="n"/>
      <c r="AI27" s="17" t="n"/>
      <c r="AJ27">
        <f>IF(AC27="",-9999-ROW()*0.0000001,AC27-ROW()*0.0000001)</f>
        <v/>
      </c>
      <c r="AK27">
        <f>IF(OR(AC27="",P27="",P27&gt;MAX_PRICE),-9999-ROW()*0.0000001,AC27-ROW()*0.0000001)</f>
        <v/>
      </c>
      <c r="AL27">
        <f>IF(AC27="",-9999-ROW()*0.0000001,X27*1000+AC27-ROW()*0.0000001)</f>
        <v/>
      </c>
      <c r="AM27">
        <f>IF(AC27="",-9999-ROW()*0.0000001,Y27*1000+AC27-ROW()*0.0000001)</f>
        <v/>
      </c>
      <c r="AN27">
        <f>IF(AND(OR(AD27="Maybe",AD27="Price Review"),AG27&lt;&gt;"Approved",AG27&lt;&gt;"Rejected"),IF(AC27="",0,AC27)-ROW()*0.0000001,-9999-ROW()*0.0000001)</f>
        <v/>
      </c>
      <c r="AO27" s="21" t="n"/>
      <c r="AP27" s="21" t="n"/>
      <c r="AQ27" s="22" t="n"/>
      <c r="AR27" s="22" t="n"/>
      <c r="AS27" s="16" t="n"/>
      <c r="AT27" s="22" t="n"/>
      <c r="AU27" s="22" t="n"/>
      <c r="AV27" s="22" t="n"/>
      <c r="AW27" s="18">
        <f>IF(OR(O27="",AV27=""),"",O27*AV27)</f>
        <v/>
      </c>
      <c r="AX27" s="16" t="n"/>
      <c r="AY27" s="16" t="n"/>
      <c r="AZ27" s="16" t="n"/>
      <c r="BA27" s="16" t="n"/>
      <c r="BB27" s="16" t="n"/>
      <c r="BC27" s="18" t="n"/>
      <c r="BD27" s="16" t="n"/>
      <c r="BE27" s="16">
        <f>IF(C27="","",IF(AND(ISNUMBER(P27),P27&gt;MAX_PRICE),"Price too high",IF(AND(ISNUMBER(AB27),AB27&lt;=2),"Quality risk",IF(AND(ISNUMBER(U27),U27&lt;=2),"Aesthetic mismatch",IF(AY27="High","Too fragile",IF(AND(ISNUMBER(R27),R27&lt;LOW_PROFIT_PCT),"Low profit",IF(AND(ISNUMBER(AT27),AT27&gt;MOQ_WARNING),"MOQ too high",IF(OR(AD27="Maybe",AD27="Price Review"),"Needs partner review",IF(AD27="Buy","Good candidate","")))))))))</f>
        <v/>
      </c>
      <c r="BF27" s="16" t="n"/>
      <c r="BG27" s="16" t="n"/>
      <c r="BH27" s="16" t="n"/>
      <c r="BI27" s="16" t="n"/>
      <c r="BJ27" s="16" t="n"/>
      <c r="BK27" s="16" t="n"/>
      <c r="BL27" s="16">
        <f>IF(C27="","",IF(AND(BG27="Yes",BH27="Yes",BI27="Yes",BJ27="Yes",BK27="Yes"),"Yes","No"))</f>
        <v/>
      </c>
      <c r="BM27" s="18" t="n"/>
      <c r="BN27" s="18" t="n"/>
      <c r="BO27" s="18">
        <f>IF(OR(BM27="",BN27=""),"",BM27+BN27)</f>
        <v/>
      </c>
      <c r="BP27" s="18" t="n"/>
      <c r="BQ27" s="18">
        <f>IF(OR(BP27="",BO27=""),"",BP27-BO27)</f>
        <v/>
      </c>
      <c r="BR27" s="19">
        <f>IF(OR(BP27="",BP27=0,BQ27=""),"",BQ27/BP27)</f>
        <v/>
      </c>
      <c r="BS27" s="17" t="n"/>
      <c r="BT27" s="22" t="n"/>
      <c r="BU27" s="22" t="n"/>
      <c r="BV27" s="16" t="n"/>
      <c r="BW27" s="16" t="n"/>
      <c r="BX27" s="22">
        <f>IF(OR(BT27="",BU27=""),"",BT27-BU27)</f>
        <v/>
      </c>
      <c r="BY27" s="16" t="n"/>
      <c r="BZ27" s="17" t="n"/>
      <c r="CA27" s="16" t="n"/>
      <c r="CB27" s="16" t="n"/>
    </row>
    <row r="28">
      <c r="A28" s="23">
        <f>IF(C28="","","AYN-"&amp;IFERROR(VLOOKUP(E28,CATEGORY_PREFIX_TABLE,2,FALSE),"OTH")&amp;"-"&amp;TEXT(ROW()-2,"0000"))</f>
        <v/>
      </c>
      <c r="B28" s="24" t="n"/>
      <c r="C28" s="23" t="n"/>
      <c r="D28" s="23" t="n"/>
      <c r="E28" s="23" t="n"/>
      <c r="F28" s="23" t="n"/>
      <c r="G28" s="23" t="n"/>
      <c r="H28" s="23" t="n"/>
      <c r="I28" s="23" t="n"/>
      <c r="J28" s="23" t="n"/>
      <c r="K28" s="25">
        <f>IF(I28="","",IF(J28="BDT",I28,IF(J28="USD",I28*USD_BDT,IF(J28="RMB",I28*RMB_BDT,""))))</f>
        <v/>
      </c>
      <c r="L28" s="25" t="n"/>
      <c r="M28" s="26" t="n"/>
      <c r="N28" s="25" t="n"/>
      <c r="O28" s="25">
        <f>IF(K28="","",K28+IFERROR(L28,0)+(K28*IF(M28="",CUSTOMS_PCT,M28))+IF(N28="",MISC_FEE,N28))</f>
        <v/>
      </c>
      <c r="P28" s="25">
        <f>IF(O28="","",ROUND(O28*(1+MARKUP_PCT),-1)-1)</f>
        <v/>
      </c>
      <c r="Q28" s="25">
        <f>IF(P28="","",P28-O28)</f>
        <v/>
      </c>
      <c r="R28" s="26">
        <f>IF(OR(P28="",P28=0),"",Q28/P28)</f>
        <v/>
      </c>
      <c r="S28" s="23" t="n"/>
      <c r="T28" s="23" t="n"/>
      <c r="U28" s="23" t="n"/>
      <c r="V28" s="23" t="n"/>
      <c r="W28" s="23" t="n"/>
      <c r="X28" s="23" t="n"/>
      <c r="Y28" s="23" t="n"/>
      <c r="Z28" s="23" t="n"/>
      <c r="AA28" s="23" t="n"/>
      <c r="AB28" s="23" t="n"/>
      <c r="AC28" s="27">
        <f>IF(COUNT(S28:AB28)&lt;10,"",(S28*W_FEMININE+T28*W_TREND+U28*W_AESTHETIC+V28*W_STYLE+W28*W_LIGHT+X28*W_REELS+Y28*W_GIFT+Z28*W_PRICEFIT+AA28*W_DEMAND+AB28*W_QUALITY)/5*100)</f>
        <v/>
      </c>
      <c r="AD28" s="23">
        <f>IF(P28="","",IF(P28&gt;HARD_REJECT_PRICE,"Reject",IF(P28&gt;MAX_PRICE,"Price Review",IF(AC28="","",IF(AND(AC28&gt;=BUY_THRESHOLD,OR(AB28&lt;=2,U28&lt;=2)),"Maybe",IF(AC28&gt;=BUY_THRESHOLD,"Buy",IF(AC28&gt;=MAYBE_THRESHOLD,"Maybe","Reject")))))))</f>
        <v/>
      </c>
      <c r="AE28" s="23" t="n"/>
      <c r="AF28" s="23" t="n"/>
      <c r="AG28" s="23" t="n"/>
      <c r="AH28" s="23" t="n"/>
      <c r="AI28" s="24" t="n"/>
      <c r="AJ28">
        <f>IF(AC28="",-9999-ROW()*0.0000001,AC28-ROW()*0.0000001)</f>
        <v/>
      </c>
      <c r="AK28">
        <f>IF(OR(AC28="",P28="",P28&gt;MAX_PRICE),-9999-ROW()*0.0000001,AC28-ROW()*0.0000001)</f>
        <v/>
      </c>
      <c r="AL28">
        <f>IF(AC28="",-9999-ROW()*0.0000001,X28*1000+AC28-ROW()*0.0000001)</f>
        <v/>
      </c>
      <c r="AM28">
        <f>IF(AC28="",-9999-ROW()*0.0000001,Y28*1000+AC28-ROW()*0.0000001)</f>
        <v/>
      </c>
      <c r="AN28">
        <f>IF(AND(OR(AD28="Maybe",AD28="Price Review"),AG28&lt;&gt;"Approved",AG28&lt;&gt;"Rejected"),IF(AC28="",0,AC28)-ROW()*0.0000001,-9999-ROW()*0.0000001)</f>
        <v/>
      </c>
      <c r="AO28" s="28" t="n"/>
      <c r="AP28" s="28" t="n"/>
      <c r="AQ28" s="29" t="n"/>
      <c r="AR28" s="29" t="n"/>
      <c r="AS28" s="23" t="n"/>
      <c r="AT28" s="29" t="n"/>
      <c r="AU28" s="29" t="n"/>
      <c r="AV28" s="29" t="n"/>
      <c r="AW28" s="25">
        <f>IF(OR(O28="",AV28=""),"",O28*AV28)</f>
        <v/>
      </c>
      <c r="AX28" s="23" t="n"/>
      <c r="AY28" s="23" t="n"/>
      <c r="AZ28" s="23" t="n"/>
      <c r="BA28" s="23" t="n"/>
      <c r="BB28" s="23" t="n"/>
      <c r="BC28" s="25" t="n"/>
      <c r="BD28" s="23" t="n"/>
      <c r="BE28" s="23">
        <f>IF(C28="","",IF(AND(ISNUMBER(P28),P28&gt;MAX_PRICE),"Price too high",IF(AND(ISNUMBER(AB28),AB28&lt;=2),"Quality risk",IF(AND(ISNUMBER(U28),U28&lt;=2),"Aesthetic mismatch",IF(AY28="High","Too fragile",IF(AND(ISNUMBER(R28),R28&lt;LOW_PROFIT_PCT),"Low profit",IF(AND(ISNUMBER(AT28),AT28&gt;MOQ_WARNING),"MOQ too high",IF(OR(AD28="Maybe",AD28="Price Review"),"Needs partner review",IF(AD28="Buy","Good candidate","")))))))))</f>
        <v/>
      </c>
      <c r="BF28" s="23" t="n"/>
      <c r="BG28" s="23" t="n"/>
      <c r="BH28" s="23" t="n"/>
      <c r="BI28" s="23" t="n"/>
      <c r="BJ28" s="23" t="n"/>
      <c r="BK28" s="23" t="n"/>
      <c r="BL28" s="23">
        <f>IF(C28="","",IF(AND(BG28="Yes",BH28="Yes",BI28="Yes",BJ28="Yes",BK28="Yes"),"Yes","No"))</f>
        <v/>
      </c>
      <c r="BM28" s="25" t="n"/>
      <c r="BN28" s="25" t="n"/>
      <c r="BO28" s="25">
        <f>IF(OR(BM28="",BN28=""),"",BM28+BN28)</f>
        <v/>
      </c>
      <c r="BP28" s="25" t="n"/>
      <c r="BQ28" s="25">
        <f>IF(OR(BP28="",BO28=""),"",BP28-BO28)</f>
        <v/>
      </c>
      <c r="BR28" s="26">
        <f>IF(OR(BP28="",BP28=0,BQ28=""),"",BQ28/BP28)</f>
        <v/>
      </c>
      <c r="BS28" s="24" t="n"/>
      <c r="BT28" s="29" t="n"/>
      <c r="BU28" s="29" t="n"/>
      <c r="BV28" s="23" t="n"/>
      <c r="BW28" s="23" t="n"/>
      <c r="BX28" s="29">
        <f>IF(OR(BT28="",BU28=""),"",BT28-BU28)</f>
        <v/>
      </c>
      <c r="BY28" s="23" t="n"/>
      <c r="BZ28" s="24" t="n"/>
      <c r="CA28" s="23" t="n"/>
      <c r="CB28" s="23" t="n"/>
    </row>
    <row r="29">
      <c r="A29" s="16">
        <f>IF(C29="","","AYN-"&amp;IFERROR(VLOOKUP(E29,CATEGORY_PREFIX_TABLE,2,FALSE),"OTH")&amp;"-"&amp;TEXT(ROW()-2,"0000"))</f>
        <v/>
      </c>
      <c r="B29" s="17" t="n"/>
      <c r="C29" s="16" t="n"/>
      <c r="D29" s="16" t="n"/>
      <c r="E29" s="16" t="n"/>
      <c r="F29" s="16" t="n"/>
      <c r="G29" s="16" t="n"/>
      <c r="H29" s="16" t="n"/>
      <c r="I29" s="16" t="n"/>
      <c r="J29" s="16" t="n"/>
      <c r="K29" s="18">
        <f>IF(I29="","",IF(J29="BDT",I29,IF(J29="USD",I29*USD_BDT,IF(J29="RMB",I29*RMB_BDT,""))))</f>
        <v/>
      </c>
      <c r="L29" s="18" t="n"/>
      <c r="M29" s="19" t="n"/>
      <c r="N29" s="18" t="n"/>
      <c r="O29" s="18">
        <f>IF(K29="","",K29+IFERROR(L29,0)+(K29*IF(M29="",CUSTOMS_PCT,M29))+IF(N29="",MISC_FEE,N29))</f>
        <v/>
      </c>
      <c r="P29" s="18">
        <f>IF(O29="","",ROUND(O29*(1+MARKUP_PCT),-1)-1)</f>
        <v/>
      </c>
      <c r="Q29" s="18">
        <f>IF(P29="","",P29-O29)</f>
        <v/>
      </c>
      <c r="R29" s="19">
        <f>IF(OR(P29="",P29=0),"",Q29/P29)</f>
        <v/>
      </c>
      <c r="S29" s="16" t="n"/>
      <c r="T29" s="16" t="n"/>
      <c r="U29" s="16" t="n"/>
      <c r="V29" s="16" t="n"/>
      <c r="W29" s="16" t="n"/>
      <c r="X29" s="16" t="n"/>
      <c r="Y29" s="16" t="n"/>
      <c r="Z29" s="16" t="n"/>
      <c r="AA29" s="16" t="n"/>
      <c r="AB29" s="16" t="n"/>
      <c r="AC29" s="20">
        <f>IF(COUNT(S29:AB29)&lt;10,"",(S29*W_FEMININE+T29*W_TREND+U29*W_AESTHETIC+V29*W_STYLE+W29*W_LIGHT+X29*W_REELS+Y29*W_GIFT+Z29*W_PRICEFIT+AA29*W_DEMAND+AB29*W_QUALITY)/5*100)</f>
        <v/>
      </c>
      <c r="AD29" s="16">
        <f>IF(P29="","",IF(P29&gt;HARD_REJECT_PRICE,"Reject",IF(P29&gt;MAX_PRICE,"Price Review",IF(AC29="","",IF(AND(AC29&gt;=BUY_THRESHOLD,OR(AB29&lt;=2,U29&lt;=2)),"Maybe",IF(AC29&gt;=BUY_THRESHOLD,"Buy",IF(AC29&gt;=MAYBE_THRESHOLD,"Maybe","Reject")))))))</f>
        <v/>
      </c>
      <c r="AE29" s="16" t="n"/>
      <c r="AF29" s="16" t="n"/>
      <c r="AG29" s="16" t="n"/>
      <c r="AH29" s="16" t="n"/>
      <c r="AI29" s="17" t="n"/>
      <c r="AJ29">
        <f>IF(AC29="",-9999-ROW()*0.0000001,AC29-ROW()*0.0000001)</f>
        <v/>
      </c>
      <c r="AK29">
        <f>IF(OR(AC29="",P29="",P29&gt;MAX_PRICE),-9999-ROW()*0.0000001,AC29-ROW()*0.0000001)</f>
        <v/>
      </c>
      <c r="AL29">
        <f>IF(AC29="",-9999-ROW()*0.0000001,X29*1000+AC29-ROW()*0.0000001)</f>
        <v/>
      </c>
      <c r="AM29">
        <f>IF(AC29="",-9999-ROW()*0.0000001,Y29*1000+AC29-ROW()*0.0000001)</f>
        <v/>
      </c>
      <c r="AN29">
        <f>IF(AND(OR(AD29="Maybe",AD29="Price Review"),AG29&lt;&gt;"Approved",AG29&lt;&gt;"Rejected"),IF(AC29="",0,AC29)-ROW()*0.0000001,-9999-ROW()*0.0000001)</f>
        <v/>
      </c>
      <c r="AO29" s="21" t="n"/>
      <c r="AP29" s="21" t="n"/>
      <c r="AQ29" s="22" t="n"/>
      <c r="AR29" s="22" t="n"/>
      <c r="AS29" s="16" t="n"/>
      <c r="AT29" s="22" t="n"/>
      <c r="AU29" s="22" t="n"/>
      <c r="AV29" s="22" t="n"/>
      <c r="AW29" s="18">
        <f>IF(OR(O29="",AV29=""),"",O29*AV29)</f>
        <v/>
      </c>
      <c r="AX29" s="16" t="n"/>
      <c r="AY29" s="16" t="n"/>
      <c r="AZ29" s="16" t="n"/>
      <c r="BA29" s="16" t="n"/>
      <c r="BB29" s="16" t="n"/>
      <c r="BC29" s="18" t="n"/>
      <c r="BD29" s="16" t="n"/>
      <c r="BE29" s="16">
        <f>IF(C29="","",IF(AND(ISNUMBER(P29),P29&gt;MAX_PRICE),"Price too high",IF(AND(ISNUMBER(AB29),AB29&lt;=2),"Quality risk",IF(AND(ISNUMBER(U29),U29&lt;=2),"Aesthetic mismatch",IF(AY29="High","Too fragile",IF(AND(ISNUMBER(R29),R29&lt;LOW_PROFIT_PCT),"Low profit",IF(AND(ISNUMBER(AT29),AT29&gt;MOQ_WARNING),"MOQ too high",IF(OR(AD29="Maybe",AD29="Price Review"),"Needs partner review",IF(AD29="Buy","Good candidate","")))))))))</f>
        <v/>
      </c>
      <c r="BF29" s="16" t="n"/>
      <c r="BG29" s="16" t="n"/>
      <c r="BH29" s="16" t="n"/>
      <c r="BI29" s="16" t="n"/>
      <c r="BJ29" s="16" t="n"/>
      <c r="BK29" s="16" t="n"/>
      <c r="BL29" s="16">
        <f>IF(C29="","",IF(AND(BG29="Yes",BH29="Yes",BI29="Yes",BJ29="Yes",BK29="Yes"),"Yes","No"))</f>
        <v/>
      </c>
      <c r="BM29" s="18" t="n"/>
      <c r="BN29" s="18" t="n"/>
      <c r="BO29" s="18">
        <f>IF(OR(BM29="",BN29=""),"",BM29+BN29)</f>
        <v/>
      </c>
      <c r="BP29" s="18" t="n"/>
      <c r="BQ29" s="18">
        <f>IF(OR(BP29="",BO29=""),"",BP29-BO29)</f>
        <v/>
      </c>
      <c r="BR29" s="19">
        <f>IF(OR(BP29="",BP29=0,BQ29=""),"",BQ29/BP29)</f>
        <v/>
      </c>
      <c r="BS29" s="17" t="n"/>
      <c r="BT29" s="22" t="n"/>
      <c r="BU29" s="22" t="n"/>
      <c r="BV29" s="16" t="n"/>
      <c r="BW29" s="16" t="n"/>
      <c r="BX29" s="22">
        <f>IF(OR(BT29="",BU29=""),"",BT29-BU29)</f>
        <v/>
      </c>
      <c r="BY29" s="16" t="n"/>
      <c r="BZ29" s="17" t="n"/>
      <c r="CA29" s="16" t="n"/>
      <c r="CB29" s="16" t="n"/>
    </row>
    <row r="30">
      <c r="A30" s="23">
        <f>IF(C30="","","AYN-"&amp;IFERROR(VLOOKUP(E30,CATEGORY_PREFIX_TABLE,2,FALSE),"OTH")&amp;"-"&amp;TEXT(ROW()-2,"0000"))</f>
        <v/>
      </c>
      <c r="B30" s="24" t="n"/>
      <c r="C30" s="23" t="n"/>
      <c r="D30" s="23" t="n"/>
      <c r="E30" s="23" t="n"/>
      <c r="F30" s="23" t="n"/>
      <c r="G30" s="23" t="n"/>
      <c r="H30" s="23" t="n"/>
      <c r="I30" s="23" t="n"/>
      <c r="J30" s="23" t="n"/>
      <c r="K30" s="25">
        <f>IF(I30="","",IF(J30="BDT",I30,IF(J30="USD",I30*USD_BDT,IF(J30="RMB",I30*RMB_BDT,""))))</f>
        <v/>
      </c>
      <c r="L30" s="25" t="n"/>
      <c r="M30" s="26" t="n"/>
      <c r="N30" s="25" t="n"/>
      <c r="O30" s="25">
        <f>IF(K30="","",K30+IFERROR(L30,0)+(K30*IF(M30="",CUSTOMS_PCT,M30))+IF(N30="",MISC_FEE,N30))</f>
        <v/>
      </c>
      <c r="P30" s="25">
        <f>IF(O30="","",ROUND(O30*(1+MARKUP_PCT),-1)-1)</f>
        <v/>
      </c>
      <c r="Q30" s="25">
        <f>IF(P30="","",P30-O30)</f>
        <v/>
      </c>
      <c r="R30" s="26">
        <f>IF(OR(P30="",P30=0),"",Q30/P30)</f>
        <v/>
      </c>
      <c r="S30" s="23" t="n"/>
      <c r="T30" s="23" t="n"/>
      <c r="U30" s="23" t="n"/>
      <c r="V30" s="23" t="n"/>
      <c r="W30" s="23" t="n"/>
      <c r="X30" s="23" t="n"/>
      <c r="Y30" s="23" t="n"/>
      <c r="Z30" s="23" t="n"/>
      <c r="AA30" s="23" t="n"/>
      <c r="AB30" s="23" t="n"/>
      <c r="AC30" s="27">
        <f>IF(COUNT(S30:AB30)&lt;10,"",(S30*W_FEMININE+T30*W_TREND+U30*W_AESTHETIC+V30*W_STYLE+W30*W_LIGHT+X30*W_REELS+Y30*W_GIFT+Z30*W_PRICEFIT+AA30*W_DEMAND+AB30*W_QUALITY)/5*100)</f>
        <v/>
      </c>
      <c r="AD30" s="23">
        <f>IF(P30="","",IF(P30&gt;HARD_REJECT_PRICE,"Reject",IF(P30&gt;MAX_PRICE,"Price Review",IF(AC30="","",IF(AND(AC30&gt;=BUY_THRESHOLD,OR(AB30&lt;=2,U30&lt;=2)),"Maybe",IF(AC30&gt;=BUY_THRESHOLD,"Buy",IF(AC30&gt;=MAYBE_THRESHOLD,"Maybe","Reject")))))))</f>
        <v/>
      </c>
      <c r="AE30" s="23" t="n"/>
      <c r="AF30" s="23" t="n"/>
      <c r="AG30" s="23" t="n"/>
      <c r="AH30" s="23" t="n"/>
      <c r="AI30" s="24" t="n"/>
      <c r="AJ30">
        <f>IF(AC30="",-9999-ROW()*0.0000001,AC30-ROW()*0.0000001)</f>
        <v/>
      </c>
      <c r="AK30">
        <f>IF(OR(AC30="",P30="",P30&gt;MAX_PRICE),-9999-ROW()*0.0000001,AC30-ROW()*0.0000001)</f>
        <v/>
      </c>
      <c r="AL30">
        <f>IF(AC30="",-9999-ROW()*0.0000001,X30*1000+AC30-ROW()*0.0000001)</f>
        <v/>
      </c>
      <c r="AM30">
        <f>IF(AC30="",-9999-ROW()*0.0000001,Y30*1000+AC30-ROW()*0.0000001)</f>
        <v/>
      </c>
      <c r="AN30">
        <f>IF(AND(OR(AD30="Maybe",AD30="Price Review"),AG30&lt;&gt;"Approved",AG30&lt;&gt;"Rejected"),IF(AC30="",0,AC30)-ROW()*0.0000001,-9999-ROW()*0.0000001)</f>
        <v/>
      </c>
      <c r="AO30" s="28" t="n"/>
      <c r="AP30" s="28" t="n"/>
      <c r="AQ30" s="29" t="n"/>
      <c r="AR30" s="29" t="n"/>
      <c r="AS30" s="23" t="n"/>
      <c r="AT30" s="29" t="n"/>
      <c r="AU30" s="29" t="n"/>
      <c r="AV30" s="29" t="n"/>
      <c r="AW30" s="25">
        <f>IF(OR(O30="",AV30=""),"",O30*AV30)</f>
        <v/>
      </c>
      <c r="AX30" s="23" t="n"/>
      <c r="AY30" s="23" t="n"/>
      <c r="AZ30" s="23" t="n"/>
      <c r="BA30" s="23" t="n"/>
      <c r="BB30" s="23" t="n"/>
      <c r="BC30" s="25" t="n"/>
      <c r="BD30" s="23" t="n"/>
      <c r="BE30" s="23">
        <f>IF(C30="","",IF(AND(ISNUMBER(P30),P30&gt;MAX_PRICE),"Price too high",IF(AND(ISNUMBER(AB30),AB30&lt;=2),"Quality risk",IF(AND(ISNUMBER(U30),U30&lt;=2),"Aesthetic mismatch",IF(AY30="High","Too fragile",IF(AND(ISNUMBER(R30),R30&lt;LOW_PROFIT_PCT),"Low profit",IF(AND(ISNUMBER(AT30),AT30&gt;MOQ_WARNING),"MOQ too high",IF(OR(AD30="Maybe",AD30="Price Review"),"Needs partner review",IF(AD30="Buy","Good candidate","")))))))))</f>
        <v/>
      </c>
      <c r="BF30" s="23" t="n"/>
      <c r="BG30" s="23" t="n"/>
      <c r="BH30" s="23" t="n"/>
      <c r="BI30" s="23" t="n"/>
      <c r="BJ30" s="23" t="n"/>
      <c r="BK30" s="23" t="n"/>
      <c r="BL30" s="23">
        <f>IF(C30="","",IF(AND(BG30="Yes",BH30="Yes",BI30="Yes",BJ30="Yes",BK30="Yes"),"Yes","No"))</f>
        <v/>
      </c>
      <c r="BM30" s="25" t="n"/>
      <c r="BN30" s="25" t="n"/>
      <c r="BO30" s="25">
        <f>IF(OR(BM30="",BN30=""),"",BM30+BN30)</f>
        <v/>
      </c>
      <c r="BP30" s="25" t="n"/>
      <c r="BQ30" s="25">
        <f>IF(OR(BP30="",BO30=""),"",BP30-BO30)</f>
        <v/>
      </c>
      <c r="BR30" s="26">
        <f>IF(OR(BP30="",BP30=0,BQ30=""),"",BQ30/BP30)</f>
        <v/>
      </c>
      <c r="BS30" s="24" t="n"/>
      <c r="BT30" s="29" t="n"/>
      <c r="BU30" s="29" t="n"/>
      <c r="BV30" s="23" t="n"/>
      <c r="BW30" s="23" t="n"/>
      <c r="BX30" s="29">
        <f>IF(OR(BT30="",BU30=""),"",BT30-BU30)</f>
        <v/>
      </c>
      <c r="BY30" s="23" t="n"/>
      <c r="BZ30" s="24" t="n"/>
      <c r="CA30" s="23" t="n"/>
      <c r="CB30" s="23" t="n"/>
    </row>
    <row r="31">
      <c r="A31" s="16">
        <f>IF(C31="","","AYN-"&amp;IFERROR(VLOOKUP(E31,CATEGORY_PREFIX_TABLE,2,FALSE),"OTH")&amp;"-"&amp;TEXT(ROW()-2,"0000"))</f>
        <v/>
      </c>
      <c r="B31" s="17" t="n"/>
      <c r="C31" s="16" t="n"/>
      <c r="D31" s="16" t="n"/>
      <c r="E31" s="16" t="n"/>
      <c r="F31" s="16" t="n"/>
      <c r="G31" s="16" t="n"/>
      <c r="H31" s="16" t="n"/>
      <c r="I31" s="16" t="n"/>
      <c r="J31" s="16" t="n"/>
      <c r="K31" s="18">
        <f>IF(I31="","",IF(J31="BDT",I31,IF(J31="USD",I31*USD_BDT,IF(J31="RMB",I31*RMB_BDT,""))))</f>
        <v/>
      </c>
      <c r="L31" s="18" t="n"/>
      <c r="M31" s="19" t="n"/>
      <c r="N31" s="18" t="n"/>
      <c r="O31" s="18">
        <f>IF(K31="","",K31+IFERROR(L31,0)+(K31*IF(M31="",CUSTOMS_PCT,M31))+IF(N31="",MISC_FEE,N31))</f>
        <v/>
      </c>
      <c r="P31" s="18">
        <f>IF(O31="","",ROUND(O31*(1+MARKUP_PCT),-1)-1)</f>
        <v/>
      </c>
      <c r="Q31" s="18">
        <f>IF(P31="","",P31-O31)</f>
        <v/>
      </c>
      <c r="R31" s="19">
        <f>IF(OR(P31="",P31=0),"",Q31/P31)</f>
        <v/>
      </c>
      <c r="S31" s="16" t="n"/>
      <c r="T31" s="16" t="n"/>
      <c r="U31" s="16" t="n"/>
      <c r="V31" s="16" t="n"/>
      <c r="W31" s="16" t="n"/>
      <c r="X31" s="16" t="n"/>
      <c r="Y31" s="16" t="n"/>
      <c r="Z31" s="16" t="n"/>
      <c r="AA31" s="16" t="n"/>
      <c r="AB31" s="16" t="n"/>
      <c r="AC31" s="20">
        <f>IF(COUNT(S31:AB31)&lt;10,"",(S31*W_FEMININE+T31*W_TREND+U31*W_AESTHETIC+V31*W_STYLE+W31*W_LIGHT+X31*W_REELS+Y31*W_GIFT+Z31*W_PRICEFIT+AA31*W_DEMAND+AB31*W_QUALITY)/5*100)</f>
        <v/>
      </c>
      <c r="AD31" s="16">
        <f>IF(P31="","",IF(P31&gt;HARD_REJECT_PRICE,"Reject",IF(P31&gt;MAX_PRICE,"Price Review",IF(AC31="","",IF(AND(AC31&gt;=BUY_THRESHOLD,OR(AB31&lt;=2,U31&lt;=2)),"Maybe",IF(AC31&gt;=BUY_THRESHOLD,"Buy",IF(AC31&gt;=MAYBE_THRESHOLD,"Maybe","Reject")))))))</f>
        <v/>
      </c>
      <c r="AE31" s="16" t="n"/>
      <c r="AF31" s="16" t="n"/>
      <c r="AG31" s="16" t="n"/>
      <c r="AH31" s="16" t="n"/>
      <c r="AI31" s="17" t="n"/>
      <c r="AJ31">
        <f>IF(AC31="",-9999-ROW()*0.0000001,AC31-ROW()*0.0000001)</f>
        <v/>
      </c>
      <c r="AK31">
        <f>IF(OR(AC31="",P31="",P31&gt;MAX_PRICE),-9999-ROW()*0.0000001,AC31-ROW()*0.0000001)</f>
        <v/>
      </c>
      <c r="AL31">
        <f>IF(AC31="",-9999-ROW()*0.0000001,X31*1000+AC31-ROW()*0.0000001)</f>
        <v/>
      </c>
      <c r="AM31">
        <f>IF(AC31="",-9999-ROW()*0.0000001,Y31*1000+AC31-ROW()*0.0000001)</f>
        <v/>
      </c>
      <c r="AN31">
        <f>IF(AND(OR(AD31="Maybe",AD31="Price Review"),AG31&lt;&gt;"Approved",AG31&lt;&gt;"Rejected"),IF(AC31="",0,AC31)-ROW()*0.0000001,-9999-ROW()*0.0000001)</f>
        <v/>
      </c>
      <c r="AO31" s="21" t="n"/>
      <c r="AP31" s="21" t="n"/>
      <c r="AQ31" s="22" t="n"/>
      <c r="AR31" s="22" t="n"/>
      <c r="AS31" s="16" t="n"/>
      <c r="AT31" s="22" t="n"/>
      <c r="AU31" s="22" t="n"/>
      <c r="AV31" s="22" t="n"/>
      <c r="AW31" s="18">
        <f>IF(OR(O31="",AV31=""),"",O31*AV31)</f>
        <v/>
      </c>
      <c r="AX31" s="16" t="n"/>
      <c r="AY31" s="16" t="n"/>
      <c r="AZ31" s="16" t="n"/>
      <c r="BA31" s="16" t="n"/>
      <c r="BB31" s="16" t="n"/>
      <c r="BC31" s="18" t="n"/>
      <c r="BD31" s="16" t="n"/>
      <c r="BE31" s="16">
        <f>IF(C31="","",IF(AND(ISNUMBER(P31),P31&gt;MAX_PRICE),"Price too high",IF(AND(ISNUMBER(AB31),AB31&lt;=2),"Quality risk",IF(AND(ISNUMBER(U31),U31&lt;=2),"Aesthetic mismatch",IF(AY31="High","Too fragile",IF(AND(ISNUMBER(R31),R31&lt;LOW_PROFIT_PCT),"Low profit",IF(AND(ISNUMBER(AT31),AT31&gt;MOQ_WARNING),"MOQ too high",IF(OR(AD31="Maybe",AD31="Price Review"),"Needs partner review",IF(AD31="Buy","Good candidate","")))))))))</f>
        <v/>
      </c>
      <c r="BF31" s="16" t="n"/>
      <c r="BG31" s="16" t="n"/>
      <c r="BH31" s="16" t="n"/>
      <c r="BI31" s="16" t="n"/>
      <c r="BJ31" s="16" t="n"/>
      <c r="BK31" s="16" t="n"/>
      <c r="BL31" s="16">
        <f>IF(C31="","",IF(AND(BG31="Yes",BH31="Yes",BI31="Yes",BJ31="Yes",BK31="Yes"),"Yes","No"))</f>
        <v/>
      </c>
      <c r="BM31" s="18" t="n"/>
      <c r="BN31" s="18" t="n"/>
      <c r="BO31" s="18">
        <f>IF(OR(BM31="",BN31=""),"",BM31+BN31)</f>
        <v/>
      </c>
      <c r="BP31" s="18" t="n"/>
      <c r="BQ31" s="18">
        <f>IF(OR(BP31="",BO31=""),"",BP31-BO31)</f>
        <v/>
      </c>
      <c r="BR31" s="19">
        <f>IF(OR(BP31="",BP31=0,BQ31=""),"",BQ31/BP31)</f>
        <v/>
      </c>
      <c r="BS31" s="17" t="n"/>
      <c r="BT31" s="22" t="n"/>
      <c r="BU31" s="22" t="n"/>
      <c r="BV31" s="16" t="n"/>
      <c r="BW31" s="16" t="n"/>
      <c r="BX31" s="22">
        <f>IF(OR(BT31="",BU31=""),"",BT31-BU31)</f>
        <v/>
      </c>
      <c r="BY31" s="16" t="n"/>
      <c r="BZ31" s="17" t="n"/>
      <c r="CA31" s="16" t="n"/>
      <c r="CB31" s="16" t="n"/>
    </row>
    <row r="32">
      <c r="A32" s="23">
        <f>IF(C32="","","AYN-"&amp;IFERROR(VLOOKUP(E32,CATEGORY_PREFIX_TABLE,2,FALSE),"OTH")&amp;"-"&amp;TEXT(ROW()-2,"0000"))</f>
        <v/>
      </c>
      <c r="B32" s="24" t="n"/>
      <c r="C32" s="23" t="n"/>
      <c r="D32" s="23" t="n"/>
      <c r="E32" s="23" t="n"/>
      <c r="F32" s="23" t="n"/>
      <c r="G32" s="23" t="n"/>
      <c r="H32" s="23" t="n"/>
      <c r="I32" s="23" t="n"/>
      <c r="J32" s="23" t="n"/>
      <c r="K32" s="25">
        <f>IF(I32="","",IF(J32="BDT",I32,IF(J32="USD",I32*USD_BDT,IF(J32="RMB",I32*RMB_BDT,""))))</f>
        <v/>
      </c>
      <c r="L32" s="25" t="n"/>
      <c r="M32" s="26" t="n"/>
      <c r="N32" s="25" t="n"/>
      <c r="O32" s="25">
        <f>IF(K32="","",K32+IFERROR(L32,0)+(K32*IF(M32="",CUSTOMS_PCT,M32))+IF(N32="",MISC_FEE,N32))</f>
        <v/>
      </c>
      <c r="P32" s="25">
        <f>IF(O32="","",ROUND(O32*(1+MARKUP_PCT),-1)-1)</f>
        <v/>
      </c>
      <c r="Q32" s="25">
        <f>IF(P32="","",P32-O32)</f>
        <v/>
      </c>
      <c r="R32" s="26">
        <f>IF(OR(P32="",P32=0),"",Q32/P32)</f>
        <v/>
      </c>
      <c r="S32" s="23" t="n"/>
      <c r="T32" s="23" t="n"/>
      <c r="U32" s="23" t="n"/>
      <c r="V32" s="23" t="n"/>
      <c r="W32" s="23" t="n"/>
      <c r="X32" s="23" t="n"/>
      <c r="Y32" s="23" t="n"/>
      <c r="Z32" s="23" t="n"/>
      <c r="AA32" s="23" t="n"/>
      <c r="AB32" s="23" t="n"/>
      <c r="AC32" s="27">
        <f>IF(COUNT(S32:AB32)&lt;10,"",(S32*W_FEMININE+T32*W_TREND+U32*W_AESTHETIC+V32*W_STYLE+W32*W_LIGHT+X32*W_REELS+Y32*W_GIFT+Z32*W_PRICEFIT+AA32*W_DEMAND+AB32*W_QUALITY)/5*100)</f>
        <v/>
      </c>
      <c r="AD32" s="23">
        <f>IF(P32="","",IF(P32&gt;HARD_REJECT_PRICE,"Reject",IF(P32&gt;MAX_PRICE,"Price Review",IF(AC32="","",IF(AND(AC32&gt;=BUY_THRESHOLD,OR(AB32&lt;=2,U32&lt;=2)),"Maybe",IF(AC32&gt;=BUY_THRESHOLD,"Buy",IF(AC32&gt;=MAYBE_THRESHOLD,"Maybe","Reject")))))))</f>
        <v/>
      </c>
      <c r="AE32" s="23" t="n"/>
      <c r="AF32" s="23" t="n"/>
      <c r="AG32" s="23" t="n"/>
      <c r="AH32" s="23" t="n"/>
      <c r="AI32" s="24" t="n"/>
      <c r="AJ32">
        <f>IF(AC32="",-9999-ROW()*0.0000001,AC32-ROW()*0.0000001)</f>
        <v/>
      </c>
      <c r="AK32">
        <f>IF(OR(AC32="",P32="",P32&gt;MAX_PRICE),-9999-ROW()*0.0000001,AC32-ROW()*0.0000001)</f>
        <v/>
      </c>
      <c r="AL32">
        <f>IF(AC32="",-9999-ROW()*0.0000001,X32*1000+AC32-ROW()*0.0000001)</f>
        <v/>
      </c>
      <c r="AM32">
        <f>IF(AC32="",-9999-ROW()*0.0000001,Y32*1000+AC32-ROW()*0.0000001)</f>
        <v/>
      </c>
      <c r="AN32">
        <f>IF(AND(OR(AD32="Maybe",AD32="Price Review"),AG32&lt;&gt;"Approved",AG32&lt;&gt;"Rejected"),IF(AC32="",0,AC32)-ROW()*0.0000001,-9999-ROW()*0.0000001)</f>
        <v/>
      </c>
      <c r="AO32" s="28" t="n"/>
      <c r="AP32" s="28" t="n"/>
      <c r="AQ32" s="29" t="n"/>
      <c r="AR32" s="29" t="n"/>
      <c r="AS32" s="23" t="n"/>
      <c r="AT32" s="29" t="n"/>
      <c r="AU32" s="29" t="n"/>
      <c r="AV32" s="29" t="n"/>
      <c r="AW32" s="25">
        <f>IF(OR(O32="",AV32=""),"",O32*AV32)</f>
        <v/>
      </c>
      <c r="AX32" s="23" t="n"/>
      <c r="AY32" s="23" t="n"/>
      <c r="AZ32" s="23" t="n"/>
      <c r="BA32" s="23" t="n"/>
      <c r="BB32" s="23" t="n"/>
      <c r="BC32" s="25" t="n"/>
      <c r="BD32" s="23" t="n"/>
      <c r="BE32" s="23">
        <f>IF(C32="","",IF(AND(ISNUMBER(P32),P32&gt;MAX_PRICE),"Price too high",IF(AND(ISNUMBER(AB32),AB32&lt;=2),"Quality risk",IF(AND(ISNUMBER(U32),U32&lt;=2),"Aesthetic mismatch",IF(AY32="High","Too fragile",IF(AND(ISNUMBER(R32),R32&lt;LOW_PROFIT_PCT),"Low profit",IF(AND(ISNUMBER(AT32),AT32&gt;MOQ_WARNING),"MOQ too high",IF(OR(AD32="Maybe",AD32="Price Review"),"Needs partner review",IF(AD32="Buy","Good candidate","")))))))))</f>
        <v/>
      </c>
      <c r="BF32" s="23" t="n"/>
      <c r="BG32" s="23" t="n"/>
      <c r="BH32" s="23" t="n"/>
      <c r="BI32" s="23" t="n"/>
      <c r="BJ32" s="23" t="n"/>
      <c r="BK32" s="23" t="n"/>
      <c r="BL32" s="23">
        <f>IF(C32="","",IF(AND(BG32="Yes",BH32="Yes",BI32="Yes",BJ32="Yes",BK32="Yes"),"Yes","No"))</f>
        <v/>
      </c>
      <c r="BM32" s="25" t="n"/>
      <c r="BN32" s="25" t="n"/>
      <c r="BO32" s="25">
        <f>IF(OR(BM32="",BN32=""),"",BM32+BN32)</f>
        <v/>
      </c>
      <c r="BP32" s="25" t="n"/>
      <c r="BQ32" s="25">
        <f>IF(OR(BP32="",BO32=""),"",BP32-BO32)</f>
        <v/>
      </c>
      <c r="BR32" s="26">
        <f>IF(OR(BP32="",BP32=0,BQ32=""),"",BQ32/BP32)</f>
        <v/>
      </c>
      <c r="BS32" s="24" t="n"/>
      <c r="BT32" s="29" t="n"/>
      <c r="BU32" s="29" t="n"/>
      <c r="BV32" s="23" t="n"/>
      <c r="BW32" s="23" t="n"/>
      <c r="BX32" s="29">
        <f>IF(OR(BT32="",BU32=""),"",BT32-BU32)</f>
        <v/>
      </c>
      <c r="BY32" s="23" t="n"/>
      <c r="BZ32" s="24" t="n"/>
      <c r="CA32" s="23" t="n"/>
      <c r="CB32" s="23" t="n"/>
    </row>
    <row r="33">
      <c r="A33" s="16">
        <f>IF(C33="","","AYN-"&amp;IFERROR(VLOOKUP(E33,CATEGORY_PREFIX_TABLE,2,FALSE),"OTH")&amp;"-"&amp;TEXT(ROW()-2,"0000"))</f>
        <v/>
      </c>
      <c r="B33" s="17" t="n"/>
      <c r="C33" s="16" t="n"/>
      <c r="D33" s="16" t="n"/>
      <c r="E33" s="16" t="n"/>
      <c r="F33" s="16" t="n"/>
      <c r="G33" s="16" t="n"/>
      <c r="H33" s="16" t="n"/>
      <c r="I33" s="16" t="n"/>
      <c r="J33" s="16" t="n"/>
      <c r="K33" s="18">
        <f>IF(I33="","",IF(J33="BDT",I33,IF(J33="USD",I33*USD_BDT,IF(J33="RMB",I33*RMB_BDT,""))))</f>
        <v/>
      </c>
      <c r="L33" s="18" t="n"/>
      <c r="M33" s="19" t="n"/>
      <c r="N33" s="18" t="n"/>
      <c r="O33" s="18">
        <f>IF(K33="","",K33+IFERROR(L33,0)+(K33*IF(M33="",CUSTOMS_PCT,M33))+IF(N33="",MISC_FEE,N33))</f>
        <v/>
      </c>
      <c r="P33" s="18">
        <f>IF(O33="","",ROUND(O33*(1+MARKUP_PCT),-1)-1)</f>
        <v/>
      </c>
      <c r="Q33" s="18">
        <f>IF(P33="","",P33-O33)</f>
        <v/>
      </c>
      <c r="R33" s="19">
        <f>IF(OR(P33="",P33=0),"",Q33/P33)</f>
        <v/>
      </c>
      <c r="S33" s="16" t="n"/>
      <c r="T33" s="16" t="n"/>
      <c r="U33" s="16" t="n"/>
      <c r="V33" s="16" t="n"/>
      <c r="W33" s="16" t="n"/>
      <c r="X33" s="16" t="n"/>
      <c r="Y33" s="16" t="n"/>
      <c r="Z33" s="16" t="n"/>
      <c r="AA33" s="16" t="n"/>
      <c r="AB33" s="16" t="n"/>
      <c r="AC33" s="20">
        <f>IF(COUNT(S33:AB33)&lt;10,"",(S33*W_FEMININE+T33*W_TREND+U33*W_AESTHETIC+V33*W_STYLE+W33*W_LIGHT+X33*W_REELS+Y33*W_GIFT+Z33*W_PRICEFIT+AA33*W_DEMAND+AB33*W_QUALITY)/5*100)</f>
        <v/>
      </c>
      <c r="AD33" s="16">
        <f>IF(P33="","",IF(P33&gt;HARD_REJECT_PRICE,"Reject",IF(P33&gt;MAX_PRICE,"Price Review",IF(AC33="","",IF(AND(AC33&gt;=BUY_THRESHOLD,OR(AB33&lt;=2,U33&lt;=2)),"Maybe",IF(AC33&gt;=BUY_THRESHOLD,"Buy",IF(AC33&gt;=MAYBE_THRESHOLD,"Maybe","Reject")))))))</f>
        <v/>
      </c>
      <c r="AE33" s="16" t="n"/>
      <c r="AF33" s="16" t="n"/>
      <c r="AG33" s="16" t="n"/>
      <c r="AH33" s="16" t="n"/>
      <c r="AI33" s="17" t="n"/>
      <c r="AJ33">
        <f>IF(AC33="",-9999-ROW()*0.0000001,AC33-ROW()*0.0000001)</f>
        <v/>
      </c>
      <c r="AK33">
        <f>IF(OR(AC33="",P33="",P33&gt;MAX_PRICE),-9999-ROW()*0.0000001,AC33-ROW()*0.0000001)</f>
        <v/>
      </c>
      <c r="AL33">
        <f>IF(AC33="",-9999-ROW()*0.0000001,X33*1000+AC33-ROW()*0.0000001)</f>
        <v/>
      </c>
      <c r="AM33">
        <f>IF(AC33="",-9999-ROW()*0.0000001,Y33*1000+AC33-ROW()*0.0000001)</f>
        <v/>
      </c>
      <c r="AN33">
        <f>IF(AND(OR(AD33="Maybe",AD33="Price Review"),AG33&lt;&gt;"Approved",AG33&lt;&gt;"Rejected"),IF(AC33="",0,AC33)-ROW()*0.0000001,-9999-ROW()*0.0000001)</f>
        <v/>
      </c>
      <c r="AO33" s="21" t="n"/>
      <c r="AP33" s="21" t="n"/>
      <c r="AQ33" s="22" t="n"/>
      <c r="AR33" s="22" t="n"/>
      <c r="AS33" s="16" t="n"/>
      <c r="AT33" s="22" t="n"/>
      <c r="AU33" s="22" t="n"/>
      <c r="AV33" s="22" t="n"/>
      <c r="AW33" s="18">
        <f>IF(OR(O33="",AV33=""),"",O33*AV33)</f>
        <v/>
      </c>
      <c r="AX33" s="16" t="n"/>
      <c r="AY33" s="16" t="n"/>
      <c r="AZ33" s="16" t="n"/>
      <c r="BA33" s="16" t="n"/>
      <c r="BB33" s="16" t="n"/>
      <c r="BC33" s="18" t="n"/>
      <c r="BD33" s="16" t="n"/>
      <c r="BE33" s="16">
        <f>IF(C33="","",IF(AND(ISNUMBER(P33),P33&gt;MAX_PRICE),"Price too high",IF(AND(ISNUMBER(AB33),AB33&lt;=2),"Quality risk",IF(AND(ISNUMBER(U33),U33&lt;=2),"Aesthetic mismatch",IF(AY33="High","Too fragile",IF(AND(ISNUMBER(R33),R33&lt;LOW_PROFIT_PCT),"Low profit",IF(AND(ISNUMBER(AT33),AT33&gt;MOQ_WARNING),"MOQ too high",IF(OR(AD33="Maybe",AD33="Price Review"),"Needs partner review",IF(AD33="Buy","Good candidate","")))))))))</f>
        <v/>
      </c>
      <c r="BF33" s="16" t="n"/>
      <c r="BG33" s="16" t="n"/>
      <c r="BH33" s="16" t="n"/>
      <c r="BI33" s="16" t="n"/>
      <c r="BJ33" s="16" t="n"/>
      <c r="BK33" s="16" t="n"/>
      <c r="BL33" s="16">
        <f>IF(C33="","",IF(AND(BG33="Yes",BH33="Yes",BI33="Yes",BJ33="Yes",BK33="Yes"),"Yes","No"))</f>
        <v/>
      </c>
      <c r="BM33" s="18" t="n"/>
      <c r="BN33" s="18" t="n"/>
      <c r="BO33" s="18">
        <f>IF(OR(BM33="",BN33=""),"",BM33+BN33)</f>
        <v/>
      </c>
      <c r="BP33" s="18" t="n"/>
      <c r="BQ33" s="18">
        <f>IF(OR(BP33="",BO33=""),"",BP33-BO33)</f>
        <v/>
      </c>
      <c r="BR33" s="19">
        <f>IF(OR(BP33="",BP33=0,BQ33=""),"",BQ33/BP33)</f>
        <v/>
      </c>
      <c r="BS33" s="17" t="n"/>
      <c r="BT33" s="22" t="n"/>
      <c r="BU33" s="22" t="n"/>
      <c r="BV33" s="16" t="n"/>
      <c r="BW33" s="16" t="n"/>
      <c r="BX33" s="22">
        <f>IF(OR(BT33="",BU33=""),"",BT33-BU33)</f>
        <v/>
      </c>
      <c r="BY33" s="16" t="n"/>
      <c r="BZ33" s="17" t="n"/>
      <c r="CA33" s="16" t="n"/>
      <c r="CB33" s="16" t="n"/>
    </row>
    <row r="34">
      <c r="A34" s="23">
        <f>IF(C34="","","AYN-"&amp;IFERROR(VLOOKUP(E34,CATEGORY_PREFIX_TABLE,2,FALSE),"OTH")&amp;"-"&amp;TEXT(ROW()-2,"0000"))</f>
        <v/>
      </c>
      <c r="B34" s="24" t="n"/>
      <c r="C34" s="23" t="n"/>
      <c r="D34" s="23" t="n"/>
      <c r="E34" s="23" t="n"/>
      <c r="F34" s="23" t="n"/>
      <c r="G34" s="23" t="n"/>
      <c r="H34" s="23" t="n"/>
      <c r="I34" s="23" t="n"/>
      <c r="J34" s="23" t="n"/>
      <c r="K34" s="25">
        <f>IF(I34="","",IF(J34="BDT",I34,IF(J34="USD",I34*USD_BDT,IF(J34="RMB",I34*RMB_BDT,""))))</f>
        <v/>
      </c>
      <c r="L34" s="25" t="n"/>
      <c r="M34" s="26" t="n"/>
      <c r="N34" s="25" t="n"/>
      <c r="O34" s="25">
        <f>IF(K34="","",K34+IFERROR(L34,0)+(K34*IF(M34="",CUSTOMS_PCT,M34))+IF(N34="",MISC_FEE,N34))</f>
        <v/>
      </c>
      <c r="P34" s="25">
        <f>IF(O34="","",ROUND(O34*(1+MARKUP_PCT),-1)-1)</f>
        <v/>
      </c>
      <c r="Q34" s="25">
        <f>IF(P34="","",P34-O34)</f>
        <v/>
      </c>
      <c r="R34" s="26">
        <f>IF(OR(P34="",P34=0),"",Q34/P34)</f>
        <v/>
      </c>
      <c r="S34" s="23" t="n"/>
      <c r="T34" s="23" t="n"/>
      <c r="U34" s="23" t="n"/>
      <c r="V34" s="23" t="n"/>
      <c r="W34" s="23" t="n"/>
      <c r="X34" s="23" t="n"/>
      <c r="Y34" s="23" t="n"/>
      <c r="Z34" s="23" t="n"/>
      <c r="AA34" s="23" t="n"/>
      <c r="AB34" s="23" t="n"/>
      <c r="AC34" s="27">
        <f>IF(COUNT(S34:AB34)&lt;10,"",(S34*W_FEMININE+T34*W_TREND+U34*W_AESTHETIC+V34*W_STYLE+W34*W_LIGHT+X34*W_REELS+Y34*W_GIFT+Z34*W_PRICEFIT+AA34*W_DEMAND+AB34*W_QUALITY)/5*100)</f>
        <v/>
      </c>
      <c r="AD34" s="23">
        <f>IF(P34="","",IF(P34&gt;HARD_REJECT_PRICE,"Reject",IF(P34&gt;MAX_PRICE,"Price Review",IF(AC34="","",IF(AND(AC34&gt;=BUY_THRESHOLD,OR(AB34&lt;=2,U34&lt;=2)),"Maybe",IF(AC34&gt;=BUY_THRESHOLD,"Buy",IF(AC34&gt;=MAYBE_THRESHOLD,"Maybe","Reject")))))))</f>
        <v/>
      </c>
      <c r="AE34" s="23" t="n"/>
      <c r="AF34" s="23" t="n"/>
      <c r="AG34" s="23" t="n"/>
      <c r="AH34" s="23" t="n"/>
      <c r="AI34" s="24" t="n"/>
      <c r="AJ34">
        <f>IF(AC34="",-9999-ROW()*0.0000001,AC34-ROW()*0.0000001)</f>
        <v/>
      </c>
      <c r="AK34">
        <f>IF(OR(AC34="",P34="",P34&gt;MAX_PRICE),-9999-ROW()*0.0000001,AC34-ROW()*0.0000001)</f>
        <v/>
      </c>
      <c r="AL34">
        <f>IF(AC34="",-9999-ROW()*0.0000001,X34*1000+AC34-ROW()*0.0000001)</f>
        <v/>
      </c>
      <c r="AM34">
        <f>IF(AC34="",-9999-ROW()*0.0000001,Y34*1000+AC34-ROW()*0.0000001)</f>
        <v/>
      </c>
      <c r="AN34">
        <f>IF(AND(OR(AD34="Maybe",AD34="Price Review"),AG34&lt;&gt;"Approved",AG34&lt;&gt;"Rejected"),IF(AC34="",0,AC34)-ROW()*0.0000001,-9999-ROW()*0.0000001)</f>
        <v/>
      </c>
      <c r="AO34" s="28" t="n"/>
      <c r="AP34" s="28" t="n"/>
      <c r="AQ34" s="29" t="n"/>
      <c r="AR34" s="29" t="n"/>
      <c r="AS34" s="23" t="n"/>
      <c r="AT34" s="29" t="n"/>
      <c r="AU34" s="29" t="n"/>
      <c r="AV34" s="29" t="n"/>
      <c r="AW34" s="25">
        <f>IF(OR(O34="",AV34=""),"",O34*AV34)</f>
        <v/>
      </c>
      <c r="AX34" s="23" t="n"/>
      <c r="AY34" s="23" t="n"/>
      <c r="AZ34" s="23" t="n"/>
      <c r="BA34" s="23" t="n"/>
      <c r="BB34" s="23" t="n"/>
      <c r="BC34" s="25" t="n"/>
      <c r="BD34" s="23" t="n"/>
      <c r="BE34" s="23">
        <f>IF(C34="","",IF(AND(ISNUMBER(P34),P34&gt;MAX_PRICE),"Price too high",IF(AND(ISNUMBER(AB34),AB34&lt;=2),"Quality risk",IF(AND(ISNUMBER(U34),U34&lt;=2),"Aesthetic mismatch",IF(AY34="High","Too fragile",IF(AND(ISNUMBER(R34),R34&lt;LOW_PROFIT_PCT),"Low profit",IF(AND(ISNUMBER(AT34),AT34&gt;MOQ_WARNING),"MOQ too high",IF(OR(AD34="Maybe",AD34="Price Review"),"Needs partner review",IF(AD34="Buy","Good candidate","")))))))))</f>
        <v/>
      </c>
      <c r="BF34" s="23" t="n"/>
      <c r="BG34" s="23" t="n"/>
      <c r="BH34" s="23" t="n"/>
      <c r="BI34" s="23" t="n"/>
      <c r="BJ34" s="23" t="n"/>
      <c r="BK34" s="23" t="n"/>
      <c r="BL34" s="23">
        <f>IF(C34="","",IF(AND(BG34="Yes",BH34="Yes",BI34="Yes",BJ34="Yes",BK34="Yes"),"Yes","No"))</f>
        <v/>
      </c>
      <c r="BM34" s="25" t="n"/>
      <c r="BN34" s="25" t="n"/>
      <c r="BO34" s="25">
        <f>IF(OR(BM34="",BN34=""),"",BM34+BN34)</f>
        <v/>
      </c>
      <c r="BP34" s="25" t="n"/>
      <c r="BQ34" s="25">
        <f>IF(OR(BP34="",BO34=""),"",BP34-BO34)</f>
        <v/>
      </c>
      <c r="BR34" s="26">
        <f>IF(OR(BP34="",BP34=0,BQ34=""),"",BQ34/BP34)</f>
        <v/>
      </c>
      <c r="BS34" s="24" t="n"/>
      <c r="BT34" s="29" t="n"/>
      <c r="BU34" s="29" t="n"/>
      <c r="BV34" s="23" t="n"/>
      <c r="BW34" s="23" t="n"/>
      <c r="BX34" s="29">
        <f>IF(OR(BT34="",BU34=""),"",BT34-BU34)</f>
        <v/>
      </c>
      <c r="BY34" s="23" t="n"/>
      <c r="BZ34" s="24" t="n"/>
      <c r="CA34" s="23" t="n"/>
      <c r="CB34" s="23" t="n"/>
    </row>
    <row r="35">
      <c r="A35" s="16">
        <f>IF(C35="","","AYN-"&amp;IFERROR(VLOOKUP(E35,CATEGORY_PREFIX_TABLE,2,FALSE),"OTH")&amp;"-"&amp;TEXT(ROW()-2,"0000"))</f>
        <v/>
      </c>
      <c r="B35" s="17" t="n"/>
      <c r="C35" s="16" t="n"/>
      <c r="D35" s="16" t="n"/>
      <c r="E35" s="16" t="n"/>
      <c r="F35" s="16" t="n"/>
      <c r="G35" s="16" t="n"/>
      <c r="H35" s="16" t="n"/>
      <c r="I35" s="16" t="n"/>
      <c r="J35" s="16" t="n"/>
      <c r="K35" s="18">
        <f>IF(I35="","",IF(J35="BDT",I35,IF(J35="USD",I35*USD_BDT,IF(J35="RMB",I35*RMB_BDT,""))))</f>
        <v/>
      </c>
      <c r="L35" s="18" t="n"/>
      <c r="M35" s="19" t="n"/>
      <c r="N35" s="18" t="n"/>
      <c r="O35" s="18">
        <f>IF(K35="","",K35+IFERROR(L35,0)+(K35*IF(M35="",CUSTOMS_PCT,M35))+IF(N35="",MISC_FEE,N35))</f>
        <v/>
      </c>
      <c r="P35" s="18">
        <f>IF(O35="","",ROUND(O35*(1+MARKUP_PCT),-1)-1)</f>
        <v/>
      </c>
      <c r="Q35" s="18">
        <f>IF(P35="","",P35-O35)</f>
        <v/>
      </c>
      <c r="R35" s="19">
        <f>IF(OR(P35="",P35=0),"",Q35/P35)</f>
        <v/>
      </c>
      <c r="S35" s="16" t="n"/>
      <c r="T35" s="16" t="n"/>
      <c r="U35" s="16" t="n"/>
      <c r="V35" s="16" t="n"/>
      <c r="W35" s="16" t="n"/>
      <c r="X35" s="16" t="n"/>
      <c r="Y35" s="16" t="n"/>
      <c r="Z35" s="16" t="n"/>
      <c r="AA35" s="16" t="n"/>
      <c r="AB35" s="16" t="n"/>
      <c r="AC35" s="20">
        <f>IF(COUNT(S35:AB35)&lt;10,"",(S35*W_FEMININE+T35*W_TREND+U35*W_AESTHETIC+V35*W_STYLE+W35*W_LIGHT+X35*W_REELS+Y35*W_GIFT+Z35*W_PRICEFIT+AA35*W_DEMAND+AB35*W_QUALITY)/5*100)</f>
        <v/>
      </c>
      <c r="AD35" s="16">
        <f>IF(P35="","",IF(P35&gt;HARD_REJECT_PRICE,"Reject",IF(P35&gt;MAX_PRICE,"Price Review",IF(AC35="","",IF(AND(AC35&gt;=BUY_THRESHOLD,OR(AB35&lt;=2,U35&lt;=2)),"Maybe",IF(AC35&gt;=BUY_THRESHOLD,"Buy",IF(AC35&gt;=MAYBE_THRESHOLD,"Maybe","Reject")))))))</f>
        <v/>
      </c>
      <c r="AE35" s="16" t="n"/>
      <c r="AF35" s="16" t="n"/>
      <c r="AG35" s="16" t="n"/>
      <c r="AH35" s="16" t="n"/>
      <c r="AI35" s="17" t="n"/>
      <c r="AJ35">
        <f>IF(AC35="",-9999-ROW()*0.0000001,AC35-ROW()*0.0000001)</f>
        <v/>
      </c>
      <c r="AK35">
        <f>IF(OR(AC35="",P35="",P35&gt;MAX_PRICE),-9999-ROW()*0.0000001,AC35-ROW()*0.0000001)</f>
        <v/>
      </c>
      <c r="AL35">
        <f>IF(AC35="",-9999-ROW()*0.0000001,X35*1000+AC35-ROW()*0.0000001)</f>
        <v/>
      </c>
      <c r="AM35">
        <f>IF(AC35="",-9999-ROW()*0.0000001,Y35*1000+AC35-ROW()*0.0000001)</f>
        <v/>
      </c>
      <c r="AN35">
        <f>IF(AND(OR(AD35="Maybe",AD35="Price Review"),AG35&lt;&gt;"Approved",AG35&lt;&gt;"Rejected"),IF(AC35="",0,AC35)-ROW()*0.0000001,-9999-ROW()*0.0000001)</f>
        <v/>
      </c>
      <c r="AO35" s="21" t="n"/>
      <c r="AP35" s="21" t="n"/>
      <c r="AQ35" s="22" t="n"/>
      <c r="AR35" s="22" t="n"/>
      <c r="AS35" s="16" t="n"/>
      <c r="AT35" s="22" t="n"/>
      <c r="AU35" s="22" t="n"/>
      <c r="AV35" s="22" t="n"/>
      <c r="AW35" s="18">
        <f>IF(OR(O35="",AV35=""),"",O35*AV35)</f>
        <v/>
      </c>
      <c r="AX35" s="16" t="n"/>
      <c r="AY35" s="16" t="n"/>
      <c r="AZ35" s="16" t="n"/>
      <c r="BA35" s="16" t="n"/>
      <c r="BB35" s="16" t="n"/>
      <c r="BC35" s="18" t="n"/>
      <c r="BD35" s="16" t="n"/>
      <c r="BE35" s="16">
        <f>IF(C35="","",IF(AND(ISNUMBER(P35),P35&gt;MAX_PRICE),"Price too high",IF(AND(ISNUMBER(AB35),AB35&lt;=2),"Quality risk",IF(AND(ISNUMBER(U35),U35&lt;=2),"Aesthetic mismatch",IF(AY35="High","Too fragile",IF(AND(ISNUMBER(R35),R35&lt;LOW_PROFIT_PCT),"Low profit",IF(AND(ISNUMBER(AT35),AT35&gt;MOQ_WARNING),"MOQ too high",IF(OR(AD35="Maybe",AD35="Price Review"),"Needs partner review",IF(AD35="Buy","Good candidate","")))))))))</f>
        <v/>
      </c>
      <c r="BF35" s="16" t="n"/>
      <c r="BG35" s="16" t="n"/>
      <c r="BH35" s="16" t="n"/>
      <c r="BI35" s="16" t="n"/>
      <c r="BJ35" s="16" t="n"/>
      <c r="BK35" s="16" t="n"/>
      <c r="BL35" s="16">
        <f>IF(C35="","",IF(AND(BG35="Yes",BH35="Yes",BI35="Yes",BJ35="Yes",BK35="Yes"),"Yes","No"))</f>
        <v/>
      </c>
      <c r="BM35" s="18" t="n"/>
      <c r="BN35" s="18" t="n"/>
      <c r="BO35" s="18">
        <f>IF(OR(BM35="",BN35=""),"",BM35+BN35)</f>
        <v/>
      </c>
      <c r="BP35" s="18" t="n"/>
      <c r="BQ35" s="18">
        <f>IF(OR(BP35="",BO35=""),"",BP35-BO35)</f>
        <v/>
      </c>
      <c r="BR35" s="19">
        <f>IF(OR(BP35="",BP35=0,BQ35=""),"",BQ35/BP35)</f>
        <v/>
      </c>
      <c r="BS35" s="17" t="n"/>
      <c r="BT35" s="22" t="n"/>
      <c r="BU35" s="22" t="n"/>
      <c r="BV35" s="16" t="n"/>
      <c r="BW35" s="16" t="n"/>
      <c r="BX35" s="22">
        <f>IF(OR(BT35="",BU35=""),"",BT35-BU35)</f>
        <v/>
      </c>
      <c r="BY35" s="16" t="n"/>
      <c r="BZ35" s="17" t="n"/>
      <c r="CA35" s="16" t="n"/>
      <c r="CB35" s="16" t="n"/>
    </row>
    <row r="36">
      <c r="A36" s="23">
        <f>IF(C36="","","AYN-"&amp;IFERROR(VLOOKUP(E36,CATEGORY_PREFIX_TABLE,2,FALSE),"OTH")&amp;"-"&amp;TEXT(ROW()-2,"0000"))</f>
        <v/>
      </c>
      <c r="B36" s="24" t="n"/>
      <c r="C36" s="23" t="n"/>
      <c r="D36" s="23" t="n"/>
      <c r="E36" s="23" t="n"/>
      <c r="F36" s="23" t="n"/>
      <c r="G36" s="23" t="n"/>
      <c r="H36" s="23" t="n"/>
      <c r="I36" s="23" t="n"/>
      <c r="J36" s="23" t="n"/>
      <c r="K36" s="25">
        <f>IF(I36="","",IF(J36="BDT",I36,IF(J36="USD",I36*USD_BDT,IF(J36="RMB",I36*RMB_BDT,""))))</f>
        <v/>
      </c>
      <c r="L36" s="25" t="n"/>
      <c r="M36" s="26" t="n"/>
      <c r="N36" s="25" t="n"/>
      <c r="O36" s="25">
        <f>IF(K36="","",K36+IFERROR(L36,0)+(K36*IF(M36="",CUSTOMS_PCT,M36))+IF(N36="",MISC_FEE,N36))</f>
        <v/>
      </c>
      <c r="P36" s="25">
        <f>IF(O36="","",ROUND(O36*(1+MARKUP_PCT),-1)-1)</f>
        <v/>
      </c>
      <c r="Q36" s="25">
        <f>IF(P36="","",P36-O36)</f>
        <v/>
      </c>
      <c r="R36" s="26">
        <f>IF(OR(P36="",P36=0),"",Q36/P36)</f>
        <v/>
      </c>
      <c r="S36" s="23" t="n"/>
      <c r="T36" s="23" t="n"/>
      <c r="U36" s="23" t="n"/>
      <c r="V36" s="23" t="n"/>
      <c r="W36" s="23" t="n"/>
      <c r="X36" s="23" t="n"/>
      <c r="Y36" s="23" t="n"/>
      <c r="Z36" s="23" t="n"/>
      <c r="AA36" s="23" t="n"/>
      <c r="AB36" s="23" t="n"/>
      <c r="AC36" s="27">
        <f>IF(COUNT(S36:AB36)&lt;10,"",(S36*W_FEMININE+T36*W_TREND+U36*W_AESTHETIC+V36*W_STYLE+W36*W_LIGHT+X36*W_REELS+Y36*W_GIFT+Z36*W_PRICEFIT+AA36*W_DEMAND+AB36*W_QUALITY)/5*100)</f>
        <v/>
      </c>
      <c r="AD36" s="23">
        <f>IF(P36="","",IF(P36&gt;HARD_REJECT_PRICE,"Reject",IF(P36&gt;MAX_PRICE,"Price Review",IF(AC36="","",IF(AND(AC36&gt;=BUY_THRESHOLD,OR(AB36&lt;=2,U36&lt;=2)),"Maybe",IF(AC36&gt;=BUY_THRESHOLD,"Buy",IF(AC36&gt;=MAYBE_THRESHOLD,"Maybe","Reject")))))))</f>
        <v/>
      </c>
      <c r="AE36" s="23" t="n"/>
      <c r="AF36" s="23" t="n"/>
      <c r="AG36" s="23" t="n"/>
      <c r="AH36" s="23" t="n"/>
      <c r="AI36" s="24" t="n"/>
      <c r="AJ36">
        <f>IF(AC36="",-9999-ROW()*0.0000001,AC36-ROW()*0.0000001)</f>
        <v/>
      </c>
      <c r="AK36">
        <f>IF(OR(AC36="",P36="",P36&gt;MAX_PRICE),-9999-ROW()*0.0000001,AC36-ROW()*0.0000001)</f>
        <v/>
      </c>
      <c r="AL36">
        <f>IF(AC36="",-9999-ROW()*0.0000001,X36*1000+AC36-ROW()*0.0000001)</f>
        <v/>
      </c>
      <c r="AM36">
        <f>IF(AC36="",-9999-ROW()*0.0000001,Y36*1000+AC36-ROW()*0.0000001)</f>
        <v/>
      </c>
      <c r="AN36">
        <f>IF(AND(OR(AD36="Maybe",AD36="Price Review"),AG36&lt;&gt;"Approved",AG36&lt;&gt;"Rejected"),IF(AC36="",0,AC36)-ROW()*0.0000001,-9999-ROW()*0.0000001)</f>
        <v/>
      </c>
      <c r="AO36" s="28" t="n"/>
      <c r="AP36" s="28" t="n"/>
      <c r="AQ36" s="29" t="n"/>
      <c r="AR36" s="29" t="n"/>
      <c r="AS36" s="23" t="n"/>
      <c r="AT36" s="29" t="n"/>
      <c r="AU36" s="29" t="n"/>
      <c r="AV36" s="29" t="n"/>
      <c r="AW36" s="25">
        <f>IF(OR(O36="",AV36=""),"",O36*AV36)</f>
        <v/>
      </c>
      <c r="AX36" s="23" t="n"/>
      <c r="AY36" s="23" t="n"/>
      <c r="AZ36" s="23" t="n"/>
      <c r="BA36" s="23" t="n"/>
      <c r="BB36" s="23" t="n"/>
      <c r="BC36" s="25" t="n"/>
      <c r="BD36" s="23" t="n"/>
      <c r="BE36" s="23">
        <f>IF(C36="","",IF(AND(ISNUMBER(P36),P36&gt;MAX_PRICE),"Price too high",IF(AND(ISNUMBER(AB36),AB36&lt;=2),"Quality risk",IF(AND(ISNUMBER(U36),U36&lt;=2),"Aesthetic mismatch",IF(AY36="High","Too fragile",IF(AND(ISNUMBER(R36),R36&lt;LOW_PROFIT_PCT),"Low profit",IF(AND(ISNUMBER(AT36),AT36&gt;MOQ_WARNING),"MOQ too high",IF(OR(AD36="Maybe",AD36="Price Review"),"Needs partner review",IF(AD36="Buy","Good candidate","")))))))))</f>
        <v/>
      </c>
      <c r="BF36" s="23" t="n"/>
      <c r="BG36" s="23" t="n"/>
      <c r="BH36" s="23" t="n"/>
      <c r="BI36" s="23" t="n"/>
      <c r="BJ36" s="23" t="n"/>
      <c r="BK36" s="23" t="n"/>
      <c r="BL36" s="23">
        <f>IF(C36="","",IF(AND(BG36="Yes",BH36="Yes",BI36="Yes",BJ36="Yes",BK36="Yes"),"Yes","No"))</f>
        <v/>
      </c>
      <c r="BM36" s="25" t="n"/>
      <c r="BN36" s="25" t="n"/>
      <c r="BO36" s="25">
        <f>IF(OR(BM36="",BN36=""),"",BM36+BN36)</f>
        <v/>
      </c>
      <c r="BP36" s="25" t="n"/>
      <c r="BQ36" s="25">
        <f>IF(OR(BP36="",BO36=""),"",BP36-BO36)</f>
        <v/>
      </c>
      <c r="BR36" s="26">
        <f>IF(OR(BP36="",BP36=0,BQ36=""),"",BQ36/BP36)</f>
        <v/>
      </c>
      <c r="BS36" s="24" t="n"/>
      <c r="BT36" s="29" t="n"/>
      <c r="BU36" s="29" t="n"/>
      <c r="BV36" s="23" t="n"/>
      <c r="BW36" s="23" t="n"/>
      <c r="BX36" s="29">
        <f>IF(OR(BT36="",BU36=""),"",BT36-BU36)</f>
        <v/>
      </c>
      <c r="BY36" s="23" t="n"/>
      <c r="BZ36" s="24" t="n"/>
      <c r="CA36" s="23" t="n"/>
      <c r="CB36" s="23" t="n"/>
    </row>
    <row r="37">
      <c r="A37" s="16">
        <f>IF(C37="","","AYN-"&amp;IFERROR(VLOOKUP(E37,CATEGORY_PREFIX_TABLE,2,FALSE),"OTH")&amp;"-"&amp;TEXT(ROW()-2,"0000"))</f>
        <v/>
      </c>
      <c r="B37" s="17" t="n"/>
      <c r="C37" s="16" t="n"/>
      <c r="D37" s="16" t="n"/>
      <c r="E37" s="16" t="n"/>
      <c r="F37" s="16" t="n"/>
      <c r="G37" s="16" t="n"/>
      <c r="H37" s="16" t="n"/>
      <c r="I37" s="16" t="n"/>
      <c r="J37" s="16" t="n"/>
      <c r="K37" s="18">
        <f>IF(I37="","",IF(J37="BDT",I37,IF(J37="USD",I37*USD_BDT,IF(J37="RMB",I37*RMB_BDT,""))))</f>
        <v/>
      </c>
      <c r="L37" s="18" t="n"/>
      <c r="M37" s="19" t="n"/>
      <c r="N37" s="18" t="n"/>
      <c r="O37" s="18">
        <f>IF(K37="","",K37+IFERROR(L37,0)+(K37*IF(M37="",CUSTOMS_PCT,M37))+IF(N37="",MISC_FEE,N37))</f>
        <v/>
      </c>
      <c r="P37" s="18">
        <f>IF(O37="","",ROUND(O37*(1+MARKUP_PCT),-1)-1)</f>
        <v/>
      </c>
      <c r="Q37" s="18">
        <f>IF(P37="","",P37-O37)</f>
        <v/>
      </c>
      <c r="R37" s="19">
        <f>IF(OR(P37="",P37=0),"",Q37/P37)</f>
        <v/>
      </c>
      <c r="S37" s="16" t="n"/>
      <c r="T37" s="16" t="n"/>
      <c r="U37" s="16" t="n"/>
      <c r="V37" s="16" t="n"/>
      <c r="W37" s="16" t="n"/>
      <c r="X37" s="16" t="n"/>
      <c r="Y37" s="16" t="n"/>
      <c r="Z37" s="16" t="n"/>
      <c r="AA37" s="16" t="n"/>
      <c r="AB37" s="16" t="n"/>
      <c r="AC37" s="20">
        <f>IF(COUNT(S37:AB37)&lt;10,"",(S37*W_FEMININE+T37*W_TREND+U37*W_AESTHETIC+V37*W_STYLE+W37*W_LIGHT+X37*W_REELS+Y37*W_GIFT+Z37*W_PRICEFIT+AA37*W_DEMAND+AB37*W_QUALITY)/5*100)</f>
        <v/>
      </c>
      <c r="AD37" s="16">
        <f>IF(P37="","",IF(P37&gt;HARD_REJECT_PRICE,"Reject",IF(P37&gt;MAX_PRICE,"Price Review",IF(AC37="","",IF(AND(AC37&gt;=BUY_THRESHOLD,OR(AB37&lt;=2,U37&lt;=2)),"Maybe",IF(AC37&gt;=BUY_THRESHOLD,"Buy",IF(AC37&gt;=MAYBE_THRESHOLD,"Maybe","Reject")))))))</f>
        <v/>
      </c>
      <c r="AE37" s="16" t="n"/>
      <c r="AF37" s="16" t="n"/>
      <c r="AG37" s="16" t="n"/>
      <c r="AH37" s="16" t="n"/>
      <c r="AI37" s="17" t="n"/>
      <c r="AJ37">
        <f>IF(AC37="",-9999-ROW()*0.0000001,AC37-ROW()*0.0000001)</f>
        <v/>
      </c>
      <c r="AK37">
        <f>IF(OR(AC37="",P37="",P37&gt;MAX_PRICE),-9999-ROW()*0.0000001,AC37-ROW()*0.0000001)</f>
        <v/>
      </c>
      <c r="AL37">
        <f>IF(AC37="",-9999-ROW()*0.0000001,X37*1000+AC37-ROW()*0.0000001)</f>
        <v/>
      </c>
      <c r="AM37">
        <f>IF(AC37="",-9999-ROW()*0.0000001,Y37*1000+AC37-ROW()*0.0000001)</f>
        <v/>
      </c>
      <c r="AN37">
        <f>IF(AND(OR(AD37="Maybe",AD37="Price Review"),AG37&lt;&gt;"Approved",AG37&lt;&gt;"Rejected"),IF(AC37="",0,AC37)-ROW()*0.0000001,-9999-ROW()*0.0000001)</f>
        <v/>
      </c>
      <c r="AO37" s="21" t="n"/>
      <c r="AP37" s="21" t="n"/>
      <c r="AQ37" s="22" t="n"/>
      <c r="AR37" s="22" t="n"/>
      <c r="AS37" s="16" t="n"/>
      <c r="AT37" s="22" t="n"/>
      <c r="AU37" s="22" t="n"/>
      <c r="AV37" s="22" t="n"/>
      <c r="AW37" s="18">
        <f>IF(OR(O37="",AV37=""),"",O37*AV37)</f>
        <v/>
      </c>
      <c r="AX37" s="16" t="n"/>
      <c r="AY37" s="16" t="n"/>
      <c r="AZ37" s="16" t="n"/>
      <c r="BA37" s="16" t="n"/>
      <c r="BB37" s="16" t="n"/>
      <c r="BC37" s="18" t="n"/>
      <c r="BD37" s="16" t="n"/>
      <c r="BE37" s="16">
        <f>IF(C37="","",IF(AND(ISNUMBER(P37),P37&gt;MAX_PRICE),"Price too high",IF(AND(ISNUMBER(AB37),AB37&lt;=2),"Quality risk",IF(AND(ISNUMBER(U37),U37&lt;=2),"Aesthetic mismatch",IF(AY37="High","Too fragile",IF(AND(ISNUMBER(R37),R37&lt;LOW_PROFIT_PCT),"Low profit",IF(AND(ISNUMBER(AT37),AT37&gt;MOQ_WARNING),"MOQ too high",IF(OR(AD37="Maybe",AD37="Price Review"),"Needs partner review",IF(AD37="Buy","Good candidate","")))))))))</f>
        <v/>
      </c>
      <c r="BF37" s="16" t="n"/>
      <c r="BG37" s="16" t="n"/>
      <c r="BH37" s="16" t="n"/>
      <c r="BI37" s="16" t="n"/>
      <c r="BJ37" s="16" t="n"/>
      <c r="BK37" s="16" t="n"/>
      <c r="BL37" s="16">
        <f>IF(C37="","",IF(AND(BG37="Yes",BH37="Yes",BI37="Yes",BJ37="Yes",BK37="Yes"),"Yes","No"))</f>
        <v/>
      </c>
      <c r="BM37" s="18" t="n"/>
      <c r="BN37" s="18" t="n"/>
      <c r="BO37" s="18">
        <f>IF(OR(BM37="",BN37=""),"",BM37+BN37)</f>
        <v/>
      </c>
      <c r="BP37" s="18" t="n"/>
      <c r="BQ37" s="18">
        <f>IF(OR(BP37="",BO37=""),"",BP37-BO37)</f>
        <v/>
      </c>
      <c r="BR37" s="19">
        <f>IF(OR(BP37="",BP37=0,BQ37=""),"",BQ37/BP37)</f>
        <v/>
      </c>
      <c r="BS37" s="17" t="n"/>
      <c r="BT37" s="22" t="n"/>
      <c r="BU37" s="22" t="n"/>
      <c r="BV37" s="16" t="n"/>
      <c r="BW37" s="16" t="n"/>
      <c r="BX37" s="22">
        <f>IF(OR(BT37="",BU37=""),"",BT37-BU37)</f>
        <v/>
      </c>
      <c r="BY37" s="16" t="n"/>
      <c r="BZ37" s="17" t="n"/>
      <c r="CA37" s="16" t="n"/>
      <c r="CB37" s="16" t="n"/>
    </row>
    <row r="38">
      <c r="A38" s="23">
        <f>IF(C38="","","AYN-"&amp;IFERROR(VLOOKUP(E38,CATEGORY_PREFIX_TABLE,2,FALSE),"OTH")&amp;"-"&amp;TEXT(ROW()-2,"0000"))</f>
        <v/>
      </c>
      <c r="B38" s="24" t="n"/>
      <c r="C38" s="23" t="n"/>
      <c r="D38" s="23" t="n"/>
      <c r="E38" s="23" t="n"/>
      <c r="F38" s="23" t="n"/>
      <c r="G38" s="23" t="n"/>
      <c r="H38" s="23" t="n"/>
      <c r="I38" s="23" t="n"/>
      <c r="J38" s="23" t="n"/>
      <c r="K38" s="25">
        <f>IF(I38="","",IF(J38="BDT",I38,IF(J38="USD",I38*USD_BDT,IF(J38="RMB",I38*RMB_BDT,""))))</f>
        <v/>
      </c>
      <c r="L38" s="25" t="n"/>
      <c r="M38" s="26" t="n"/>
      <c r="N38" s="25" t="n"/>
      <c r="O38" s="25">
        <f>IF(K38="","",K38+IFERROR(L38,0)+(K38*IF(M38="",CUSTOMS_PCT,M38))+IF(N38="",MISC_FEE,N38))</f>
        <v/>
      </c>
      <c r="P38" s="25">
        <f>IF(O38="","",ROUND(O38*(1+MARKUP_PCT),-1)-1)</f>
        <v/>
      </c>
      <c r="Q38" s="25">
        <f>IF(P38="","",P38-O38)</f>
        <v/>
      </c>
      <c r="R38" s="26">
        <f>IF(OR(P38="",P38=0),"",Q38/P38)</f>
        <v/>
      </c>
      <c r="S38" s="23" t="n"/>
      <c r="T38" s="23" t="n"/>
      <c r="U38" s="23" t="n"/>
      <c r="V38" s="23" t="n"/>
      <c r="W38" s="23" t="n"/>
      <c r="X38" s="23" t="n"/>
      <c r="Y38" s="23" t="n"/>
      <c r="Z38" s="23" t="n"/>
      <c r="AA38" s="23" t="n"/>
      <c r="AB38" s="23" t="n"/>
      <c r="AC38" s="27">
        <f>IF(COUNT(S38:AB38)&lt;10,"",(S38*W_FEMININE+T38*W_TREND+U38*W_AESTHETIC+V38*W_STYLE+W38*W_LIGHT+X38*W_REELS+Y38*W_GIFT+Z38*W_PRICEFIT+AA38*W_DEMAND+AB38*W_QUALITY)/5*100)</f>
        <v/>
      </c>
      <c r="AD38" s="23">
        <f>IF(P38="","",IF(P38&gt;HARD_REJECT_PRICE,"Reject",IF(P38&gt;MAX_PRICE,"Price Review",IF(AC38="","",IF(AND(AC38&gt;=BUY_THRESHOLD,OR(AB38&lt;=2,U38&lt;=2)),"Maybe",IF(AC38&gt;=BUY_THRESHOLD,"Buy",IF(AC38&gt;=MAYBE_THRESHOLD,"Maybe","Reject")))))))</f>
        <v/>
      </c>
      <c r="AE38" s="23" t="n"/>
      <c r="AF38" s="23" t="n"/>
      <c r="AG38" s="23" t="n"/>
      <c r="AH38" s="23" t="n"/>
      <c r="AI38" s="24" t="n"/>
      <c r="AJ38">
        <f>IF(AC38="",-9999-ROW()*0.0000001,AC38-ROW()*0.0000001)</f>
        <v/>
      </c>
      <c r="AK38">
        <f>IF(OR(AC38="",P38="",P38&gt;MAX_PRICE),-9999-ROW()*0.0000001,AC38-ROW()*0.0000001)</f>
        <v/>
      </c>
      <c r="AL38">
        <f>IF(AC38="",-9999-ROW()*0.0000001,X38*1000+AC38-ROW()*0.0000001)</f>
        <v/>
      </c>
      <c r="AM38">
        <f>IF(AC38="",-9999-ROW()*0.0000001,Y38*1000+AC38-ROW()*0.0000001)</f>
        <v/>
      </c>
      <c r="AN38">
        <f>IF(AND(OR(AD38="Maybe",AD38="Price Review"),AG38&lt;&gt;"Approved",AG38&lt;&gt;"Rejected"),IF(AC38="",0,AC38)-ROW()*0.0000001,-9999-ROW()*0.0000001)</f>
        <v/>
      </c>
      <c r="AO38" s="28" t="n"/>
      <c r="AP38" s="28" t="n"/>
      <c r="AQ38" s="29" t="n"/>
      <c r="AR38" s="29" t="n"/>
      <c r="AS38" s="23" t="n"/>
      <c r="AT38" s="29" t="n"/>
      <c r="AU38" s="29" t="n"/>
      <c r="AV38" s="29" t="n"/>
      <c r="AW38" s="25">
        <f>IF(OR(O38="",AV38=""),"",O38*AV38)</f>
        <v/>
      </c>
      <c r="AX38" s="23" t="n"/>
      <c r="AY38" s="23" t="n"/>
      <c r="AZ38" s="23" t="n"/>
      <c r="BA38" s="23" t="n"/>
      <c r="BB38" s="23" t="n"/>
      <c r="BC38" s="25" t="n"/>
      <c r="BD38" s="23" t="n"/>
      <c r="BE38" s="23">
        <f>IF(C38="","",IF(AND(ISNUMBER(P38),P38&gt;MAX_PRICE),"Price too high",IF(AND(ISNUMBER(AB38),AB38&lt;=2),"Quality risk",IF(AND(ISNUMBER(U38),U38&lt;=2),"Aesthetic mismatch",IF(AY38="High","Too fragile",IF(AND(ISNUMBER(R38),R38&lt;LOW_PROFIT_PCT),"Low profit",IF(AND(ISNUMBER(AT38),AT38&gt;MOQ_WARNING),"MOQ too high",IF(OR(AD38="Maybe",AD38="Price Review"),"Needs partner review",IF(AD38="Buy","Good candidate","")))))))))</f>
        <v/>
      </c>
      <c r="BF38" s="23" t="n"/>
      <c r="BG38" s="23" t="n"/>
      <c r="BH38" s="23" t="n"/>
      <c r="BI38" s="23" t="n"/>
      <c r="BJ38" s="23" t="n"/>
      <c r="BK38" s="23" t="n"/>
      <c r="BL38" s="23">
        <f>IF(C38="","",IF(AND(BG38="Yes",BH38="Yes",BI38="Yes",BJ38="Yes",BK38="Yes"),"Yes","No"))</f>
        <v/>
      </c>
      <c r="BM38" s="25" t="n"/>
      <c r="BN38" s="25" t="n"/>
      <c r="BO38" s="25">
        <f>IF(OR(BM38="",BN38=""),"",BM38+BN38)</f>
        <v/>
      </c>
      <c r="BP38" s="25" t="n"/>
      <c r="BQ38" s="25">
        <f>IF(OR(BP38="",BO38=""),"",BP38-BO38)</f>
        <v/>
      </c>
      <c r="BR38" s="26">
        <f>IF(OR(BP38="",BP38=0,BQ38=""),"",BQ38/BP38)</f>
        <v/>
      </c>
      <c r="BS38" s="24" t="n"/>
      <c r="BT38" s="29" t="n"/>
      <c r="BU38" s="29" t="n"/>
      <c r="BV38" s="23" t="n"/>
      <c r="BW38" s="23" t="n"/>
      <c r="BX38" s="29">
        <f>IF(OR(BT38="",BU38=""),"",BT38-BU38)</f>
        <v/>
      </c>
      <c r="BY38" s="23" t="n"/>
      <c r="BZ38" s="24" t="n"/>
      <c r="CA38" s="23" t="n"/>
      <c r="CB38" s="23" t="n"/>
    </row>
    <row r="39">
      <c r="A39" s="16">
        <f>IF(C39="","","AYN-"&amp;IFERROR(VLOOKUP(E39,CATEGORY_PREFIX_TABLE,2,FALSE),"OTH")&amp;"-"&amp;TEXT(ROW()-2,"0000"))</f>
        <v/>
      </c>
      <c r="B39" s="17" t="n"/>
      <c r="C39" s="16" t="n"/>
      <c r="D39" s="16" t="n"/>
      <c r="E39" s="16" t="n"/>
      <c r="F39" s="16" t="n"/>
      <c r="G39" s="16" t="n"/>
      <c r="H39" s="16" t="n"/>
      <c r="I39" s="16" t="n"/>
      <c r="J39" s="16" t="n"/>
      <c r="K39" s="18">
        <f>IF(I39="","",IF(J39="BDT",I39,IF(J39="USD",I39*USD_BDT,IF(J39="RMB",I39*RMB_BDT,""))))</f>
        <v/>
      </c>
      <c r="L39" s="18" t="n"/>
      <c r="M39" s="19" t="n"/>
      <c r="N39" s="18" t="n"/>
      <c r="O39" s="18">
        <f>IF(K39="","",K39+IFERROR(L39,0)+(K39*IF(M39="",CUSTOMS_PCT,M39))+IF(N39="",MISC_FEE,N39))</f>
        <v/>
      </c>
      <c r="P39" s="18">
        <f>IF(O39="","",ROUND(O39*(1+MARKUP_PCT),-1)-1)</f>
        <v/>
      </c>
      <c r="Q39" s="18">
        <f>IF(P39="","",P39-O39)</f>
        <v/>
      </c>
      <c r="R39" s="19">
        <f>IF(OR(P39="",P39=0),"",Q39/P39)</f>
        <v/>
      </c>
      <c r="S39" s="16" t="n"/>
      <c r="T39" s="16" t="n"/>
      <c r="U39" s="16" t="n"/>
      <c r="V39" s="16" t="n"/>
      <c r="W39" s="16" t="n"/>
      <c r="X39" s="16" t="n"/>
      <c r="Y39" s="16" t="n"/>
      <c r="Z39" s="16" t="n"/>
      <c r="AA39" s="16" t="n"/>
      <c r="AB39" s="16" t="n"/>
      <c r="AC39" s="20">
        <f>IF(COUNT(S39:AB39)&lt;10,"",(S39*W_FEMININE+T39*W_TREND+U39*W_AESTHETIC+V39*W_STYLE+W39*W_LIGHT+X39*W_REELS+Y39*W_GIFT+Z39*W_PRICEFIT+AA39*W_DEMAND+AB39*W_QUALITY)/5*100)</f>
        <v/>
      </c>
      <c r="AD39" s="16">
        <f>IF(P39="","",IF(P39&gt;HARD_REJECT_PRICE,"Reject",IF(P39&gt;MAX_PRICE,"Price Review",IF(AC39="","",IF(AND(AC39&gt;=BUY_THRESHOLD,OR(AB39&lt;=2,U39&lt;=2)),"Maybe",IF(AC39&gt;=BUY_THRESHOLD,"Buy",IF(AC39&gt;=MAYBE_THRESHOLD,"Maybe","Reject")))))))</f>
        <v/>
      </c>
      <c r="AE39" s="16" t="n"/>
      <c r="AF39" s="16" t="n"/>
      <c r="AG39" s="16" t="n"/>
      <c r="AH39" s="16" t="n"/>
      <c r="AI39" s="17" t="n"/>
      <c r="AJ39">
        <f>IF(AC39="",-9999-ROW()*0.0000001,AC39-ROW()*0.0000001)</f>
        <v/>
      </c>
      <c r="AK39">
        <f>IF(OR(AC39="",P39="",P39&gt;MAX_PRICE),-9999-ROW()*0.0000001,AC39-ROW()*0.0000001)</f>
        <v/>
      </c>
      <c r="AL39">
        <f>IF(AC39="",-9999-ROW()*0.0000001,X39*1000+AC39-ROW()*0.0000001)</f>
        <v/>
      </c>
      <c r="AM39">
        <f>IF(AC39="",-9999-ROW()*0.0000001,Y39*1000+AC39-ROW()*0.0000001)</f>
        <v/>
      </c>
      <c r="AN39">
        <f>IF(AND(OR(AD39="Maybe",AD39="Price Review"),AG39&lt;&gt;"Approved",AG39&lt;&gt;"Rejected"),IF(AC39="",0,AC39)-ROW()*0.0000001,-9999-ROW()*0.0000001)</f>
        <v/>
      </c>
      <c r="AO39" s="21" t="n"/>
      <c r="AP39" s="21" t="n"/>
      <c r="AQ39" s="22" t="n"/>
      <c r="AR39" s="22" t="n"/>
      <c r="AS39" s="16" t="n"/>
      <c r="AT39" s="22" t="n"/>
      <c r="AU39" s="22" t="n"/>
      <c r="AV39" s="22" t="n"/>
      <c r="AW39" s="18">
        <f>IF(OR(O39="",AV39=""),"",O39*AV39)</f>
        <v/>
      </c>
      <c r="AX39" s="16" t="n"/>
      <c r="AY39" s="16" t="n"/>
      <c r="AZ39" s="16" t="n"/>
      <c r="BA39" s="16" t="n"/>
      <c r="BB39" s="16" t="n"/>
      <c r="BC39" s="18" t="n"/>
      <c r="BD39" s="16" t="n"/>
      <c r="BE39" s="16">
        <f>IF(C39="","",IF(AND(ISNUMBER(P39),P39&gt;MAX_PRICE),"Price too high",IF(AND(ISNUMBER(AB39),AB39&lt;=2),"Quality risk",IF(AND(ISNUMBER(U39),U39&lt;=2),"Aesthetic mismatch",IF(AY39="High","Too fragile",IF(AND(ISNUMBER(R39),R39&lt;LOW_PROFIT_PCT),"Low profit",IF(AND(ISNUMBER(AT39),AT39&gt;MOQ_WARNING),"MOQ too high",IF(OR(AD39="Maybe",AD39="Price Review"),"Needs partner review",IF(AD39="Buy","Good candidate","")))))))))</f>
        <v/>
      </c>
      <c r="BF39" s="16" t="n"/>
      <c r="BG39" s="16" t="n"/>
      <c r="BH39" s="16" t="n"/>
      <c r="BI39" s="16" t="n"/>
      <c r="BJ39" s="16" t="n"/>
      <c r="BK39" s="16" t="n"/>
      <c r="BL39" s="16">
        <f>IF(C39="","",IF(AND(BG39="Yes",BH39="Yes",BI39="Yes",BJ39="Yes",BK39="Yes"),"Yes","No"))</f>
        <v/>
      </c>
      <c r="BM39" s="18" t="n"/>
      <c r="BN39" s="18" t="n"/>
      <c r="BO39" s="18">
        <f>IF(OR(BM39="",BN39=""),"",BM39+BN39)</f>
        <v/>
      </c>
      <c r="BP39" s="18" t="n"/>
      <c r="BQ39" s="18">
        <f>IF(OR(BP39="",BO39=""),"",BP39-BO39)</f>
        <v/>
      </c>
      <c r="BR39" s="19">
        <f>IF(OR(BP39="",BP39=0,BQ39=""),"",BQ39/BP39)</f>
        <v/>
      </c>
      <c r="BS39" s="17" t="n"/>
      <c r="BT39" s="22" t="n"/>
      <c r="BU39" s="22" t="n"/>
      <c r="BV39" s="16" t="n"/>
      <c r="BW39" s="16" t="n"/>
      <c r="BX39" s="22">
        <f>IF(OR(BT39="",BU39=""),"",BT39-BU39)</f>
        <v/>
      </c>
      <c r="BY39" s="16" t="n"/>
      <c r="BZ39" s="17" t="n"/>
      <c r="CA39" s="16" t="n"/>
      <c r="CB39" s="16" t="n"/>
    </row>
    <row r="40">
      <c r="A40" s="23">
        <f>IF(C40="","","AYN-"&amp;IFERROR(VLOOKUP(E40,CATEGORY_PREFIX_TABLE,2,FALSE),"OTH")&amp;"-"&amp;TEXT(ROW()-2,"0000"))</f>
        <v/>
      </c>
      <c r="B40" s="24" t="n"/>
      <c r="C40" s="23" t="n"/>
      <c r="D40" s="23" t="n"/>
      <c r="E40" s="23" t="n"/>
      <c r="F40" s="23" t="n"/>
      <c r="G40" s="23" t="n"/>
      <c r="H40" s="23" t="n"/>
      <c r="I40" s="23" t="n"/>
      <c r="J40" s="23" t="n"/>
      <c r="K40" s="25">
        <f>IF(I40="","",IF(J40="BDT",I40,IF(J40="USD",I40*USD_BDT,IF(J40="RMB",I40*RMB_BDT,""))))</f>
        <v/>
      </c>
      <c r="L40" s="25" t="n"/>
      <c r="M40" s="26" t="n"/>
      <c r="N40" s="25" t="n"/>
      <c r="O40" s="25">
        <f>IF(K40="","",K40+IFERROR(L40,0)+(K40*IF(M40="",CUSTOMS_PCT,M40))+IF(N40="",MISC_FEE,N40))</f>
        <v/>
      </c>
      <c r="P40" s="25">
        <f>IF(O40="","",ROUND(O40*(1+MARKUP_PCT),-1)-1)</f>
        <v/>
      </c>
      <c r="Q40" s="25">
        <f>IF(P40="","",P40-O40)</f>
        <v/>
      </c>
      <c r="R40" s="26">
        <f>IF(OR(P40="",P40=0),"",Q40/P40)</f>
        <v/>
      </c>
      <c r="S40" s="23" t="n"/>
      <c r="T40" s="23" t="n"/>
      <c r="U40" s="23" t="n"/>
      <c r="V40" s="23" t="n"/>
      <c r="W40" s="23" t="n"/>
      <c r="X40" s="23" t="n"/>
      <c r="Y40" s="23" t="n"/>
      <c r="Z40" s="23" t="n"/>
      <c r="AA40" s="23" t="n"/>
      <c r="AB40" s="23" t="n"/>
      <c r="AC40" s="27">
        <f>IF(COUNT(S40:AB40)&lt;10,"",(S40*W_FEMININE+T40*W_TREND+U40*W_AESTHETIC+V40*W_STYLE+W40*W_LIGHT+X40*W_REELS+Y40*W_GIFT+Z40*W_PRICEFIT+AA40*W_DEMAND+AB40*W_QUALITY)/5*100)</f>
        <v/>
      </c>
      <c r="AD40" s="23">
        <f>IF(P40="","",IF(P40&gt;HARD_REJECT_PRICE,"Reject",IF(P40&gt;MAX_PRICE,"Price Review",IF(AC40="","",IF(AND(AC40&gt;=BUY_THRESHOLD,OR(AB40&lt;=2,U40&lt;=2)),"Maybe",IF(AC40&gt;=BUY_THRESHOLD,"Buy",IF(AC40&gt;=MAYBE_THRESHOLD,"Maybe","Reject")))))))</f>
        <v/>
      </c>
      <c r="AE40" s="23" t="n"/>
      <c r="AF40" s="23" t="n"/>
      <c r="AG40" s="23" t="n"/>
      <c r="AH40" s="23" t="n"/>
      <c r="AI40" s="24" t="n"/>
      <c r="AJ40">
        <f>IF(AC40="",-9999-ROW()*0.0000001,AC40-ROW()*0.0000001)</f>
        <v/>
      </c>
      <c r="AK40">
        <f>IF(OR(AC40="",P40="",P40&gt;MAX_PRICE),-9999-ROW()*0.0000001,AC40-ROW()*0.0000001)</f>
        <v/>
      </c>
      <c r="AL40">
        <f>IF(AC40="",-9999-ROW()*0.0000001,X40*1000+AC40-ROW()*0.0000001)</f>
        <v/>
      </c>
      <c r="AM40">
        <f>IF(AC40="",-9999-ROW()*0.0000001,Y40*1000+AC40-ROW()*0.0000001)</f>
        <v/>
      </c>
      <c r="AN40">
        <f>IF(AND(OR(AD40="Maybe",AD40="Price Review"),AG40&lt;&gt;"Approved",AG40&lt;&gt;"Rejected"),IF(AC40="",0,AC40)-ROW()*0.0000001,-9999-ROW()*0.0000001)</f>
        <v/>
      </c>
      <c r="AO40" s="28" t="n"/>
      <c r="AP40" s="28" t="n"/>
      <c r="AQ40" s="29" t="n"/>
      <c r="AR40" s="29" t="n"/>
      <c r="AS40" s="23" t="n"/>
      <c r="AT40" s="29" t="n"/>
      <c r="AU40" s="29" t="n"/>
      <c r="AV40" s="29" t="n"/>
      <c r="AW40" s="25">
        <f>IF(OR(O40="",AV40=""),"",O40*AV40)</f>
        <v/>
      </c>
      <c r="AX40" s="23" t="n"/>
      <c r="AY40" s="23" t="n"/>
      <c r="AZ40" s="23" t="n"/>
      <c r="BA40" s="23" t="n"/>
      <c r="BB40" s="23" t="n"/>
      <c r="BC40" s="25" t="n"/>
      <c r="BD40" s="23" t="n"/>
      <c r="BE40" s="23">
        <f>IF(C40="","",IF(AND(ISNUMBER(P40),P40&gt;MAX_PRICE),"Price too high",IF(AND(ISNUMBER(AB40),AB40&lt;=2),"Quality risk",IF(AND(ISNUMBER(U40),U40&lt;=2),"Aesthetic mismatch",IF(AY40="High","Too fragile",IF(AND(ISNUMBER(R40),R40&lt;LOW_PROFIT_PCT),"Low profit",IF(AND(ISNUMBER(AT40),AT40&gt;MOQ_WARNING),"MOQ too high",IF(OR(AD40="Maybe",AD40="Price Review"),"Needs partner review",IF(AD40="Buy","Good candidate","")))))))))</f>
        <v/>
      </c>
      <c r="BF40" s="23" t="n"/>
      <c r="BG40" s="23" t="n"/>
      <c r="BH40" s="23" t="n"/>
      <c r="BI40" s="23" t="n"/>
      <c r="BJ40" s="23" t="n"/>
      <c r="BK40" s="23" t="n"/>
      <c r="BL40" s="23">
        <f>IF(C40="","",IF(AND(BG40="Yes",BH40="Yes",BI40="Yes",BJ40="Yes",BK40="Yes"),"Yes","No"))</f>
        <v/>
      </c>
      <c r="BM40" s="25" t="n"/>
      <c r="BN40" s="25" t="n"/>
      <c r="BO40" s="25">
        <f>IF(OR(BM40="",BN40=""),"",BM40+BN40)</f>
        <v/>
      </c>
      <c r="BP40" s="25" t="n"/>
      <c r="BQ40" s="25">
        <f>IF(OR(BP40="",BO40=""),"",BP40-BO40)</f>
        <v/>
      </c>
      <c r="BR40" s="26">
        <f>IF(OR(BP40="",BP40=0,BQ40=""),"",BQ40/BP40)</f>
        <v/>
      </c>
      <c r="BS40" s="24" t="n"/>
      <c r="BT40" s="29" t="n"/>
      <c r="BU40" s="29" t="n"/>
      <c r="BV40" s="23" t="n"/>
      <c r="BW40" s="23" t="n"/>
      <c r="BX40" s="29">
        <f>IF(OR(BT40="",BU40=""),"",BT40-BU40)</f>
        <v/>
      </c>
      <c r="BY40" s="23" t="n"/>
      <c r="BZ40" s="24" t="n"/>
      <c r="CA40" s="23" t="n"/>
      <c r="CB40" s="23" t="n"/>
    </row>
    <row r="41">
      <c r="A41" s="16">
        <f>IF(C41="","","AYN-"&amp;IFERROR(VLOOKUP(E41,CATEGORY_PREFIX_TABLE,2,FALSE),"OTH")&amp;"-"&amp;TEXT(ROW()-2,"0000"))</f>
        <v/>
      </c>
      <c r="B41" s="17" t="n"/>
      <c r="C41" s="16" t="n"/>
      <c r="D41" s="16" t="n"/>
      <c r="E41" s="16" t="n"/>
      <c r="F41" s="16" t="n"/>
      <c r="G41" s="16" t="n"/>
      <c r="H41" s="16" t="n"/>
      <c r="I41" s="16" t="n"/>
      <c r="J41" s="16" t="n"/>
      <c r="K41" s="18">
        <f>IF(I41="","",IF(J41="BDT",I41,IF(J41="USD",I41*USD_BDT,IF(J41="RMB",I41*RMB_BDT,""))))</f>
        <v/>
      </c>
      <c r="L41" s="18" t="n"/>
      <c r="M41" s="19" t="n"/>
      <c r="N41" s="18" t="n"/>
      <c r="O41" s="18">
        <f>IF(K41="","",K41+IFERROR(L41,0)+(K41*IF(M41="",CUSTOMS_PCT,M41))+IF(N41="",MISC_FEE,N41))</f>
        <v/>
      </c>
      <c r="P41" s="18">
        <f>IF(O41="","",ROUND(O41*(1+MARKUP_PCT),-1)-1)</f>
        <v/>
      </c>
      <c r="Q41" s="18">
        <f>IF(P41="","",P41-O41)</f>
        <v/>
      </c>
      <c r="R41" s="19">
        <f>IF(OR(P41="",P41=0),"",Q41/P41)</f>
        <v/>
      </c>
      <c r="S41" s="16" t="n"/>
      <c r="T41" s="16" t="n"/>
      <c r="U41" s="16" t="n"/>
      <c r="V41" s="16" t="n"/>
      <c r="W41" s="16" t="n"/>
      <c r="X41" s="16" t="n"/>
      <c r="Y41" s="16" t="n"/>
      <c r="Z41" s="16" t="n"/>
      <c r="AA41" s="16" t="n"/>
      <c r="AB41" s="16" t="n"/>
      <c r="AC41" s="20">
        <f>IF(COUNT(S41:AB41)&lt;10,"",(S41*W_FEMININE+T41*W_TREND+U41*W_AESTHETIC+V41*W_STYLE+W41*W_LIGHT+X41*W_REELS+Y41*W_GIFT+Z41*W_PRICEFIT+AA41*W_DEMAND+AB41*W_QUALITY)/5*100)</f>
        <v/>
      </c>
      <c r="AD41" s="16">
        <f>IF(P41="","",IF(P41&gt;HARD_REJECT_PRICE,"Reject",IF(P41&gt;MAX_PRICE,"Price Review",IF(AC41="","",IF(AND(AC41&gt;=BUY_THRESHOLD,OR(AB41&lt;=2,U41&lt;=2)),"Maybe",IF(AC41&gt;=BUY_THRESHOLD,"Buy",IF(AC41&gt;=MAYBE_THRESHOLD,"Maybe","Reject")))))))</f>
        <v/>
      </c>
      <c r="AE41" s="16" t="n"/>
      <c r="AF41" s="16" t="n"/>
      <c r="AG41" s="16" t="n"/>
      <c r="AH41" s="16" t="n"/>
      <c r="AI41" s="17" t="n"/>
      <c r="AJ41">
        <f>IF(AC41="",-9999-ROW()*0.0000001,AC41-ROW()*0.0000001)</f>
        <v/>
      </c>
      <c r="AK41">
        <f>IF(OR(AC41="",P41="",P41&gt;MAX_PRICE),-9999-ROW()*0.0000001,AC41-ROW()*0.0000001)</f>
        <v/>
      </c>
      <c r="AL41">
        <f>IF(AC41="",-9999-ROW()*0.0000001,X41*1000+AC41-ROW()*0.0000001)</f>
        <v/>
      </c>
      <c r="AM41">
        <f>IF(AC41="",-9999-ROW()*0.0000001,Y41*1000+AC41-ROW()*0.0000001)</f>
        <v/>
      </c>
      <c r="AN41">
        <f>IF(AND(OR(AD41="Maybe",AD41="Price Review"),AG41&lt;&gt;"Approved",AG41&lt;&gt;"Rejected"),IF(AC41="",0,AC41)-ROW()*0.0000001,-9999-ROW()*0.0000001)</f>
        <v/>
      </c>
      <c r="AO41" s="21" t="n"/>
      <c r="AP41" s="21" t="n"/>
      <c r="AQ41" s="22" t="n"/>
      <c r="AR41" s="22" t="n"/>
      <c r="AS41" s="16" t="n"/>
      <c r="AT41" s="22" t="n"/>
      <c r="AU41" s="22" t="n"/>
      <c r="AV41" s="22" t="n"/>
      <c r="AW41" s="18">
        <f>IF(OR(O41="",AV41=""),"",O41*AV41)</f>
        <v/>
      </c>
      <c r="AX41" s="16" t="n"/>
      <c r="AY41" s="16" t="n"/>
      <c r="AZ41" s="16" t="n"/>
      <c r="BA41" s="16" t="n"/>
      <c r="BB41" s="16" t="n"/>
      <c r="BC41" s="18" t="n"/>
      <c r="BD41" s="16" t="n"/>
      <c r="BE41" s="16">
        <f>IF(C41="","",IF(AND(ISNUMBER(P41),P41&gt;MAX_PRICE),"Price too high",IF(AND(ISNUMBER(AB41),AB41&lt;=2),"Quality risk",IF(AND(ISNUMBER(U41),U41&lt;=2),"Aesthetic mismatch",IF(AY41="High","Too fragile",IF(AND(ISNUMBER(R41),R41&lt;LOW_PROFIT_PCT),"Low profit",IF(AND(ISNUMBER(AT41),AT41&gt;MOQ_WARNING),"MOQ too high",IF(OR(AD41="Maybe",AD41="Price Review"),"Needs partner review",IF(AD41="Buy","Good candidate","")))))))))</f>
        <v/>
      </c>
      <c r="BF41" s="16" t="n"/>
      <c r="BG41" s="16" t="n"/>
      <c r="BH41" s="16" t="n"/>
      <c r="BI41" s="16" t="n"/>
      <c r="BJ41" s="16" t="n"/>
      <c r="BK41" s="16" t="n"/>
      <c r="BL41" s="16">
        <f>IF(C41="","",IF(AND(BG41="Yes",BH41="Yes",BI41="Yes",BJ41="Yes",BK41="Yes"),"Yes","No"))</f>
        <v/>
      </c>
      <c r="BM41" s="18" t="n"/>
      <c r="BN41" s="18" t="n"/>
      <c r="BO41" s="18">
        <f>IF(OR(BM41="",BN41=""),"",BM41+BN41)</f>
        <v/>
      </c>
      <c r="BP41" s="18" t="n"/>
      <c r="BQ41" s="18">
        <f>IF(OR(BP41="",BO41=""),"",BP41-BO41)</f>
        <v/>
      </c>
      <c r="BR41" s="19">
        <f>IF(OR(BP41="",BP41=0,BQ41=""),"",BQ41/BP41)</f>
        <v/>
      </c>
      <c r="BS41" s="17" t="n"/>
      <c r="BT41" s="22" t="n"/>
      <c r="BU41" s="22" t="n"/>
      <c r="BV41" s="16" t="n"/>
      <c r="BW41" s="16" t="n"/>
      <c r="BX41" s="22">
        <f>IF(OR(BT41="",BU41=""),"",BT41-BU41)</f>
        <v/>
      </c>
      <c r="BY41" s="16" t="n"/>
      <c r="BZ41" s="17" t="n"/>
      <c r="CA41" s="16" t="n"/>
      <c r="CB41" s="16" t="n"/>
    </row>
    <row r="42">
      <c r="A42" s="23">
        <f>IF(C42="","","AYN-"&amp;IFERROR(VLOOKUP(E42,CATEGORY_PREFIX_TABLE,2,FALSE),"OTH")&amp;"-"&amp;TEXT(ROW()-2,"0000"))</f>
        <v/>
      </c>
      <c r="B42" s="24" t="n"/>
      <c r="C42" s="23" t="n"/>
      <c r="D42" s="23" t="n"/>
      <c r="E42" s="23" t="n"/>
      <c r="F42" s="23" t="n"/>
      <c r="G42" s="23" t="n"/>
      <c r="H42" s="23" t="n"/>
      <c r="I42" s="23" t="n"/>
      <c r="J42" s="23" t="n"/>
      <c r="K42" s="25">
        <f>IF(I42="","",IF(J42="BDT",I42,IF(J42="USD",I42*USD_BDT,IF(J42="RMB",I42*RMB_BDT,""))))</f>
        <v/>
      </c>
      <c r="L42" s="25" t="n"/>
      <c r="M42" s="26" t="n"/>
      <c r="N42" s="25" t="n"/>
      <c r="O42" s="25">
        <f>IF(K42="","",K42+IFERROR(L42,0)+(K42*IF(M42="",CUSTOMS_PCT,M42))+IF(N42="",MISC_FEE,N42))</f>
        <v/>
      </c>
      <c r="P42" s="25">
        <f>IF(O42="","",ROUND(O42*(1+MARKUP_PCT),-1)-1)</f>
        <v/>
      </c>
      <c r="Q42" s="25">
        <f>IF(P42="","",P42-O42)</f>
        <v/>
      </c>
      <c r="R42" s="26">
        <f>IF(OR(P42="",P42=0),"",Q42/P42)</f>
        <v/>
      </c>
      <c r="S42" s="23" t="n"/>
      <c r="T42" s="23" t="n"/>
      <c r="U42" s="23" t="n"/>
      <c r="V42" s="23" t="n"/>
      <c r="W42" s="23" t="n"/>
      <c r="X42" s="23" t="n"/>
      <c r="Y42" s="23" t="n"/>
      <c r="Z42" s="23" t="n"/>
      <c r="AA42" s="23" t="n"/>
      <c r="AB42" s="23" t="n"/>
      <c r="AC42" s="27">
        <f>IF(COUNT(S42:AB42)&lt;10,"",(S42*W_FEMININE+T42*W_TREND+U42*W_AESTHETIC+V42*W_STYLE+W42*W_LIGHT+X42*W_REELS+Y42*W_GIFT+Z42*W_PRICEFIT+AA42*W_DEMAND+AB42*W_QUALITY)/5*100)</f>
        <v/>
      </c>
      <c r="AD42" s="23">
        <f>IF(P42="","",IF(P42&gt;HARD_REJECT_PRICE,"Reject",IF(P42&gt;MAX_PRICE,"Price Review",IF(AC42="","",IF(AND(AC42&gt;=BUY_THRESHOLD,OR(AB42&lt;=2,U42&lt;=2)),"Maybe",IF(AC42&gt;=BUY_THRESHOLD,"Buy",IF(AC42&gt;=MAYBE_THRESHOLD,"Maybe","Reject")))))))</f>
        <v/>
      </c>
      <c r="AE42" s="23" t="n"/>
      <c r="AF42" s="23" t="n"/>
      <c r="AG42" s="23" t="n"/>
      <c r="AH42" s="23" t="n"/>
      <c r="AI42" s="24" t="n"/>
      <c r="AJ42">
        <f>IF(AC42="",-9999-ROW()*0.0000001,AC42-ROW()*0.0000001)</f>
        <v/>
      </c>
      <c r="AK42">
        <f>IF(OR(AC42="",P42="",P42&gt;MAX_PRICE),-9999-ROW()*0.0000001,AC42-ROW()*0.0000001)</f>
        <v/>
      </c>
      <c r="AL42">
        <f>IF(AC42="",-9999-ROW()*0.0000001,X42*1000+AC42-ROW()*0.0000001)</f>
        <v/>
      </c>
      <c r="AM42">
        <f>IF(AC42="",-9999-ROW()*0.0000001,Y42*1000+AC42-ROW()*0.0000001)</f>
        <v/>
      </c>
      <c r="AN42">
        <f>IF(AND(OR(AD42="Maybe",AD42="Price Review"),AG42&lt;&gt;"Approved",AG42&lt;&gt;"Rejected"),IF(AC42="",0,AC42)-ROW()*0.0000001,-9999-ROW()*0.0000001)</f>
        <v/>
      </c>
      <c r="AO42" s="28" t="n"/>
      <c r="AP42" s="28" t="n"/>
      <c r="AQ42" s="29" t="n"/>
      <c r="AR42" s="29" t="n"/>
      <c r="AS42" s="23" t="n"/>
      <c r="AT42" s="29" t="n"/>
      <c r="AU42" s="29" t="n"/>
      <c r="AV42" s="29" t="n"/>
      <c r="AW42" s="25">
        <f>IF(OR(O42="",AV42=""),"",O42*AV42)</f>
        <v/>
      </c>
      <c r="AX42" s="23" t="n"/>
      <c r="AY42" s="23" t="n"/>
      <c r="AZ42" s="23" t="n"/>
      <c r="BA42" s="23" t="n"/>
      <c r="BB42" s="23" t="n"/>
      <c r="BC42" s="25" t="n"/>
      <c r="BD42" s="23" t="n"/>
      <c r="BE42" s="23">
        <f>IF(C42="","",IF(AND(ISNUMBER(P42),P42&gt;MAX_PRICE),"Price too high",IF(AND(ISNUMBER(AB42),AB42&lt;=2),"Quality risk",IF(AND(ISNUMBER(U42),U42&lt;=2),"Aesthetic mismatch",IF(AY42="High","Too fragile",IF(AND(ISNUMBER(R42),R42&lt;LOW_PROFIT_PCT),"Low profit",IF(AND(ISNUMBER(AT42),AT42&gt;MOQ_WARNING),"MOQ too high",IF(OR(AD42="Maybe",AD42="Price Review"),"Needs partner review",IF(AD42="Buy","Good candidate","")))))))))</f>
        <v/>
      </c>
      <c r="BF42" s="23" t="n"/>
      <c r="BG42" s="23" t="n"/>
      <c r="BH42" s="23" t="n"/>
      <c r="BI42" s="23" t="n"/>
      <c r="BJ42" s="23" t="n"/>
      <c r="BK42" s="23" t="n"/>
      <c r="BL42" s="23">
        <f>IF(C42="","",IF(AND(BG42="Yes",BH42="Yes",BI42="Yes",BJ42="Yes",BK42="Yes"),"Yes","No"))</f>
        <v/>
      </c>
      <c r="BM42" s="25" t="n"/>
      <c r="BN42" s="25" t="n"/>
      <c r="BO42" s="25">
        <f>IF(OR(BM42="",BN42=""),"",BM42+BN42)</f>
        <v/>
      </c>
      <c r="BP42" s="25" t="n"/>
      <c r="BQ42" s="25">
        <f>IF(OR(BP42="",BO42=""),"",BP42-BO42)</f>
        <v/>
      </c>
      <c r="BR42" s="26">
        <f>IF(OR(BP42="",BP42=0,BQ42=""),"",BQ42/BP42)</f>
        <v/>
      </c>
      <c r="BS42" s="24" t="n"/>
      <c r="BT42" s="29" t="n"/>
      <c r="BU42" s="29" t="n"/>
      <c r="BV42" s="23" t="n"/>
      <c r="BW42" s="23" t="n"/>
      <c r="BX42" s="29">
        <f>IF(OR(BT42="",BU42=""),"",BT42-BU42)</f>
        <v/>
      </c>
      <c r="BY42" s="23" t="n"/>
      <c r="BZ42" s="24" t="n"/>
      <c r="CA42" s="23" t="n"/>
      <c r="CB42" s="23" t="n"/>
    </row>
    <row r="43">
      <c r="A43" s="16">
        <f>IF(C43="","","AYN-"&amp;IFERROR(VLOOKUP(E43,CATEGORY_PREFIX_TABLE,2,FALSE),"OTH")&amp;"-"&amp;TEXT(ROW()-2,"0000"))</f>
        <v/>
      </c>
      <c r="B43" s="17" t="n"/>
      <c r="C43" s="16" t="n"/>
      <c r="D43" s="16" t="n"/>
      <c r="E43" s="16" t="n"/>
      <c r="F43" s="16" t="n"/>
      <c r="G43" s="16" t="n"/>
      <c r="H43" s="16" t="n"/>
      <c r="I43" s="16" t="n"/>
      <c r="J43" s="16" t="n"/>
      <c r="K43" s="18">
        <f>IF(I43="","",IF(J43="BDT",I43,IF(J43="USD",I43*USD_BDT,IF(J43="RMB",I43*RMB_BDT,""))))</f>
        <v/>
      </c>
      <c r="L43" s="18" t="n"/>
      <c r="M43" s="19" t="n"/>
      <c r="N43" s="18" t="n"/>
      <c r="O43" s="18">
        <f>IF(K43="","",K43+IFERROR(L43,0)+(K43*IF(M43="",CUSTOMS_PCT,M43))+IF(N43="",MISC_FEE,N43))</f>
        <v/>
      </c>
      <c r="P43" s="18">
        <f>IF(O43="","",ROUND(O43*(1+MARKUP_PCT),-1)-1)</f>
        <v/>
      </c>
      <c r="Q43" s="18">
        <f>IF(P43="","",P43-O43)</f>
        <v/>
      </c>
      <c r="R43" s="19">
        <f>IF(OR(P43="",P43=0),"",Q43/P43)</f>
        <v/>
      </c>
      <c r="S43" s="16" t="n"/>
      <c r="T43" s="16" t="n"/>
      <c r="U43" s="16" t="n"/>
      <c r="V43" s="16" t="n"/>
      <c r="W43" s="16" t="n"/>
      <c r="X43" s="16" t="n"/>
      <c r="Y43" s="16" t="n"/>
      <c r="Z43" s="16" t="n"/>
      <c r="AA43" s="16" t="n"/>
      <c r="AB43" s="16" t="n"/>
      <c r="AC43" s="20">
        <f>IF(COUNT(S43:AB43)&lt;10,"",(S43*W_FEMININE+T43*W_TREND+U43*W_AESTHETIC+V43*W_STYLE+W43*W_LIGHT+X43*W_REELS+Y43*W_GIFT+Z43*W_PRICEFIT+AA43*W_DEMAND+AB43*W_QUALITY)/5*100)</f>
        <v/>
      </c>
      <c r="AD43" s="16">
        <f>IF(P43="","",IF(P43&gt;HARD_REJECT_PRICE,"Reject",IF(P43&gt;MAX_PRICE,"Price Review",IF(AC43="","",IF(AND(AC43&gt;=BUY_THRESHOLD,OR(AB43&lt;=2,U43&lt;=2)),"Maybe",IF(AC43&gt;=BUY_THRESHOLD,"Buy",IF(AC43&gt;=MAYBE_THRESHOLD,"Maybe","Reject")))))))</f>
        <v/>
      </c>
      <c r="AE43" s="16" t="n"/>
      <c r="AF43" s="16" t="n"/>
      <c r="AG43" s="16" t="n"/>
      <c r="AH43" s="16" t="n"/>
      <c r="AI43" s="17" t="n"/>
      <c r="AJ43">
        <f>IF(AC43="",-9999-ROW()*0.0000001,AC43-ROW()*0.0000001)</f>
        <v/>
      </c>
      <c r="AK43">
        <f>IF(OR(AC43="",P43="",P43&gt;MAX_PRICE),-9999-ROW()*0.0000001,AC43-ROW()*0.0000001)</f>
        <v/>
      </c>
      <c r="AL43">
        <f>IF(AC43="",-9999-ROW()*0.0000001,X43*1000+AC43-ROW()*0.0000001)</f>
        <v/>
      </c>
      <c r="AM43">
        <f>IF(AC43="",-9999-ROW()*0.0000001,Y43*1000+AC43-ROW()*0.0000001)</f>
        <v/>
      </c>
      <c r="AN43">
        <f>IF(AND(OR(AD43="Maybe",AD43="Price Review"),AG43&lt;&gt;"Approved",AG43&lt;&gt;"Rejected"),IF(AC43="",0,AC43)-ROW()*0.0000001,-9999-ROW()*0.0000001)</f>
        <v/>
      </c>
      <c r="AO43" s="21" t="n"/>
      <c r="AP43" s="21" t="n"/>
      <c r="AQ43" s="22" t="n"/>
      <c r="AR43" s="22" t="n"/>
      <c r="AS43" s="16" t="n"/>
      <c r="AT43" s="22" t="n"/>
      <c r="AU43" s="22" t="n"/>
      <c r="AV43" s="22" t="n"/>
      <c r="AW43" s="18">
        <f>IF(OR(O43="",AV43=""),"",O43*AV43)</f>
        <v/>
      </c>
      <c r="AX43" s="16" t="n"/>
      <c r="AY43" s="16" t="n"/>
      <c r="AZ43" s="16" t="n"/>
      <c r="BA43" s="16" t="n"/>
      <c r="BB43" s="16" t="n"/>
      <c r="BC43" s="18" t="n"/>
      <c r="BD43" s="16" t="n"/>
      <c r="BE43" s="16">
        <f>IF(C43="","",IF(AND(ISNUMBER(P43),P43&gt;MAX_PRICE),"Price too high",IF(AND(ISNUMBER(AB43),AB43&lt;=2),"Quality risk",IF(AND(ISNUMBER(U43),U43&lt;=2),"Aesthetic mismatch",IF(AY43="High","Too fragile",IF(AND(ISNUMBER(R43),R43&lt;LOW_PROFIT_PCT),"Low profit",IF(AND(ISNUMBER(AT43),AT43&gt;MOQ_WARNING),"MOQ too high",IF(OR(AD43="Maybe",AD43="Price Review"),"Needs partner review",IF(AD43="Buy","Good candidate","")))))))))</f>
        <v/>
      </c>
      <c r="BF43" s="16" t="n"/>
      <c r="BG43" s="16" t="n"/>
      <c r="BH43" s="16" t="n"/>
      <c r="BI43" s="16" t="n"/>
      <c r="BJ43" s="16" t="n"/>
      <c r="BK43" s="16" t="n"/>
      <c r="BL43" s="16">
        <f>IF(C43="","",IF(AND(BG43="Yes",BH43="Yes",BI43="Yes",BJ43="Yes",BK43="Yes"),"Yes","No"))</f>
        <v/>
      </c>
      <c r="BM43" s="18" t="n"/>
      <c r="BN43" s="18" t="n"/>
      <c r="BO43" s="18">
        <f>IF(OR(BM43="",BN43=""),"",BM43+BN43)</f>
        <v/>
      </c>
      <c r="BP43" s="18" t="n"/>
      <c r="BQ43" s="18">
        <f>IF(OR(BP43="",BO43=""),"",BP43-BO43)</f>
        <v/>
      </c>
      <c r="BR43" s="19">
        <f>IF(OR(BP43="",BP43=0,BQ43=""),"",BQ43/BP43)</f>
        <v/>
      </c>
      <c r="BS43" s="17" t="n"/>
      <c r="BT43" s="22" t="n"/>
      <c r="BU43" s="22" t="n"/>
      <c r="BV43" s="16" t="n"/>
      <c r="BW43" s="16" t="n"/>
      <c r="BX43" s="22">
        <f>IF(OR(BT43="",BU43=""),"",BT43-BU43)</f>
        <v/>
      </c>
      <c r="BY43" s="16" t="n"/>
      <c r="BZ43" s="17" t="n"/>
      <c r="CA43" s="16" t="n"/>
      <c r="CB43" s="16" t="n"/>
    </row>
    <row r="44">
      <c r="A44" s="23">
        <f>IF(C44="","","AYN-"&amp;IFERROR(VLOOKUP(E44,CATEGORY_PREFIX_TABLE,2,FALSE),"OTH")&amp;"-"&amp;TEXT(ROW()-2,"0000"))</f>
        <v/>
      </c>
      <c r="B44" s="24" t="n"/>
      <c r="C44" s="23" t="n"/>
      <c r="D44" s="23" t="n"/>
      <c r="E44" s="23" t="n"/>
      <c r="F44" s="23" t="n"/>
      <c r="G44" s="23" t="n"/>
      <c r="H44" s="23" t="n"/>
      <c r="I44" s="23" t="n"/>
      <c r="J44" s="23" t="n"/>
      <c r="K44" s="25">
        <f>IF(I44="","",IF(J44="BDT",I44,IF(J44="USD",I44*USD_BDT,IF(J44="RMB",I44*RMB_BDT,""))))</f>
        <v/>
      </c>
      <c r="L44" s="25" t="n"/>
      <c r="M44" s="26" t="n"/>
      <c r="N44" s="25" t="n"/>
      <c r="O44" s="25">
        <f>IF(K44="","",K44+IFERROR(L44,0)+(K44*IF(M44="",CUSTOMS_PCT,M44))+IF(N44="",MISC_FEE,N44))</f>
        <v/>
      </c>
      <c r="P44" s="25">
        <f>IF(O44="","",ROUND(O44*(1+MARKUP_PCT),-1)-1)</f>
        <v/>
      </c>
      <c r="Q44" s="25">
        <f>IF(P44="","",P44-O44)</f>
        <v/>
      </c>
      <c r="R44" s="26">
        <f>IF(OR(P44="",P44=0),"",Q44/P44)</f>
        <v/>
      </c>
      <c r="S44" s="23" t="n"/>
      <c r="T44" s="23" t="n"/>
      <c r="U44" s="23" t="n"/>
      <c r="V44" s="23" t="n"/>
      <c r="W44" s="23" t="n"/>
      <c r="X44" s="23" t="n"/>
      <c r="Y44" s="23" t="n"/>
      <c r="Z44" s="23" t="n"/>
      <c r="AA44" s="23" t="n"/>
      <c r="AB44" s="23" t="n"/>
      <c r="AC44" s="27">
        <f>IF(COUNT(S44:AB44)&lt;10,"",(S44*W_FEMININE+T44*W_TREND+U44*W_AESTHETIC+V44*W_STYLE+W44*W_LIGHT+X44*W_REELS+Y44*W_GIFT+Z44*W_PRICEFIT+AA44*W_DEMAND+AB44*W_QUALITY)/5*100)</f>
        <v/>
      </c>
      <c r="AD44" s="23">
        <f>IF(P44="","",IF(P44&gt;HARD_REJECT_PRICE,"Reject",IF(P44&gt;MAX_PRICE,"Price Review",IF(AC44="","",IF(AND(AC44&gt;=BUY_THRESHOLD,OR(AB44&lt;=2,U44&lt;=2)),"Maybe",IF(AC44&gt;=BUY_THRESHOLD,"Buy",IF(AC44&gt;=MAYBE_THRESHOLD,"Maybe","Reject")))))))</f>
        <v/>
      </c>
      <c r="AE44" s="23" t="n"/>
      <c r="AF44" s="23" t="n"/>
      <c r="AG44" s="23" t="n"/>
      <c r="AH44" s="23" t="n"/>
      <c r="AI44" s="24" t="n"/>
      <c r="AJ44">
        <f>IF(AC44="",-9999-ROW()*0.0000001,AC44-ROW()*0.0000001)</f>
        <v/>
      </c>
      <c r="AK44">
        <f>IF(OR(AC44="",P44="",P44&gt;MAX_PRICE),-9999-ROW()*0.0000001,AC44-ROW()*0.0000001)</f>
        <v/>
      </c>
      <c r="AL44">
        <f>IF(AC44="",-9999-ROW()*0.0000001,X44*1000+AC44-ROW()*0.0000001)</f>
        <v/>
      </c>
      <c r="AM44">
        <f>IF(AC44="",-9999-ROW()*0.0000001,Y44*1000+AC44-ROW()*0.0000001)</f>
        <v/>
      </c>
      <c r="AN44">
        <f>IF(AND(OR(AD44="Maybe",AD44="Price Review"),AG44&lt;&gt;"Approved",AG44&lt;&gt;"Rejected"),IF(AC44="",0,AC44)-ROW()*0.0000001,-9999-ROW()*0.0000001)</f>
        <v/>
      </c>
      <c r="AO44" s="28" t="n"/>
      <c r="AP44" s="28" t="n"/>
      <c r="AQ44" s="29" t="n"/>
      <c r="AR44" s="29" t="n"/>
      <c r="AS44" s="23" t="n"/>
      <c r="AT44" s="29" t="n"/>
      <c r="AU44" s="29" t="n"/>
      <c r="AV44" s="29" t="n"/>
      <c r="AW44" s="25">
        <f>IF(OR(O44="",AV44=""),"",O44*AV44)</f>
        <v/>
      </c>
      <c r="AX44" s="23" t="n"/>
      <c r="AY44" s="23" t="n"/>
      <c r="AZ44" s="23" t="n"/>
      <c r="BA44" s="23" t="n"/>
      <c r="BB44" s="23" t="n"/>
      <c r="BC44" s="25" t="n"/>
      <c r="BD44" s="23" t="n"/>
      <c r="BE44" s="23">
        <f>IF(C44="","",IF(AND(ISNUMBER(P44),P44&gt;MAX_PRICE),"Price too high",IF(AND(ISNUMBER(AB44),AB44&lt;=2),"Quality risk",IF(AND(ISNUMBER(U44),U44&lt;=2),"Aesthetic mismatch",IF(AY44="High","Too fragile",IF(AND(ISNUMBER(R44),R44&lt;LOW_PROFIT_PCT),"Low profit",IF(AND(ISNUMBER(AT44),AT44&gt;MOQ_WARNING),"MOQ too high",IF(OR(AD44="Maybe",AD44="Price Review"),"Needs partner review",IF(AD44="Buy","Good candidate","")))))))))</f>
        <v/>
      </c>
      <c r="BF44" s="23" t="n"/>
      <c r="BG44" s="23" t="n"/>
      <c r="BH44" s="23" t="n"/>
      <c r="BI44" s="23" t="n"/>
      <c r="BJ44" s="23" t="n"/>
      <c r="BK44" s="23" t="n"/>
      <c r="BL44" s="23">
        <f>IF(C44="","",IF(AND(BG44="Yes",BH44="Yes",BI44="Yes",BJ44="Yes",BK44="Yes"),"Yes","No"))</f>
        <v/>
      </c>
      <c r="BM44" s="25" t="n"/>
      <c r="BN44" s="25" t="n"/>
      <c r="BO44" s="25">
        <f>IF(OR(BM44="",BN44=""),"",BM44+BN44)</f>
        <v/>
      </c>
      <c r="BP44" s="25" t="n"/>
      <c r="BQ44" s="25">
        <f>IF(OR(BP44="",BO44=""),"",BP44-BO44)</f>
        <v/>
      </c>
      <c r="BR44" s="26">
        <f>IF(OR(BP44="",BP44=0,BQ44=""),"",BQ44/BP44)</f>
        <v/>
      </c>
      <c r="BS44" s="24" t="n"/>
      <c r="BT44" s="29" t="n"/>
      <c r="BU44" s="29" t="n"/>
      <c r="BV44" s="23" t="n"/>
      <c r="BW44" s="23" t="n"/>
      <c r="BX44" s="29">
        <f>IF(OR(BT44="",BU44=""),"",BT44-BU44)</f>
        <v/>
      </c>
      <c r="BY44" s="23" t="n"/>
      <c r="BZ44" s="24" t="n"/>
      <c r="CA44" s="23" t="n"/>
      <c r="CB44" s="23" t="n"/>
    </row>
    <row r="45">
      <c r="A45" s="16">
        <f>IF(C45="","","AYN-"&amp;IFERROR(VLOOKUP(E45,CATEGORY_PREFIX_TABLE,2,FALSE),"OTH")&amp;"-"&amp;TEXT(ROW()-2,"0000"))</f>
        <v/>
      </c>
      <c r="B45" s="17" t="n"/>
      <c r="C45" s="16" t="n"/>
      <c r="D45" s="16" t="n"/>
      <c r="E45" s="16" t="n"/>
      <c r="F45" s="16" t="n"/>
      <c r="G45" s="16" t="n"/>
      <c r="H45" s="16" t="n"/>
      <c r="I45" s="16" t="n"/>
      <c r="J45" s="16" t="n"/>
      <c r="K45" s="18">
        <f>IF(I45="","",IF(J45="BDT",I45,IF(J45="USD",I45*USD_BDT,IF(J45="RMB",I45*RMB_BDT,""))))</f>
        <v/>
      </c>
      <c r="L45" s="18" t="n"/>
      <c r="M45" s="19" t="n"/>
      <c r="N45" s="18" t="n"/>
      <c r="O45" s="18">
        <f>IF(K45="","",K45+IFERROR(L45,0)+(K45*IF(M45="",CUSTOMS_PCT,M45))+IF(N45="",MISC_FEE,N45))</f>
        <v/>
      </c>
      <c r="P45" s="18">
        <f>IF(O45="","",ROUND(O45*(1+MARKUP_PCT),-1)-1)</f>
        <v/>
      </c>
      <c r="Q45" s="18">
        <f>IF(P45="","",P45-O45)</f>
        <v/>
      </c>
      <c r="R45" s="19">
        <f>IF(OR(P45="",P45=0),"",Q45/P45)</f>
        <v/>
      </c>
      <c r="S45" s="16" t="n"/>
      <c r="T45" s="16" t="n"/>
      <c r="U45" s="16" t="n"/>
      <c r="V45" s="16" t="n"/>
      <c r="W45" s="16" t="n"/>
      <c r="X45" s="16" t="n"/>
      <c r="Y45" s="16" t="n"/>
      <c r="Z45" s="16" t="n"/>
      <c r="AA45" s="16" t="n"/>
      <c r="AB45" s="16" t="n"/>
      <c r="AC45" s="20">
        <f>IF(COUNT(S45:AB45)&lt;10,"",(S45*W_FEMININE+T45*W_TREND+U45*W_AESTHETIC+V45*W_STYLE+W45*W_LIGHT+X45*W_REELS+Y45*W_GIFT+Z45*W_PRICEFIT+AA45*W_DEMAND+AB45*W_QUALITY)/5*100)</f>
        <v/>
      </c>
      <c r="AD45" s="16">
        <f>IF(P45="","",IF(P45&gt;HARD_REJECT_PRICE,"Reject",IF(P45&gt;MAX_PRICE,"Price Review",IF(AC45="","",IF(AND(AC45&gt;=BUY_THRESHOLD,OR(AB45&lt;=2,U45&lt;=2)),"Maybe",IF(AC45&gt;=BUY_THRESHOLD,"Buy",IF(AC45&gt;=MAYBE_THRESHOLD,"Maybe","Reject")))))))</f>
        <v/>
      </c>
      <c r="AE45" s="16" t="n"/>
      <c r="AF45" s="16" t="n"/>
      <c r="AG45" s="16" t="n"/>
      <c r="AH45" s="16" t="n"/>
      <c r="AI45" s="17" t="n"/>
      <c r="AJ45">
        <f>IF(AC45="",-9999-ROW()*0.0000001,AC45-ROW()*0.0000001)</f>
        <v/>
      </c>
      <c r="AK45">
        <f>IF(OR(AC45="",P45="",P45&gt;MAX_PRICE),-9999-ROW()*0.0000001,AC45-ROW()*0.0000001)</f>
        <v/>
      </c>
      <c r="AL45">
        <f>IF(AC45="",-9999-ROW()*0.0000001,X45*1000+AC45-ROW()*0.0000001)</f>
        <v/>
      </c>
      <c r="AM45">
        <f>IF(AC45="",-9999-ROW()*0.0000001,Y45*1000+AC45-ROW()*0.0000001)</f>
        <v/>
      </c>
      <c r="AN45">
        <f>IF(AND(OR(AD45="Maybe",AD45="Price Review"),AG45&lt;&gt;"Approved",AG45&lt;&gt;"Rejected"),IF(AC45="",0,AC45)-ROW()*0.0000001,-9999-ROW()*0.0000001)</f>
        <v/>
      </c>
      <c r="AO45" s="21" t="n"/>
      <c r="AP45" s="21" t="n"/>
      <c r="AQ45" s="22" t="n"/>
      <c r="AR45" s="22" t="n"/>
      <c r="AS45" s="16" t="n"/>
      <c r="AT45" s="22" t="n"/>
      <c r="AU45" s="22" t="n"/>
      <c r="AV45" s="22" t="n"/>
      <c r="AW45" s="18">
        <f>IF(OR(O45="",AV45=""),"",O45*AV45)</f>
        <v/>
      </c>
      <c r="AX45" s="16" t="n"/>
      <c r="AY45" s="16" t="n"/>
      <c r="AZ45" s="16" t="n"/>
      <c r="BA45" s="16" t="n"/>
      <c r="BB45" s="16" t="n"/>
      <c r="BC45" s="18" t="n"/>
      <c r="BD45" s="16" t="n"/>
      <c r="BE45" s="16">
        <f>IF(C45="","",IF(AND(ISNUMBER(P45),P45&gt;MAX_PRICE),"Price too high",IF(AND(ISNUMBER(AB45),AB45&lt;=2),"Quality risk",IF(AND(ISNUMBER(U45),U45&lt;=2),"Aesthetic mismatch",IF(AY45="High","Too fragile",IF(AND(ISNUMBER(R45),R45&lt;LOW_PROFIT_PCT),"Low profit",IF(AND(ISNUMBER(AT45),AT45&gt;MOQ_WARNING),"MOQ too high",IF(OR(AD45="Maybe",AD45="Price Review"),"Needs partner review",IF(AD45="Buy","Good candidate","")))))))))</f>
        <v/>
      </c>
      <c r="BF45" s="16" t="n"/>
      <c r="BG45" s="16" t="n"/>
      <c r="BH45" s="16" t="n"/>
      <c r="BI45" s="16" t="n"/>
      <c r="BJ45" s="16" t="n"/>
      <c r="BK45" s="16" t="n"/>
      <c r="BL45" s="16">
        <f>IF(C45="","",IF(AND(BG45="Yes",BH45="Yes",BI45="Yes",BJ45="Yes",BK45="Yes"),"Yes","No"))</f>
        <v/>
      </c>
      <c r="BM45" s="18" t="n"/>
      <c r="BN45" s="18" t="n"/>
      <c r="BO45" s="18">
        <f>IF(OR(BM45="",BN45=""),"",BM45+BN45)</f>
        <v/>
      </c>
      <c r="BP45" s="18" t="n"/>
      <c r="BQ45" s="18">
        <f>IF(OR(BP45="",BO45=""),"",BP45-BO45)</f>
        <v/>
      </c>
      <c r="BR45" s="19">
        <f>IF(OR(BP45="",BP45=0,BQ45=""),"",BQ45/BP45)</f>
        <v/>
      </c>
      <c r="BS45" s="17" t="n"/>
      <c r="BT45" s="22" t="n"/>
      <c r="BU45" s="22" t="n"/>
      <c r="BV45" s="16" t="n"/>
      <c r="BW45" s="16" t="n"/>
      <c r="BX45" s="22">
        <f>IF(OR(BT45="",BU45=""),"",BT45-BU45)</f>
        <v/>
      </c>
      <c r="BY45" s="16" t="n"/>
      <c r="BZ45" s="17" t="n"/>
      <c r="CA45" s="16" t="n"/>
      <c r="CB45" s="16" t="n"/>
    </row>
    <row r="46">
      <c r="A46" s="23">
        <f>IF(C46="","","AYN-"&amp;IFERROR(VLOOKUP(E46,CATEGORY_PREFIX_TABLE,2,FALSE),"OTH")&amp;"-"&amp;TEXT(ROW()-2,"0000"))</f>
        <v/>
      </c>
      <c r="B46" s="24" t="n"/>
      <c r="C46" s="23" t="n"/>
      <c r="D46" s="23" t="n"/>
      <c r="E46" s="23" t="n"/>
      <c r="F46" s="23" t="n"/>
      <c r="G46" s="23" t="n"/>
      <c r="H46" s="23" t="n"/>
      <c r="I46" s="23" t="n"/>
      <c r="J46" s="23" t="n"/>
      <c r="K46" s="25">
        <f>IF(I46="","",IF(J46="BDT",I46,IF(J46="USD",I46*USD_BDT,IF(J46="RMB",I46*RMB_BDT,""))))</f>
        <v/>
      </c>
      <c r="L46" s="25" t="n"/>
      <c r="M46" s="26" t="n"/>
      <c r="N46" s="25" t="n"/>
      <c r="O46" s="25">
        <f>IF(K46="","",K46+IFERROR(L46,0)+(K46*IF(M46="",CUSTOMS_PCT,M46))+IF(N46="",MISC_FEE,N46))</f>
        <v/>
      </c>
      <c r="P46" s="25">
        <f>IF(O46="","",ROUND(O46*(1+MARKUP_PCT),-1)-1)</f>
        <v/>
      </c>
      <c r="Q46" s="25">
        <f>IF(P46="","",P46-O46)</f>
        <v/>
      </c>
      <c r="R46" s="26">
        <f>IF(OR(P46="",P46=0),"",Q46/P46)</f>
        <v/>
      </c>
      <c r="S46" s="23" t="n"/>
      <c r="T46" s="23" t="n"/>
      <c r="U46" s="23" t="n"/>
      <c r="V46" s="23" t="n"/>
      <c r="W46" s="23" t="n"/>
      <c r="X46" s="23" t="n"/>
      <c r="Y46" s="23" t="n"/>
      <c r="Z46" s="23" t="n"/>
      <c r="AA46" s="23" t="n"/>
      <c r="AB46" s="23" t="n"/>
      <c r="AC46" s="27">
        <f>IF(COUNT(S46:AB46)&lt;10,"",(S46*W_FEMININE+T46*W_TREND+U46*W_AESTHETIC+V46*W_STYLE+W46*W_LIGHT+X46*W_REELS+Y46*W_GIFT+Z46*W_PRICEFIT+AA46*W_DEMAND+AB46*W_QUALITY)/5*100)</f>
        <v/>
      </c>
      <c r="AD46" s="23">
        <f>IF(P46="","",IF(P46&gt;HARD_REJECT_PRICE,"Reject",IF(P46&gt;MAX_PRICE,"Price Review",IF(AC46="","",IF(AND(AC46&gt;=BUY_THRESHOLD,OR(AB46&lt;=2,U46&lt;=2)),"Maybe",IF(AC46&gt;=BUY_THRESHOLD,"Buy",IF(AC46&gt;=MAYBE_THRESHOLD,"Maybe","Reject")))))))</f>
        <v/>
      </c>
      <c r="AE46" s="23" t="n"/>
      <c r="AF46" s="23" t="n"/>
      <c r="AG46" s="23" t="n"/>
      <c r="AH46" s="23" t="n"/>
      <c r="AI46" s="24" t="n"/>
      <c r="AJ46">
        <f>IF(AC46="",-9999-ROW()*0.0000001,AC46-ROW()*0.0000001)</f>
        <v/>
      </c>
      <c r="AK46">
        <f>IF(OR(AC46="",P46="",P46&gt;MAX_PRICE),-9999-ROW()*0.0000001,AC46-ROW()*0.0000001)</f>
        <v/>
      </c>
      <c r="AL46">
        <f>IF(AC46="",-9999-ROW()*0.0000001,X46*1000+AC46-ROW()*0.0000001)</f>
        <v/>
      </c>
      <c r="AM46">
        <f>IF(AC46="",-9999-ROW()*0.0000001,Y46*1000+AC46-ROW()*0.0000001)</f>
        <v/>
      </c>
      <c r="AN46">
        <f>IF(AND(OR(AD46="Maybe",AD46="Price Review"),AG46&lt;&gt;"Approved",AG46&lt;&gt;"Rejected"),IF(AC46="",0,AC46)-ROW()*0.0000001,-9999-ROW()*0.0000001)</f>
        <v/>
      </c>
      <c r="AO46" s="28" t="n"/>
      <c r="AP46" s="28" t="n"/>
      <c r="AQ46" s="29" t="n"/>
      <c r="AR46" s="29" t="n"/>
      <c r="AS46" s="23" t="n"/>
      <c r="AT46" s="29" t="n"/>
      <c r="AU46" s="29" t="n"/>
      <c r="AV46" s="29" t="n"/>
      <c r="AW46" s="25">
        <f>IF(OR(O46="",AV46=""),"",O46*AV46)</f>
        <v/>
      </c>
      <c r="AX46" s="23" t="n"/>
      <c r="AY46" s="23" t="n"/>
      <c r="AZ46" s="23" t="n"/>
      <c r="BA46" s="23" t="n"/>
      <c r="BB46" s="23" t="n"/>
      <c r="BC46" s="25" t="n"/>
      <c r="BD46" s="23" t="n"/>
      <c r="BE46" s="23">
        <f>IF(C46="","",IF(AND(ISNUMBER(P46),P46&gt;MAX_PRICE),"Price too high",IF(AND(ISNUMBER(AB46),AB46&lt;=2),"Quality risk",IF(AND(ISNUMBER(U46),U46&lt;=2),"Aesthetic mismatch",IF(AY46="High","Too fragile",IF(AND(ISNUMBER(R46),R46&lt;LOW_PROFIT_PCT),"Low profit",IF(AND(ISNUMBER(AT46),AT46&gt;MOQ_WARNING),"MOQ too high",IF(OR(AD46="Maybe",AD46="Price Review"),"Needs partner review",IF(AD46="Buy","Good candidate","")))))))))</f>
        <v/>
      </c>
      <c r="BF46" s="23" t="n"/>
      <c r="BG46" s="23" t="n"/>
      <c r="BH46" s="23" t="n"/>
      <c r="BI46" s="23" t="n"/>
      <c r="BJ46" s="23" t="n"/>
      <c r="BK46" s="23" t="n"/>
      <c r="BL46" s="23">
        <f>IF(C46="","",IF(AND(BG46="Yes",BH46="Yes",BI46="Yes",BJ46="Yes",BK46="Yes"),"Yes","No"))</f>
        <v/>
      </c>
      <c r="BM46" s="25" t="n"/>
      <c r="BN46" s="25" t="n"/>
      <c r="BO46" s="25">
        <f>IF(OR(BM46="",BN46=""),"",BM46+BN46)</f>
        <v/>
      </c>
      <c r="BP46" s="25" t="n"/>
      <c r="BQ46" s="25">
        <f>IF(OR(BP46="",BO46=""),"",BP46-BO46)</f>
        <v/>
      </c>
      <c r="BR46" s="26">
        <f>IF(OR(BP46="",BP46=0,BQ46=""),"",BQ46/BP46)</f>
        <v/>
      </c>
      <c r="BS46" s="24" t="n"/>
      <c r="BT46" s="29" t="n"/>
      <c r="BU46" s="29" t="n"/>
      <c r="BV46" s="23" t="n"/>
      <c r="BW46" s="23" t="n"/>
      <c r="BX46" s="29">
        <f>IF(OR(BT46="",BU46=""),"",BT46-BU46)</f>
        <v/>
      </c>
      <c r="BY46" s="23" t="n"/>
      <c r="BZ46" s="24" t="n"/>
      <c r="CA46" s="23" t="n"/>
      <c r="CB46" s="23" t="n"/>
    </row>
    <row r="47">
      <c r="A47" s="16">
        <f>IF(C47="","","AYN-"&amp;IFERROR(VLOOKUP(E47,CATEGORY_PREFIX_TABLE,2,FALSE),"OTH")&amp;"-"&amp;TEXT(ROW()-2,"0000"))</f>
        <v/>
      </c>
      <c r="B47" s="17" t="n"/>
      <c r="C47" s="16" t="n"/>
      <c r="D47" s="16" t="n"/>
      <c r="E47" s="16" t="n"/>
      <c r="F47" s="16" t="n"/>
      <c r="G47" s="16" t="n"/>
      <c r="H47" s="16" t="n"/>
      <c r="I47" s="16" t="n"/>
      <c r="J47" s="16" t="n"/>
      <c r="K47" s="18">
        <f>IF(I47="","",IF(J47="BDT",I47,IF(J47="USD",I47*USD_BDT,IF(J47="RMB",I47*RMB_BDT,""))))</f>
        <v/>
      </c>
      <c r="L47" s="18" t="n"/>
      <c r="M47" s="19" t="n"/>
      <c r="N47" s="18" t="n"/>
      <c r="O47" s="18">
        <f>IF(K47="","",K47+IFERROR(L47,0)+(K47*IF(M47="",CUSTOMS_PCT,M47))+IF(N47="",MISC_FEE,N47))</f>
        <v/>
      </c>
      <c r="P47" s="18">
        <f>IF(O47="","",ROUND(O47*(1+MARKUP_PCT),-1)-1)</f>
        <v/>
      </c>
      <c r="Q47" s="18">
        <f>IF(P47="","",P47-O47)</f>
        <v/>
      </c>
      <c r="R47" s="19">
        <f>IF(OR(P47="",P47=0),"",Q47/P47)</f>
        <v/>
      </c>
      <c r="S47" s="16" t="n"/>
      <c r="T47" s="16" t="n"/>
      <c r="U47" s="16" t="n"/>
      <c r="V47" s="16" t="n"/>
      <c r="W47" s="16" t="n"/>
      <c r="X47" s="16" t="n"/>
      <c r="Y47" s="16" t="n"/>
      <c r="Z47" s="16" t="n"/>
      <c r="AA47" s="16" t="n"/>
      <c r="AB47" s="16" t="n"/>
      <c r="AC47" s="20">
        <f>IF(COUNT(S47:AB47)&lt;10,"",(S47*W_FEMININE+T47*W_TREND+U47*W_AESTHETIC+V47*W_STYLE+W47*W_LIGHT+X47*W_REELS+Y47*W_GIFT+Z47*W_PRICEFIT+AA47*W_DEMAND+AB47*W_QUALITY)/5*100)</f>
        <v/>
      </c>
      <c r="AD47" s="16">
        <f>IF(P47="","",IF(P47&gt;HARD_REJECT_PRICE,"Reject",IF(P47&gt;MAX_PRICE,"Price Review",IF(AC47="","",IF(AND(AC47&gt;=BUY_THRESHOLD,OR(AB47&lt;=2,U47&lt;=2)),"Maybe",IF(AC47&gt;=BUY_THRESHOLD,"Buy",IF(AC47&gt;=MAYBE_THRESHOLD,"Maybe","Reject")))))))</f>
        <v/>
      </c>
      <c r="AE47" s="16" t="n"/>
      <c r="AF47" s="16" t="n"/>
      <c r="AG47" s="16" t="n"/>
      <c r="AH47" s="16" t="n"/>
      <c r="AI47" s="17" t="n"/>
      <c r="AJ47">
        <f>IF(AC47="",-9999-ROW()*0.0000001,AC47-ROW()*0.0000001)</f>
        <v/>
      </c>
      <c r="AK47">
        <f>IF(OR(AC47="",P47="",P47&gt;MAX_PRICE),-9999-ROW()*0.0000001,AC47-ROW()*0.0000001)</f>
        <v/>
      </c>
      <c r="AL47">
        <f>IF(AC47="",-9999-ROW()*0.0000001,X47*1000+AC47-ROW()*0.0000001)</f>
        <v/>
      </c>
      <c r="AM47">
        <f>IF(AC47="",-9999-ROW()*0.0000001,Y47*1000+AC47-ROW()*0.0000001)</f>
        <v/>
      </c>
      <c r="AN47">
        <f>IF(AND(OR(AD47="Maybe",AD47="Price Review"),AG47&lt;&gt;"Approved",AG47&lt;&gt;"Rejected"),IF(AC47="",0,AC47)-ROW()*0.0000001,-9999-ROW()*0.0000001)</f>
        <v/>
      </c>
      <c r="AO47" s="21" t="n"/>
      <c r="AP47" s="21" t="n"/>
      <c r="AQ47" s="22" t="n"/>
      <c r="AR47" s="22" t="n"/>
      <c r="AS47" s="16" t="n"/>
      <c r="AT47" s="22" t="n"/>
      <c r="AU47" s="22" t="n"/>
      <c r="AV47" s="22" t="n"/>
      <c r="AW47" s="18">
        <f>IF(OR(O47="",AV47=""),"",O47*AV47)</f>
        <v/>
      </c>
      <c r="AX47" s="16" t="n"/>
      <c r="AY47" s="16" t="n"/>
      <c r="AZ47" s="16" t="n"/>
      <c r="BA47" s="16" t="n"/>
      <c r="BB47" s="16" t="n"/>
      <c r="BC47" s="18" t="n"/>
      <c r="BD47" s="16" t="n"/>
      <c r="BE47" s="16">
        <f>IF(C47="","",IF(AND(ISNUMBER(P47),P47&gt;MAX_PRICE),"Price too high",IF(AND(ISNUMBER(AB47),AB47&lt;=2),"Quality risk",IF(AND(ISNUMBER(U47),U47&lt;=2),"Aesthetic mismatch",IF(AY47="High","Too fragile",IF(AND(ISNUMBER(R47),R47&lt;LOW_PROFIT_PCT),"Low profit",IF(AND(ISNUMBER(AT47),AT47&gt;MOQ_WARNING),"MOQ too high",IF(OR(AD47="Maybe",AD47="Price Review"),"Needs partner review",IF(AD47="Buy","Good candidate","")))))))))</f>
        <v/>
      </c>
      <c r="BF47" s="16" t="n"/>
      <c r="BG47" s="16" t="n"/>
      <c r="BH47" s="16" t="n"/>
      <c r="BI47" s="16" t="n"/>
      <c r="BJ47" s="16" t="n"/>
      <c r="BK47" s="16" t="n"/>
      <c r="BL47" s="16">
        <f>IF(C47="","",IF(AND(BG47="Yes",BH47="Yes",BI47="Yes",BJ47="Yes",BK47="Yes"),"Yes","No"))</f>
        <v/>
      </c>
      <c r="BM47" s="18" t="n"/>
      <c r="BN47" s="18" t="n"/>
      <c r="BO47" s="18">
        <f>IF(OR(BM47="",BN47=""),"",BM47+BN47)</f>
        <v/>
      </c>
      <c r="BP47" s="18" t="n"/>
      <c r="BQ47" s="18">
        <f>IF(OR(BP47="",BO47=""),"",BP47-BO47)</f>
        <v/>
      </c>
      <c r="BR47" s="19">
        <f>IF(OR(BP47="",BP47=0,BQ47=""),"",BQ47/BP47)</f>
        <v/>
      </c>
      <c r="BS47" s="17" t="n"/>
      <c r="BT47" s="22" t="n"/>
      <c r="BU47" s="22" t="n"/>
      <c r="BV47" s="16" t="n"/>
      <c r="BW47" s="16" t="n"/>
      <c r="BX47" s="22">
        <f>IF(OR(BT47="",BU47=""),"",BT47-BU47)</f>
        <v/>
      </c>
      <c r="BY47" s="16" t="n"/>
      <c r="BZ47" s="17" t="n"/>
      <c r="CA47" s="16" t="n"/>
      <c r="CB47" s="16" t="n"/>
    </row>
    <row r="48">
      <c r="A48" s="23">
        <f>IF(C48="","","AYN-"&amp;IFERROR(VLOOKUP(E48,CATEGORY_PREFIX_TABLE,2,FALSE),"OTH")&amp;"-"&amp;TEXT(ROW()-2,"0000"))</f>
        <v/>
      </c>
      <c r="B48" s="24" t="n"/>
      <c r="C48" s="23" t="n"/>
      <c r="D48" s="23" t="n"/>
      <c r="E48" s="23" t="n"/>
      <c r="F48" s="23" t="n"/>
      <c r="G48" s="23" t="n"/>
      <c r="H48" s="23" t="n"/>
      <c r="I48" s="23" t="n"/>
      <c r="J48" s="23" t="n"/>
      <c r="K48" s="25">
        <f>IF(I48="","",IF(J48="BDT",I48,IF(J48="USD",I48*USD_BDT,IF(J48="RMB",I48*RMB_BDT,""))))</f>
        <v/>
      </c>
      <c r="L48" s="25" t="n"/>
      <c r="M48" s="26" t="n"/>
      <c r="N48" s="25" t="n"/>
      <c r="O48" s="25">
        <f>IF(K48="","",K48+IFERROR(L48,0)+(K48*IF(M48="",CUSTOMS_PCT,M48))+IF(N48="",MISC_FEE,N48))</f>
        <v/>
      </c>
      <c r="P48" s="25">
        <f>IF(O48="","",ROUND(O48*(1+MARKUP_PCT),-1)-1)</f>
        <v/>
      </c>
      <c r="Q48" s="25">
        <f>IF(P48="","",P48-O48)</f>
        <v/>
      </c>
      <c r="R48" s="26">
        <f>IF(OR(P48="",P48=0),"",Q48/P48)</f>
        <v/>
      </c>
      <c r="S48" s="23" t="n"/>
      <c r="T48" s="23" t="n"/>
      <c r="U48" s="23" t="n"/>
      <c r="V48" s="23" t="n"/>
      <c r="W48" s="23" t="n"/>
      <c r="X48" s="23" t="n"/>
      <c r="Y48" s="23" t="n"/>
      <c r="Z48" s="23" t="n"/>
      <c r="AA48" s="23" t="n"/>
      <c r="AB48" s="23" t="n"/>
      <c r="AC48" s="27">
        <f>IF(COUNT(S48:AB48)&lt;10,"",(S48*W_FEMININE+T48*W_TREND+U48*W_AESTHETIC+V48*W_STYLE+W48*W_LIGHT+X48*W_REELS+Y48*W_GIFT+Z48*W_PRICEFIT+AA48*W_DEMAND+AB48*W_QUALITY)/5*100)</f>
        <v/>
      </c>
      <c r="AD48" s="23">
        <f>IF(P48="","",IF(P48&gt;HARD_REJECT_PRICE,"Reject",IF(P48&gt;MAX_PRICE,"Price Review",IF(AC48="","",IF(AND(AC48&gt;=BUY_THRESHOLD,OR(AB48&lt;=2,U48&lt;=2)),"Maybe",IF(AC48&gt;=BUY_THRESHOLD,"Buy",IF(AC48&gt;=MAYBE_THRESHOLD,"Maybe","Reject")))))))</f>
        <v/>
      </c>
      <c r="AE48" s="23" t="n"/>
      <c r="AF48" s="23" t="n"/>
      <c r="AG48" s="23" t="n"/>
      <c r="AH48" s="23" t="n"/>
      <c r="AI48" s="24" t="n"/>
      <c r="AJ48">
        <f>IF(AC48="",-9999-ROW()*0.0000001,AC48-ROW()*0.0000001)</f>
        <v/>
      </c>
      <c r="AK48">
        <f>IF(OR(AC48="",P48="",P48&gt;MAX_PRICE),-9999-ROW()*0.0000001,AC48-ROW()*0.0000001)</f>
        <v/>
      </c>
      <c r="AL48">
        <f>IF(AC48="",-9999-ROW()*0.0000001,X48*1000+AC48-ROW()*0.0000001)</f>
        <v/>
      </c>
      <c r="AM48">
        <f>IF(AC48="",-9999-ROW()*0.0000001,Y48*1000+AC48-ROW()*0.0000001)</f>
        <v/>
      </c>
      <c r="AN48">
        <f>IF(AND(OR(AD48="Maybe",AD48="Price Review"),AG48&lt;&gt;"Approved",AG48&lt;&gt;"Rejected"),IF(AC48="",0,AC48)-ROW()*0.0000001,-9999-ROW()*0.0000001)</f>
        <v/>
      </c>
      <c r="AO48" s="28" t="n"/>
      <c r="AP48" s="28" t="n"/>
      <c r="AQ48" s="29" t="n"/>
      <c r="AR48" s="29" t="n"/>
      <c r="AS48" s="23" t="n"/>
      <c r="AT48" s="29" t="n"/>
      <c r="AU48" s="29" t="n"/>
      <c r="AV48" s="29" t="n"/>
      <c r="AW48" s="25">
        <f>IF(OR(O48="",AV48=""),"",O48*AV48)</f>
        <v/>
      </c>
      <c r="AX48" s="23" t="n"/>
      <c r="AY48" s="23" t="n"/>
      <c r="AZ48" s="23" t="n"/>
      <c r="BA48" s="23" t="n"/>
      <c r="BB48" s="23" t="n"/>
      <c r="BC48" s="25" t="n"/>
      <c r="BD48" s="23" t="n"/>
      <c r="BE48" s="23">
        <f>IF(C48="","",IF(AND(ISNUMBER(P48),P48&gt;MAX_PRICE),"Price too high",IF(AND(ISNUMBER(AB48),AB48&lt;=2),"Quality risk",IF(AND(ISNUMBER(U48),U48&lt;=2),"Aesthetic mismatch",IF(AY48="High","Too fragile",IF(AND(ISNUMBER(R48),R48&lt;LOW_PROFIT_PCT),"Low profit",IF(AND(ISNUMBER(AT48),AT48&gt;MOQ_WARNING),"MOQ too high",IF(OR(AD48="Maybe",AD48="Price Review"),"Needs partner review",IF(AD48="Buy","Good candidate","")))))))))</f>
        <v/>
      </c>
      <c r="BF48" s="23" t="n"/>
      <c r="BG48" s="23" t="n"/>
      <c r="BH48" s="23" t="n"/>
      <c r="BI48" s="23" t="n"/>
      <c r="BJ48" s="23" t="n"/>
      <c r="BK48" s="23" t="n"/>
      <c r="BL48" s="23">
        <f>IF(C48="","",IF(AND(BG48="Yes",BH48="Yes",BI48="Yes",BJ48="Yes",BK48="Yes"),"Yes","No"))</f>
        <v/>
      </c>
      <c r="BM48" s="25" t="n"/>
      <c r="BN48" s="25" t="n"/>
      <c r="BO48" s="25">
        <f>IF(OR(BM48="",BN48=""),"",BM48+BN48)</f>
        <v/>
      </c>
      <c r="BP48" s="25" t="n"/>
      <c r="BQ48" s="25">
        <f>IF(OR(BP48="",BO48=""),"",BP48-BO48)</f>
        <v/>
      </c>
      <c r="BR48" s="26">
        <f>IF(OR(BP48="",BP48=0,BQ48=""),"",BQ48/BP48)</f>
        <v/>
      </c>
      <c r="BS48" s="24" t="n"/>
      <c r="BT48" s="29" t="n"/>
      <c r="BU48" s="29" t="n"/>
      <c r="BV48" s="23" t="n"/>
      <c r="BW48" s="23" t="n"/>
      <c r="BX48" s="29">
        <f>IF(OR(BT48="",BU48=""),"",BT48-BU48)</f>
        <v/>
      </c>
      <c r="BY48" s="23" t="n"/>
      <c r="BZ48" s="24" t="n"/>
      <c r="CA48" s="23" t="n"/>
      <c r="CB48" s="23" t="n"/>
    </row>
    <row r="49">
      <c r="A49" s="16">
        <f>IF(C49="","","AYN-"&amp;IFERROR(VLOOKUP(E49,CATEGORY_PREFIX_TABLE,2,FALSE),"OTH")&amp;"-"&amp;TEXT(ROW()-2,"0000"))</f>
        <v/>
      </c>
      <c r="B49" s="17" t="n"/>
      <c r="C49" s="16" t="n"/>
      <c r="D49" s="16" t="n"/>
      <c r="E49" s="16" t="n"/>
      <c r="F49" s="16" t="n"/>
      <c r="G49" s="16" t="n"/>
      <c r="H49" s="16" t="n"/>
      <c r="I49" s="16" t="n"/>
      <c r="J49" s="16" t="n"/>
      <c r="K49" s="18">
        <f>IF(I49="","",IF(J49="BDT",I49,IF(J49="USD",I49*USD_BDT,IF(J49="RMB",I49*RMB_BDT,""))))</f>
        <v/>
      </c>
      <c r="L49" s="18" t="n"/>
      <c r="M49" s="19" t="n"/>
      <c r="N49" s="18" t="n"/>
      <c r="O49" s="18">
        <f>IF(K49="","",K49+IFERROR(L49,0)+(K49*IF(M49="",CUSTOMS_PCT,M49))+IF(N49="",MISC_FEE,N49))</f>
        <v/>
      </c>
      <c r="P49" s="18">
        <f>IF(O49="","",ROUND(O49*(1+MARKUP_PCT),-1)-1)</f>
        <v/>
      </c>
      <c r="Q49" s="18">
        <f>IF(P49="","",P49-O49)</f>
        <v/>
      </c>
      <c r="R49" s="19">
        <f>IF(OR(P49="",P49=0),"",Q49/P49)</f>
        <v/>
      </c>
      <c r="S49" s="16" t="n"/>
      <c r="T49" s="16" t="n"/>
      <c r="U49" s="16" t="n"/>
      <c r="V49" s="16" t="n"/>
      <c r="W49" s="16" t="n"/>
      <c r="X49" s="16" t="n"/>
      <c r="Y49" s="16" t="n"/>
      <c r="Z49" s="16" t="n"/>
      <c r="AA49" s="16" t="n"/>
      <c r="AB49" s="16" t="n"/>
      <c r="AC49" s="20">
        <f>IF(COUNT(S49:AB49)&lt;10,"",(S49*W_FEMININE+T49*W_TREND+U49*W_AESTHETIC+V49*W_STYLE+W49*W_LIGHT+X49*W_REELS+Y49*W_GIFT+Z49*W_PRICEFIT+AA49*W_DEMAND+AB49*W_QUALITY)/5*100)</f>
        <v/>
      </c>
      <c r="AD49" s="16">
        <f>IF(P49="","",IF(P49&gt;HARD_REJECT_PRICE,"Reject",IF(P49&gt;MAX_PRICE,"Price Review",IF(AC49="","",IF(AND(AC49&gt;=BUY_THRESHOLD,OR(AB49&lt;=2,U49&lt;=2)),"Maybe",IF(AC49&gt;=BUY_THRESHOLD,"Buy",IF(AC49&gt;=MAYBE_THRESHOLD,"Maybe","Reject")))))))</f>
        <v/>
      </c>
      <c r="AE49" s="16" t="n"/>
      <c r="AF49" s="16" t="n"/>
      <c r="AG49" s="16" t="n"/>
      <c r="AH49" s="16" t="n"/>
      <c r="AI49" s="17" t="n"/>
      <c r="AJ49">
        <f>IF(AC49="",-9999-ROW()*0.0000001,AC49-ROW()*0.0000001)</f>
        <v/>
      </c>
      <c r="AK49">
        <f>IF(OR(AC49="",P49="",P49&gt;MAX_PRICE),-9999-ROW()*0.0000001,AC49-ROW()*0.0000001)</f>
        <v/>
      </c>
      <c r="AL49">
        <f>IF(AC49="",-9999-ROW()*0.0000001,X49*1000+AC49-ROW()*0.0000001)</f>
        <v/>
      </c>
      <c r="AM49">
        <f>IF(AC49="",-9999-ROW()*0.0000001,Y49*1000+AC49-ROW()*0.0000001)</f>
        <v/>
      </c>
      <c r="AN49">
        <f>IF(AND(OR(AD49="Maybe",AD49="Price Review"),AG49&lt;&gt;"Approved",AG49&lt;&gt;"Rejected"),IF(AC49="",0,AC49)-ROW()*0.0000001,-9999-ROW()*0.0000001)</f>
        <v/>
      </c>
      <c r="AO49" s="21" t="n"/>
      <c r="AP49" s="21" t="n"/>
      <c r="AQ49" s="22" t="n"/>
      <c r="AR49" s="22" t="n"/>
      <c r="AS49" s="16" t="n"/>
      <c r="AT49" s="22" t="n"/>
      <c r="AU49" s="22" t="n"/>
      <c r="AV49" s="22" t="n"/>
      <c r="AW49" s="18">
        <f>IF(OR(O49="",AV49=""),"",O49*AV49)</f>
        <v/>
      </c>
      <c r="AX49" s="16" t="n"/>
      <c r="AY49" s="16" t="n"/>
      <c r="AZ49" s="16" t="n"/>
      <c r="BA49" s="16" t="n"/>
      <c r="BB49" s="16" t="n"/>
      <c r="BC49" s="18" t="n"/>
      <c r="BD49" s="16" t="n"/>
      <c r="BE49" s="16">
        <f>IF(C49="","",IF(AND(ISNUMBER(P49),P49&gt;MAX_PRICE),"Price too high",IF(AND(ISNUMBER(AB49),AB49&lt;=2),"Quality risk",IF(AND(ISNUMBER(U49),U49&lt;=2),"Aesthetic mismatch",IF(AY49="High","Too fragile",IF(AND(ISNUMBER(R49),R49&lt;LOW_PROFIT_PCT),"Low profit",IF(AND(ISNUMBER(AT49),AT49&gt;MOQ_WARNING),"MOQ too high",IF(OR(AD49="Maybe",AD49="Price Review"),"Needs partner review",IF(AD49="Buy","Good candidate","")))))))))</f>
        <v/>
      </c>
      <c r="BF49" s="16" t="n"/>
      <c r="BG49" s="16" t="n"/>
      <c r="BH49" s="16" t="n"/>
      <c r="BI49" s="16" t="n"/>
      <c r="BJ49" s="16" t="n"/>
      <c r="BK49" s="16" t="n"/>
      <c r="BL49" s="16">
        <f>IF(C49="","",IF(AND(BG49="Yes",BH49="Yes",BI49="Yes",BJ49="Yes",BK49="Yes"),"Yes","No"))</f>
        <v/>
      </c>
      <c r="BM49" s="18" t="n"/>
      <c r="BN49" s="18" t="n"/>
      <c r="BO49" s="18">
        <f>IF(OR(BM49="",BN49=""),"",BM49+BN49)</f>
        <v/>
      </c>
      <c r="BP49" s="18" t="n"/>
      <c r="BQ49" s="18">
        <f>IF(OR(BP49="",BO49=""),"",BP49-BO49)</f>
        <v/>
      </c>
      <c r="BR49" s="19">
        <f>IF(OR(BP49="",BP49=0,BQ49=""),"",BQ49/BP49)</f>
        <v/>
      </c>
      <c r="BS49" s="17" t="n"/>
      <c r="BT49" s="22" t="n"/>
      <c r="BU49" s="22" t="n"/>
      <c r="BV49" s="16" t="n"/>
      <c r="BW49" s="16" t="n"/>
      <c r="BX49" s="22">
        <f>IF(OR(BT49="",BU49=""),"",BT49-BU49)</f>
        <v/>
      </c>
      <c r="BY49" s="16" t="n"/>
      <c r="BZ49" s="17" t="n"/>
      <c r="CA49" s="16" t="n"/>
      <c r="CB49" s="16" t="n"/>
    </row>
    <row r="50">
      <c r="A50" s="23">
        <f>IF(C50="","","AYN-"&amp;IFERROR(VLOOKUP(E50,CATEGORY_PREFIX_TABLE,2,FALSE),"OTH")&amp;"-"&amp;TEXT(ROW()-2,"0000"))</f>
        <v/>
      </c>
      <c r="B50" s="24" t="n"/>
      <c r="C50" s="23" t="n"/>
      <c r="D50" s="23" t="n"/>
      <c r="E50" s="23" t="n"/>
      <c r="F50" s="23" t="n"/>
      <c r="G50" s="23" t="n"/>
      <c r="H50" s="23" t="n"/>
      <c r="I50" s="23" t="n"/>
      <c r="J50" s="23" t="n"/>
      <c r="K50" s="25">
        <f>IF(I50="","",IF(J50="BDT",I50,IF(J50="USD",I50*USD_BDT,IF(J50="RMB",I50*RMB_BDT,""))))</f>
        <v/>
      </c>
      <c r="L50" s="25" t="n"/>
      <c r="M50" s="26" t="n"/>
      <c r="N50" s="25" t="n"/>
      <c r="O50" s="25">
        <f>IF(K50="","",K50+IFERROR(L50,0)+(K50*IF(M50="",CUSTOMS_PCT,M50))+IF(N50="",MISC_FEE,N50))</f>
        <v/>
      </c>
      <c r="P50" s="25">
        <f>IF(O50="","",ROUND(O50*(1+MARKUP_PCT),-1)-1)</f>
        <v/>
      </c>
      <c r="Q50" s="25">
        <f>IF(P50="","",P50-O50)</f>
        <v/>
      </c>
      <c r="R50" s="26">
        <f>IF(OR(P50="",P50=0),"",Q50/P50)</f>
        <v/>
      </c>
      <c r="S50" s="23" t="n"/>
      <c r="T50" s="23" t="n"/>
      <c r="U50" s="23" t="n"/>
      <c r="V50" s="23" t="n"/>
      <c r="W50" s="23" t="n"/>
      <c r="X50" s="23" t="n"/>
      <c r="Y50" s="23" t="n"/>
      <c r="Z50" s="23" t="n"/>
      <c r="AA50" s="23" t="n"/>
      <c r="AB50" s="23" t="n"/>
      <c r="AC50" s="27">
        <f>IF(COUNT(S50:AB50)&lt;10,"",(S50*W_FEMININE+T50*W_TREND+U50*W_AESTHETIC+V50*W_STYLE+W50*W_LIGHT+X50*W_REELS+Y50*W_GIFT+Z50*W_PRICEFIT+AA50*W_DEMAND+AB50*W_QUALITY)/5*100)</f>
        <v/>
      </c>
      <c r="AD50" s="23">
        <f>IF(P50="","",IF(P50&gt;HARD_REJECT_PRICE,"Reject",IF(P50&gt;MAX_PRICE,"Price Review",IF(AC50="","",IF(AND(AC50&gt;=BUY_THRESHOLD,OR(AB50&lt;=2,U50&lt;=2)),"Maybe",IF(AC50&gt;=BUY_THRESHOLD,"Buy",IF(AC50&gt;=MAYBE_THRESHOLD,"Maybe","Reject")))))))</f>
        <v/>
      </c>
      <c r="AE50" s="23" t="n"/>
      <c r="AF50" s="23" t="n"/>
      <c r="AG50" s="23" t="n"/>
      <c r="AH50" s="23" t="n"/>
      <c r="AI50" s="24" t="n"/>
      <c r="AJ50">
        <f>IF(AC50="",-9999-ROW()*0.0000001,AC50-ROW()*0.0000001)</f>
        <v/>
      </c>
      <c r="AK50">
        <f>IF(OR(AC50="",P50="",P50&gt;MAX_PRICE),-9999-ROW()*0.0000001,AC50-ROW()*0.0000001)</f>
        <v/>
      </c>
      <c r="AL50">
        <f>IF(AC50="",-9999-ROW()*0.0000001,X50*1000+AC50-ROW()*0.0000001)</f>
        <v/>
      </c>
      <c r="AM50">
        <f>IF(AC50="",-9999-ROW()*0.0000001,Y50*1000+AC50-ROW()*0.0000001)</f>
        <v/>
      </c>
      <c r="AN50">
        <f>IF(AND(OR(AD50="Maybe",AD50="Price Review"),AG50&lt;&gt;"Approved",AG50&lt;&gt;"Rejected"),IF(AC50="",0,AC50)-ROW()*0.0000001,-9999-ROW()*0.0000001)</f>
        <v/>
      </c>
      <c r="AO50" s="28" t="n"/>
      <c r="AP50" s="28" t="n"/>
      <c r="AQ50" s="29" t="n"/>
      <c r="AR50" s="29" t="n"/>
      <c r="AS50" s="23" t="n"/>
      <c r="AT50" s="29" t="n"/>
      <c r="AU50" s="29" t="n"/>
      <c r="AV50" s="29" t="n"/>
      <c r="AW50" s="25">
        <f>IF(OR(O50="",AV50=""),"",O50*AV50)</f>
        <v/>
      </c>
      <c r="AX50" s="23" t="n"/>
      <c r="AY50" s="23" t="n"/>
      <c r="AZ50" s="23" t="n"/>
      <c r="BA50" s="23" t="n"/>
      <c r="BB50" s="23" t="n"/>
      <c r="BC50" s="25" t="n"/>
      <c r="BD50" s="23" t="n"/>
      <c r="BE50" s="23">
        <f>IF(C50="","",IF(AND(ISNUMBER(P50),P50&gt;MAX_PRICE),"Price too high",IF(AND(ISNUMBER(AB50),AB50&lt;=2),"Quality risk",IF(AND(ISNUMBER(U50),U50&lt;=2),"Aesthetic mismatch",IF(AY50="High","Too fragile",IF(AND(ISNUMBER(R50),R50&lt;LOW_PROFIT_PCT),"Low profit",IF(AND(ISNUMBER(AT50),AT50&gt;MOQ_WARNING),"MOQ too high",IF(OR(AD50="Maybe",AD50="Price Review"),"Needs partner review",IF(AD50="Buy","Good candidate","")))))))))</f>
        <v/>
      </c>
      <c r="BF50" s="23" t="n"/>
      <c r="BG50" s="23" t="n"/>
      <c r="BH50" s="23" t="n"/>
      <c r="BI50" s="23" t="n"/>
      <c r="BJ50" s="23" t="n"/>
      <c r="BK50" s="23" t="n"/>
      <c r="BL50" s="23">
        <f>IF(C50="","",IF(AND(BG50="Yes",BH50="Yes",BI50="Yes",BJ50="Yes",BK50="Yes"),"Yes","No"))</f>
        <v/>
      </c>
      <c r="BM50" s="25" t="n"/>
      <c r="BN50" s="25" t="n"/>
      <c r="BO50" s="25">
        <f>IF(OR(BM50="",BN50=""),"",BM50+BN50)</f>
        <v/>
      </c>
      <c r="BP50" s="25" t="n"/>
      <c r="BQ50" s="25">
        <f>IF(OR(BP50="",BO50=""),"",BP50-BO50)</f>
        <v/>
      </c>
      <c r="BR50" s="26">
        <f>IF(OR(BP50="",BP50=0,BQ50=""),"",BQ50/BP50)</f>
        <v/>
      </c>
      <c r="BS50" s="24" t="n"/>
      <c r="BT50" s="29" t="n"/>
      <c r="BU50" s="29" t="n"/>
      <c r="BV50" s="23" t="n"/>
      <c r="BW50" s="23" t="n"/>
      <c r="BX50" s="29">
        <f>IF(OR(BT50="",BU50=""),"",BT50-BU50)</f>
        <v/>
      </c>
      <c r="BY50" s="23" t="n"/>
      <c r="BZ50" s="24" t="n"/>
      <c r="CA50" s="23" t="n"/>
      <c r="CB50" s="23" t="n"/>
    </row>
    <row r="51">
      <c r="A51" s="16">
        <f>IF(C51="","","AYN-"&amp;IFERROR(VLOOKUP(E51,CATEGORY_PREFIX_TABLE,2,FALSE),"OTH")&amp;"-"&amp;TEXT(ROW()-2,"0000"))</f>
        <v/>
      </c>
      <c r="B51" s="17" t="n"/>
      <c r="C51" s="16" t="n"/>
      <c r="D51" s="16" t="n"/>
      <c r="E51" s="16" t="n"/>
      <c r="F51" s="16" t="n"/>
      <c r="G51" s="16" t="n"/>
      <c r="H51" s="16" t="n"/>
      <c r="I51" s="16" t="n"/>
      <c r="J51" s="16" t="n"/>
      <c r="K51" s="18">
        <f>IF(I51="","",IF(J51="BDT",I51,IF(J51="USD",I51*USD_BDT,IF(J51="RMB",I51*RMB_BDT,""))))</f>
        <v/>
      </c>
      <c r="L51" s="18" t="n"/>
      <c r="M51" s="19" t="n"/>
      <c r="N51" s="18" t="n"/>
      <c r="O51" s="18">
        <f>IF(K51="","",K51+IFERROR(L51,0)+(K51*IF(M51="",CUSTOMS_PCT,M51))+IF(N51="",MISC_FEE,N51))</f>
        <v/>
      </c>
      <c r="P51" s="18">
        <f>IF(O51="","",ROUND(O51*(1+MARKUP_PCT),-1)-1)</f>
        <v/>
      </c>
      <c r="Q51" s="18">
        <f>IF(P51="","",P51-O51)</f>
        <v/>
      </c>
      <c r="R51" s="19">
        <f>IF(OR(P51="",P51=0),"",Q51/P51)</f>
        <v/>
      </c>
      <c r="S51" s="16" t="n"/>
      <c r="T51" s="16" t="n"/>
      <c r="U51" s="16" t="n"/>
      <c r="V51" s="16" t="n"/>
      <c r="W51" s="16" t="n"/>
      <c r="X51" s="16" t="n"/>
      <c r="Y51" s="16" t="n"/>
      <c r="Z51" s="16" t="n"/>
      <c r="AA51" s="16" t="n"/>
      <c r="AB51" s="16" t="n"/>
      <c r="AC51" s="20">
        <f>IF(COUNT(S51:AB51)&lt;10,"",(S51*W_FEMININE+T51*W_TREND+U51*W_AESTHETIC+V51*W_STYLE+W51*W_LIGHT+X51*W_REELS+Y51*W_GIFT+Z51*W_PRICEFIT+AA51*W_DEMAND+AB51*W_QUALITY)/5*100)</f>
        <v/>
      </c>
      <c r="AD51" s="16">
        <f>IF(P51="","",IF(P51&gt;HARD_REJECT_PRICE,"Reject",IF(P51&gt;MAX_PRICE,"Price Review",IF(AC51="","",IF(AND(AC51&gt;=BUY_THRESHOLD,OR(AB51&lt;=2,U51&lt;=2)),"Maybe",IF(AC51&gt;=BUY_THRESHOLD,"Buy",IF(AC51&gt;=MAYBE_THRESHOLD,"Maybe","Reject")))))))</f>
        <v/>
      </c>
      <c r="AE51" s="16" t="n"/>
      <c r="AF51" s="16" t="n"/>
      <c r="AG51" s="16" t="n"/>
      <c r="AH51" s="16" t="n"/>
      <c r="AI51" s="17" t="n"/>
      <c r="AJ51">
        <f>IF(AC51="",-9999-ROW()*0.0000001,AC51-ROW()*0.0000001)</f>
        <v/>
      </c>
      <c r="AK51">
        <f>IF(OR(AC51="",P51="",P51&gt;MAX_PRICE),-9999-ROW()*0.0000001,AC51-ROW()*0.0000001)</f>
        <v/>
      </c>
      <c r="AL51">
        <f>IF(AC51="",-9999-ROW()*0.0000001,X51*1000+AC51-ROW()*0.0000001)</f>
        <v/>
      </c>
      <c r="AM51">
        <f>IF(AC51="",-9999-ROW()*0.0000001,Y51*1000+AC51-ROW()*0.0000001)</f>
        <v/>
      </c>
      <c r="AN51">
        <f>IF(AND(OR(AD51="Maybe",AD51="Price Review"),AG51&lt;&gt;"Approved",AG51&lt;&gt;"Rejected"),IF(AC51="",0,AC51)-ROW()*0.0000001,-9999-ROW()*0.0000001)</f>
        <v/>
      </c>
      <c r="AO51" s="21" t="n"/>
      <c r="AP51" s="21" t="n"/>
      <c r="AQ51" s="22" t="n"/>
      <c r="AR51" s="22" t="n"/>
      <c r="AS51" s="16" t="n"/>
      <c r="AT51" s="22" t="n"/>
      <c r="AU51" s="22" t="n"/>
      <c r="AV51" s="22" t="n"/>
      <c r="AW51" s="18">
        <f>IF(OR(O51="",AV51=""),"",O51*AV51)</f>
        <v/>
      </c>
      <c r="AX51" s="16" t="n"/>
      <c r="AY51" s="16" t="n"/>
      <c r="AZ51" s="16" t="n"/>
      <c r="BA51" s="16" t="n"/>
      <c r="BB51" s="16" t="n"/>
      <c r="BC51" s="18" t="n"/>
      <c r="BD51" s="16" t="n"/>
      <c r="BE51" s="16">
        <f>IF(C51="","",IF(AND(ISNUMBER(P51),P51&gt;MAX_PRICE),"Price too high",IF(AND(ISNUMBER(AB51),AB51&lt;=2),"Quality risk",IF(AND(ISNUMBER(U51),U51&lt;=2),"Aesthetic mismatch",IF(AY51="High","Too fragile",IF(AND(ISNUMBER(R51),R51&lt;LOW_PROFIT_PCT),"Low profit",IF(AND(ISNUMBER(AT51),AT51&gt;MOQ_WARNING),"MOQ too high",IF(OR(AD51="Maybe",AD51="Price Review"),"Needs partner review",IF(AD51="Buy","Good candidate","")))))))))</f>
        <v/>
      </c>
      <c r="BF51" s="16" t="n"/>
      <c r="BG51" s="16" t="n"/>
      <c r="BH51" s="16" t="n"/>
      <c r="BI51" s="16" t="n"/>
      <c r="BJ51" s="16" t="n"/>
      <c r="BK51" s="16" t="n"/>
      <c r="BL51" s="16">
        <f>IF(C51="","",IF(AND(BG51="Yes",BH51="Yes",BI51="Yes",BJ51="Yes",BK51="Yes"),"Yes","No"))</f>
        <v/>
      </c>
      <c r="BM51" s="18" t="n"/>
      <c r="BN51" s="18" t="n"/>
      <c r="BO51" s="18">
        <f>IF(OR(BM51="",BN51=""),"",BM51+BN51)</f>
        <v/>
      </c>
      <c r="BP51" s="18" t="n"/>
      <c r="BQ51" s="18">
        <f>IF(OR(BP51="",BO51=""),"",BP51-BO51)</f>
        <v/>
      </c>
      <c r="BR51" s="19">
        <f>IF(OR(BP51="",BP51=0,BQ51=""),"",BQ51/BP51)</f>
        <v/>
      </c>
      <c r="BS51" s="17" t="n"/>
      <c r="BT51" s="22" t="n"/>
      <c r="BU51" s="22" t="n"/>
      <c r="BV51" s="16" t="n"/>
      <c r="BW51" s="16" t="n"/>
      <c r="BX51" s="22">
        <f>IF(OR(BT51="",BU51=""),"",BT51-BU51)</f>
        <v/>
      </c>
      <c r="BY51" s="16" t="n"/>
      <c r="BZ51" s="17" t="n"/>
      <c r="CA51" s="16" t="n"/>
      <c r="CB51" s="16" t="n"/>
    </row>
    <row r="52">
      <c r="A52" s="23">
        <f>IF(C52="","","AYN-"&amp;IFERROR(VLOOKUP(E52,CATEGORY_PREFIX_TABLE,2,FALSE),"OTH")&amp;"-"&amp;TEXT(ROW()-2,"0000"))</f>
        <v/>
      </c>
      <c r="B52" s="24" t="n"/>
      <c r="C52" s="23" t="n"/>
      <c r="D52" s="23" t="n"/>
      <c r="E52" s="23" t="n"/>
      <c r="F52" s="23" t="n"/>
      <c r="G52" s="23" t="n"/>
      <c r="H52" s="23" t="n"/>
      <c r="I52" s="23" t="n"/>
      <c r="J52" s="23" t="n"/>
      <c r="K52" s="25">
        <f>IF(I52="","",IF(J52="BDT",I52,IF(J52="USD",I52*USD_BDT,IF(J52="RMB",I52*RMB_BDT,""))))</f>
        <v/>
      </c>
      <c r="L52" s="25" t="n"/>
      <c r="M52" s="26" t="n"/>
      <c r="N52" s="25" t="n"/>
      <c r="O52" s="25">
        <f>IF(K52="","",K52+IFERROR(L52,0)+(K52*IF(M52="",CUSTOMS_PCT,M52))+IF(N52="",MISC_FEE,N52))</f>
        <v/>
      </c>
      <c r="P52" s="25">
        <f>IF(O52="","",ROUND(O52*(1+MARKUP_PCT),-1)-1)</f>
        <v/>
      </c>
      <c r="Q52" s="25">
        <f>IF(P52="","",P52-O52)</f>
        <v/>
      </c>
      <c r="R52" s="26">
        <f>IF(OR(P52="",P52=0),"",Q52/P52)</f>
        <v/>
      </c>
      <c r="S52" s="23" t="n"/>
      <c r="T52" s="23" t="n"/>
      <c r="U52" s="23" t="n"/>
      <c r="V52" s="23" t="n"/>
      <c r="W52" s="23" t="n"/>
      <c r="X52" s="23" t="n"/>
      <c r="Y52" s="23" t="n"/>
      <c r="Z52" s="23" t="n"/>
      <c r="AA52" s="23" t="n"/>
      <c r="AB52" s="23" t="n"/>
      <c r="AC52" s="27">
        <f>IF(COUNT(S52:AB52)&lt;10,"",(S52*W_FEMININE+T52*W_TREND+U52*W_AESTHETIC+V52*W_STYLE+W52*W_LIGHT+X52*W_REELS+Y52*W_GIFT+Z52*W_PRICEFIT+AA52*W_DEMAND+AB52*W_QUALITY)/5*100)</f>
        <v/>
      </c>
      <c r="AD52" s="23">
        <f>IF(P52="","",IF(P52&gt;HARD_REJECT_PRICE,"Reject",IF(P52&gt;MAX_PRICE,"Price Review",IF(AC52="","",IF(AND(AC52&gt;=BUY_THRESHOLD,OR(AB52&lt;=2,U52&lt;=2)),"Maybe",IF(AC52&gt;=BUY_THRESHOLD,"Buy",IF(AC52&gt;=MAYBE_THRESHOLD,"Maybe","Reject")))))))</f>
        <v/>
      </c>
      <c r="AE52" s="23" t="n"/>
      <c r="AF52" s="23" t="n"/>
      <c r="AG52" s="23" t="n"/>
      <c r="AH52" s="23" t="n"/>
      <c r="AI52" s="24" t="n"/>
      <c r="AJ52">
        <f>IF(AC52="",-9999-ROW()*0.0000001,AC52-ROW()*0.0000001)</f>
        <v/>
      </c>
      <c r="AK52">
        <f>IF(OR(AC52="",P52="",P52&gt;MAX_PRICE),-9999-ROW()*0.0000001,AC52-ROW()*0.0000001)</f>
        <v/>
      </c>
      <c r="AL52">
        <f>IF(AC52="",-9999-ROW()*0.0000001,X52*1000+AC52-ROW()*0.0000001)</f>
        <v/>
      </c>
      <c r="AM52">
        <f>IF(AC52="",-9999-ROW()*0.0000001,Y52*1000+AC52-ROW()*0.0000001)</f>
        <v/>
      </c>
      <c r="AN52">
        <f>IF(AND(OR(AD52="Maybe",AD52="Price Review"),AG52&lt;&gt;"Approved",AG52&lt;&gt;"Rejected"),IF(AC52="",0,AC52)-ROW()*0.0000001,-9999-ROW()*0.0000001)</f>
        <v/>
      </c>
      <c r="AO52" s="28" t="n"/>
      <c r="AP52" s="28" t="n"/>
      <c r="AQ52" s="29" t="n"/>
      <c r="AR52" s="29" t="n"/>
      <c r="AS52" s="23" t="n"/>
      <c r="AT52" s="29" t="n"/>
      <c r="AU52" s="29" t="n"/>
      <c r="AV52" s="29" t="n"/>
      <c r="AW52" s="25">
        <f>IF(OR(O52="",AV52=""),"",O52*AV52)</f>
        <v/>
      </c>
      <c r="AX52" s="23" t="n"/>
      <c r="AY52" s="23" t="n"/>
      <c r="AZ52" s="23" t="n"/>
      <c r="BA52" s="23" t="n"/>
      <c r="BB52" s="23" t="n"/>
      <c r="BC52" s="25" t="n"/>
      <c r="BD52" s="23" t="n"/>
      <c r="BE52" s="23">
        <f>IF(C52="","",IF(AND(ISNUMBER(P52),P52&gt;MAX_PRICE),"Price too high",IF(AND(ISNUMBER(AB52),AB52&lt;=2),"Quality risk",IF(AND(ISNUMBER(U52),U52&lt;=2),"Aesthetic mismatch",IF(AY52="High","Too fragile",IF(AND(ISNUMBER(R52),R52&lt;LOW_PROFIT_PCT),"Low profit",IF(AND(ISNUMBER(AT52),AT52&gt;MOQ_WARNING),"MOQ too high",IF(OR(AD52="Maybe",AD52="Price Review"),"Needs partner review",IF(AD52="Buy","Good candidate","")))))))))</f>
        <v/>
      </c>
      <c r="BF52" s="23" t="n"/>
      <c r="BG52" s="23" t="n"/>
      <c r="BH52" s="23" t="n"/>
      <c r="BI52" s="23" t="n"/>
      <c r="BJ52" s="23" t="n"/>
      <c r="BK52" s="23" t="n"/>
      <c r="BL52" s="23">
        <f>IF(C52="","",IF(AND(BG52="Yes",BH52="Yes",BI52="Yes",BJ52="Yes",BK52="Yes"),"Yes","No"))</f>
        <v/>
      </c>
      <c r="BM52" s="25" t="n"/>
      <c r="BN52" s="25" t="n"/>
      <c r="BO52" s="25">
        <f>IF(OR(BM52="",BN52=""),"",BM52+BN52)</f>
        <v/>
      </c>
      <c r="BP52" s="25" t="n"/>
      <c r="BQ52" s="25">
        <f>IF(OR(BP52="",BO52=""),"",BP52-BO52)</f>
        <v/>
      </c>
      <c r="BR52" s="26">
        <f>IF(OR(BP52="",BP52=0,BQ52=""),"",BQ52/BP52)</f>
        <v/>
      </c>
      <c r="BS52" s="24" t="n"/>
      <c r="BT52" s="29" t="n"/>
      <c r="BU52" s="29" t="n"/>
      <c r="BV52" s="23" t="n"/>
      <c r="BW52" s="23" t="n"/>
      <c r="BX52" s="29">
        <f>IF(OR(BT52="",BU52=""),"",BT52-BU52)</f>
        <v/>
      </c>
      <c r="BY52" s="23" t="n"/>
      <c r="BZ52" s="24" t="n"/>
      <c r="CA52" s="23" t="n"/>
      <c r="CB52" s="23" t="n"/>
    </row>
    <row r="53">
      <c r="A53" s="16">
        <f>IF(C53="","","AYN-"&amp;IFERROR(VLOOKUP(E53,CATEGORY_PREFIX_TABLE,2,FALSE),"OTH")&amp;"-"&amp;TEXT(ROW()-2,"0000"))</f>
        <v/>
      </c>
      <c r="B53" s="17" t="n"/>
      <c r="C53" s="16" t="n"/>
      <c r="D53" s="16" t="n"/>
      <c r="E53" s="16" t="n"/>
      <c r="F53" s="16" t="n"/>
      <c r="G53" s="16" t="n"/>
      <c r="H53" s="16" t="n"/>
      <c r="I53" s="16" t="n"/>
      <c r="J53" s="16" t="n"/>
      <c r="K53" s="18">
        <f>IF(I53="","",IF(J53="BDT",I53,IF(J53="USD",I53*USD_BDT,IF(J53="RMB",I53*RMB_BDT,""))))</f>
        <v/>
      </c>
      <c r="L53" s="18" t="n"/>
      <c r="M53" s="19" t="n"/>
      <c r="N53" s="18" t="n"/>
      <c r="O53" s="18">
        <f>IF(K53="","",K53+IFERROR(L53,0)+(K53*IF(M53="",CUSTOMS_PCT,M53))+IF(N53="",MISC_FEE,N53))</f>
        <v/>
      </c>
      <c r="P53" s="18">
        <f>IF(O53="","",ROUND(O53*(1+MARKUP_PCT),-1)-1)</f>
        <v/>
      </c>
      <c r="Q53" s="18">
        <f>IF(P53="","",P53-O53)</f>
        <v/>
      </c>
      <c r="R53" s="19">
        <f>IF(OR(P53="",P53=0),"",Q53/P53)</f>
        <v/>
      </c>
      <c r="S53" s="16" t="n"/>
      <c r="T53" s="16" t="n"/>
      <c r="U53" s="16" t="n"/>
      <c r="V53" s="16" t="n"/>
      <c r="W53" s="16" t="n"/>
      <c r="X53" s="16" t="n"/>
      <c r="Y53" s="16" t="n"/>
      <c r="Z53" s="16" t="n"/>
      <c r="AA53" s="16" t="n"/>
      <c r="AB53" s="16" t="n"/>
      <c r="AC53" s="20">
        <f>IF(COUNT(S53:AB53)&lt;10,"",(S53*W_FEMININE+T53*W_TREND+U53*W_AESTHETIC+V53*W_STYLE+W53*W_LIGHT+X53*W_REELS+Y53*W_GIFT+Z53*W_PRICEFIT+AA53*W_DEMAND+AB53*W_QUALITY)/5*100)</f>
        <v/>
      </c>
      <c r="AD53" s="16">
        <f>IF(P53="","",IF(P53&gt;HARD_REJECT_PRICE,"Reject",IF(P53&gt;MAX_PRICE,"Price Review",IF(AC53="","",IF(AND(AC53&gt;=BUY_THRESHOLD,OR(AB53&lt;=2,U53&lt;=2)),"Maybe",IF(AC53&gt;=BUY_THRESHOLD,"Buy",IF(AC53&gt;=MAYBE_THRESHOLD,"Maybe","Reject")))))))</f>
        <v/>
      </c>
      <c r="AE53" s="16" t="n"/>
      <c r="AF53" s="16" t="n"/>
      <c r="AG53" s="16" t="n"/>
      <c r="AH53" s="16" t="n"/>
      <c r="AI53" s="17" t="n"/>
      <c r="AJ53">
        <f>IF(AC53="",-9999-ROW()*0.0000001,AC53-ROW()*0.0000001)</f>
        <v/>
      </c>
      <c r="AK53">
        <f>IF(OR(AC53="",P53="",P53&gt;MAX_PRICE),-9999-ROW()*0.0000001,AC53-ROW()*0.0000001)</f>
        <v/>
      </c>
      <c r="AL53">
        <f>IF(AC53="",-9999-ROW()*0.0000001,X53*1000+AC53-ROW()*0.0000001)</f>
        <v/>
      </c>
      <c r="AM53">
        <f>IF(AC53="",-9999-ROW()*0.0000001,Y53*1000+AC53-ROW()*0.0000001)</f>
        <v/>
      </c>
      <c r="AN53">
        <f>IF(AND(OR(AD53="Maybe",AD53="Price Review"),AG53&lt;&gt;"Approved",AG53&lt;&gt;"Rejected"),IF(AC53="",0,AC53)-ROW()*0.0000001,-9999-ROW()*0.0000001)</f>
        <v/>
      </c>
      <c r="AO53" s="21" t="n"/>
      <c r="AP53" s="21" t="n"/>
      <c r="AQ53" s="22" t="n"/>
      <c r="AR53" s="22" t="n"/>
      <c r="AS53" s="16" t="n"/>
      <c r="AT53" s="22" t="n"/>
      <c r="AU53" s="22" t="n"/>
      <c r="AV53" s="22" t="n"/>
      <c r="AW53" s="18">
        <f>IF(OR(O53="",AV53=""),"",O53*AV53)</f>
        <v/>
      </c>
      <c r="AX53" s="16" t="n"/>
      <c r="AY53" s="16" t="n"/>
      <c r="AZ53" s="16" t="n"/>
      <c r="BA53" s="16" t="n"/>
      <c r="BB53" s="16" t="n"/>
      <c r="BC53" s="18" t="n"/>
      <c r="BD53" s="16" t="n"/>
      <c r="BE53" s="16">
        <f>IF(C53="","",IF(AND(ISNUMBER(P53),P53&gt;MAX_PRICE),"Price too high",IF(AND(ISNUMBER(AB53),AB53&lt;=2),"Quality risk",IF(AND(ISNUMBER(U53),U53&lt;=2),"Aesthetic mismatch",IF(AY53="High","Too fragile",IF(AND(ISNUMBER(R53),R53&lt;LOW_PROFIT_PCT),"Low profit",IF(AND(ISNUMBER(AT53),AT53&gt;MOQ_WARNING),"MOQ too high",IF(OR(AD53="Maybe",AD53="Price Review"),"Needs partner review",IF(AD53="Buy","Good candidate","")))))))))</f>
        <v/>
      </c>
      <c r="BF53" s="16" t="n"/>
      <c r="BG53" s="16" t="n"/>
      <c r="BH53" s="16" t="n"/>
      <c r="BI53" s="16" t="n"/>
      <c r="BJ53" s="16" t="n"/>
      <c r="BK53" s="16" t="n"/>
      <c r="BL53" s="16">
        <f>IF(C53="","",IF(AND(BG53="Yes",BH53="Yes",BI53="Yes",BJ53="Yes",BK53="Yes"),"Yes","No"))</f>
        <v/>
      </c>
      <c r="BM53" s="18" t="n"/>
      <c r="BN53" s="18" t="n"/>
      <c r="BO53" s="18">
        <f>IF(OR(BM53="",BN53=""),"",BM53+BN53)</f>
        <v/>
      </c>
      <c r="BP53" s="18" t="n"/>
      <c r="BQ53" s="18">
        <f>IF(OR(BP53="",BO53=""),"",BP53-BO53)</f>
        <v/>
      </c>
      <c r="BR53" s="19">
        <f>IF(OR(BP53="",BP53=0,BQ53=""),"",BQ53/BP53)</f>
        <v/>
      </c>
      <c r="BS53" s="17" t="n"/>
      <c r="BT53" s="22" t="n"/>
      <c r="BU53" s="22" t="n"/>
      <c r="BV53" s="16" t="n"/>
      <c r="BW53" s="16" t="n"/>
      <c r="BX53" s="22">
        <f>IF(OR(BT53="",BU53=""),"",BT53-BU53)</f>
        <v/>
      </c>
      <c r="BY53" s="16" t="n"/>
      <c r="BZ53" s="17" t="n"/>
      <c r="CA53" s="16" t="n"/>
      <c r="CB53" s="16" t="n"/>
    </row>
    <row r="54">
      <c r="A54" s="23">
        <f>IF(C54="","","AYN-"&amp;IFERROR(VLOOKUP(E54,CATEGORY_PREFIX_TABLE,2,FALSE),"OTH")&amp;"-"&amp;TEXT(ROW()-2,"0000"))</f>
        <v/>
      </c>
      <c r="B54" s="24" t="n"/>
      <c r="C54" s="23" t="n"/>
      <c r="D54" s="23" t="n"/>
      <c r="E54" s="23" t="n"/>
      <c r="F54" s="23" t="n"/>
      <c r="G54" s="23" t="n"/>
      <c r="H54" s="23" t="n"/>
      <c r="I54" s="23" t="n"/>
      <c r="J54" s="23" t="n"/>
      <c r="K54" s="25">
        <f>IF(I54="","",IF(J54="BDT",I54,IF(J54="USD",I54*USD_BDT,IF(J54="RMB",I54*RMB_BDT,""))))</f>
        <v/>
      </c>
      <c r="L54" s="25" t="n"/>
      <c r="M54" s="26" t="n"/>
      <c r="N54" s="25" t="n"/>
      <c r="O54" s="25">
        <f>IF(K54="","",K54+IFERROR(L54,0)+(K54*IF(M54="",CUSTOMS_PCT,M54))+IF(N54="",MISC_FEE,N54))</f>
        <v/>
      </c>
      <c r="P54" s="25">
        <f>IF(O54="","",ROUND(O54*(1+MARKUP_PCT),-1)-1)</f>
        <v/>
      </c>
      <c r="Q54" s="25">
        <f>IF(P54="","",P54-O54)</f>
        <v/>
      </c>
      <c r="R54" s="26">
        <f>IF(OR(P54="",P54=0),"",Q54/P54)</f>
        <v/>
      </c>
      <c r="S54" s="23" t="n"/>
      <c r="T54" s="23" t="n"/>
      <c r="U54" s="23" t="n"/>
      <c r="V54" s="23" t="n"/>
      <c r="W54" s="23" t="n"/>
      <c r="X54" s="23" t="n"/>
      <c r="Y54" s="23" t="n"/>
      <c r="Z54" s="23" t="n"/>
      <c r="AA54" s="23" t="n"/>
      <c r="AB54" s="23" t="n"/>
      <c r="AC54" s="27">
        <f>IF(COUNT(S54:AB54)&lt;10,"",(S54*W_FEMININE+T54*W_TREND+U54*W_AESTHETIC+V54*W_STYLE+W54*W_LIGHT+X54*W_REELS+Y54*W_GIFT+Z54*W_PRICEFIT+AA54*W_DEMAND+AB54*W_QUALITY)/5*100)</f>
        <v/>
      </c>
      <c r="AD54" s="23">
        <f>IF(P54="","",IF(P54&gt;HARD_REJECT_PRICE,"Reject",IF(P54&gt;MAX_PRICE,"Price Review",IF(AC54="","",IF(AND(AC54&gt;=BUY_THRESHOLD,OR(AB54&lt;=2,U54&lt;=2)),"Maybe",IF(AC54&gt;=BUY_THRESHOLD,"Buy",IF(AC54&gt;=MAYBE_THRESHOLD,"Maybe","Reject")))))))</f>
        <v/>
      </c>
      <c r="AE54" s="23" t="n"/>
      <c r="AF54" s="23" t="n"/>
      <c r="AG54" s="23" t="n"/>
      <c r="AH54" s="23" t="n"/>
      <c r="AI54" s="24" t="n"/>
      <c r="AJ54">
        <f>IF(AC54="",-9999-ROW()*0.0000001,AC54-ROW()*0.0000001)</f>
        <v/>
      </c>
      <c r="AK54">
        <f>IF(OR(AC54="",P54="",P54&gt;MAX_PRICE),-9999-ROW()*0.0000001,AC54-ROW()*0.0000001)</f>
        <v/>
      </c>
      <c r="AL54">
        <f>IF(AC54="",-9999-ROW()*0.0000001,X54*1000+AC54-ROW()*0.0000001)</f>
        <v/>
      </c>
      <c r="AM54">
        <f>IF(AC54="",-9999-ROW()*0.0000001,Y54*1000+AC54-ROW()*0.0000001)</f>
        <v/>
      </c>
      <c r="AN54">
        <f>IF(AND(OR(AD54="Maybe",AD54="Price Review"),AG54&lt;&gt;"Approved",AG54&lt;&gt;"Rejected"),IF(AC54="",0,AC54)-ROW()*0.0000001,-9999-ROW()*0.0000001)</f>
        <v/>
      </c>
      <c r="AO54" s="28" t="n"/>
      <c r="AP54" s="28" t="n"/>
      <c r="AQ54" s="29" t="n"/>
      <c r="AR54" s="29" t="n"/>
      <c r="AS54" s="23" t="n"/>
      <c r="AT54" s="29" t="n"/>
      <c r="AU54" s="29" t="n"/>
      <c r="AV54" s="29" t="n"/>
      <c r="AW54" s="25">
        <f>IF(OR(O54="",AV54=""),"",O54*AV54)</f>
        <v/>
      </c>
      <c r="AX54" s="23" t="n"/>
      <c r="AY54" s="23" t="n"/>
      <c r="AZ54" s="23" t="n"/>
      <c r="BA54" s="23" t="n"/>
      <c r="BB54" s="23" t="n"/>
      <c r="BC54" s="25" t="n"/>
      <c r="BD54" s="23" t="n"/>
      <c r="BE54" s="23">
        <f>IF(C54="","",IF(AND(ISNUMBER(P54),P54&gt;MAX_PRICE),"Price too high",IF(AND(ISNUMBER(AB54),AB54&lt;=2),"Quality risk",IF(AND(ISNUMBER(U54),U54&lt;=2),"Aesthetic mismatch",IF(AY54="High","Too fragile",IF(AND(ISNUMBER(R54),R54&lt;LOW_PROFIT_PCT),"Low profit",IF(AND(ISNUMBER(AT54),AT54&gt;MOQ_WARNING),"MOQ too high",IF(OR(AD54="Maybe",AD54="Price Review"),"Needs partner review",IF(AD54="Buy","Good candidate","")))))))))</f>
        <v/>
      </c>
      <c r="BF54" s="23" t="n"/>
      <c r="BG54" s="23" t="n"/>
      <c r="BH54" s="23" t="n"/>
      <c r="BI54" s="23" t="n"/>
      <c r="BJ54" s="23" t="n"/>
      <c r="BK54" s="23" t="n"/>
      <c r="BL54" s="23">
        <f>IF(C54="","",IF(AND(BG54="Yes",BH54="Yes",BI54="Yes",BJ54="Yes",BK54="Yes"),"Yes","No"))</f>
        <v/>
      </c>
      <c r="BM54" s="25" t="n"/>
      <c r="BN54" s="25" t="n"/>
      <c r="BO54" s="25">
        <f>IF(OR(BM54="",BN54=""),"",BM54+BN54)</f>
        <v/>
      </c>
      <c r="BP54" s="25" t="n"/>
      <c r="BQ54" s="25">
        <f>IF(OR(BP54="",BO54=""),"",BP54-BO54)</f>
        <v/>
      </c>
      <c r="BR54" s="26">
        <f>IF(OR(BP54="",BP54=0,BQ54=""),"",BQ54/BP54)</f>
        <v/>
      </c>
      <c r="BS54" s="24" t="n"/>
      <c r="BT54" s="29" t="n"/>
      <c r="BU54" s="29" t="n"/>
      <c r="BV54" s="23" t="n"/>
      <c r="BW54" s="23" t="n"/>
      <c r="BX54" s="29">
        <f>IF(OR(BT54="",BU54=""),"",BT54-BU54)</f>
        <v/>
      </c>
      <c r="BY54" s="23" t="n"/>
      <c r="BZ54" s="24" t="n"/>
      <c r="CA54" s="23" t="n"/>
      <c r="CB54" s="23" t="n"/>
    </row>
    <row r="55">
      <c r="A55" s="16">
        <f>IF(C55="","","AYN-"&amp;IFERROR(VLOOKUP(E55,CATEGORY_PREFIX_TABLE,2,FALSE),"OTH")&amp;"-"&amp;TEXT(ROW()-2,"0000"))</f>
        <v/>
      </c>
      <c r="B55" s="17" t="n"/>
      <c r="C55" s="16" t="n"/>
      <c r="D55" s="16" t="n"/>
      <c r="E55" s="16" t="n"/>
      <c r="F55" s="16" t="n"/>
      <c r="G55" s="16" t="n"/>
      <c r="H55" s="16" t="n"/>
      <c r="I55" s="16" t="n"/>
      <c r="J55" s="16" t="n"/>
      <c r="K55" s="18">
        <f>IF(I55="","",IF(J55="BDT",I55,IF(J55="USD",I55*USD_BDT,IF(J55="RMB",I55*RMB_BDT,""))))</f>
        <v/>
      </c>
      <c r="L55" s="18" t="n"/>
      <c r="M55" s="19" t="n"/>
      <c r="N55" s="18" t="n"/>
      <c r="O55" s="18">
        <f>IF(K55="","",K55+IFERROR(L55,0)+(K55*IF(M55="",CUSTOMS_PCT,M55))+IF(N55="",MISC_FEE,N55))</f>
        <v/>
      </c>
      <c r="P55" s="18">
        <f>IF(O55="","",ROUND(O55*(1+MARKUP_PCT),-1)-1)</f>
        <v/>
      </c>
      <c r="Q55" s="18">
        <f>IF(P55="","",P55-O55)</f>
        <v/>
      </c>
      <c r="R55" s="19">
        <f>IF(OR(P55="",P55=0),"",Q55/P55)</f>
        <v/>
      </c>
      <c r="S55" s="16" t="n"/>
      <c r="T55" s="16" t="n"/>
      <c r="U55" s="16" t="n"/>
      <c r="V55" s="16" t="n"/>
      <c r="W55" s="16" t="n"/>
      <c r="X55" s="16" t="n"/>
      <c r="Y55" s="16" t="n"/>
      <c r="Z55" s="16" t="n"/>
      <c r="AA55" s="16" t="n"/>
      <c r="AB55" s="16" t="n"/>
      <c r="AC55" s="20">
        <f>IF(COUNT(S55:AB55)&lt;10,"",(S55*W_FEMININE+T55*W_TREND+U55*W_AESTHETIC+V55*W_STYLE+W55*W_LIGHT+X55*W_REELS+Y55*W_GIFT+Z55*W_PRICEFIT+AA55*W_DEMAND+AB55*W_QUALITY)/5*100)</f>
        <v/>
      </c>
      <c r="AD55" s="16">
        <f>IF(P55="","",IF(P55&gt;HARD_REJECT_PRICE,"Reject",IF(P55&gt;MAX_PRICE,"Price Review",IF(AC55="","",IF(AND(AC55&gt;=BUY_THRESHOLD,OR(AB55&lt;=2,U55&lt;=2)),"Maybe",IF(AC55&gt;=BUY_THRESHOLD,"Buy",IF(AC55&gt;=MAYBE_THRESHOLD,"Maybe","Reject")))))))</f>
        <v/>
      </c>
      <c r="AE55" s="16" t="n"/>
      <c r="AF55" s="16" t="n"/>
      <c r="AG55" s="16" t="n"/>
      <c r="AH55" s="16" t="n"/>
      <c r="AI55" s="17" t="n"/>
      <c r="AJ55">
        <f>IF(AC55="",-9999-ROW()*0.0000001,AC55-ROW()*0.0000001)</f>
        <v/>
      </c>
      <c r="AK55">
        <f>IF(OR(AC55="",P55="",P55&gt;MAX_PRICE),-9999-ROW()*0.0000001,AC55-ROW()*0.0000001)</f>
        <v/>
      </c>
      <c r="AL55">
        <f>IF(AC55="",-9999-ROW()*0.0000001,X55*1000+AC55-ROW()*0.0000001)</f>
        <v/>
      </c>
      <c r="AM55">
        <f>IF(AC55="",-9999-ROW()*0.0000001,Y55*1000+AC55-ROW()*0.0000001)</f>
        <v/>
      </c>
      <c r="AN55">
        <f>IF(AND(OR(AD55="Maybe",AD55="Price Review"),AG55&lt;&gt;"Approved",AG55&lt;&gt;"Rejected"),IF(AC55="",0,AC55)-ROW()*0.0000001,-9999-ROW()*0.0000001)</f>
        <v/>
      </c>
      <c r="AO55" s="21" t="n"/>
      <c r="AP55" s="21" t="n"/>
      <c r="AQ55" s="22" t="n"/>
      <c r="AR55" s="22" t="n"/>
      <c r="AS55" s="16" t="n"/>
      <c r="AT55" s="22" t="n"/>
      <c r="AU55" s="22" t="n"/>
      <c r="AV55" s="22" t="n"/>
      <c r="AW55" s="18">
        <f>IF(OR(O55="",AV55=""),"",O55*AV55)</f>
        <v/>
      </c>
      <c r="AX55" s="16" t="n"/>
      <c r="AY55" s="16" t="n"/>
      <c r="AZ55" s="16" t="n"/>
      <c r="BA55" s="16" t="n"/>
      <c r="BB55" s="16" t="n"/>
      <c r="BC55" s="18" t="n"/>
      <c r="BD55" s="16" t="n"/>
      <c r="BE55" s="16">
        <f>IF(C55="","",IF(AND(ISNUMBER(P55),P55&gt;MAX_PRICE),"Price too high",IF(AND(ISNUMBER(AB55),AB55&lt;=2),"Quality risk",IF(AND(ISNUMBER(U55),U55&lt;=2),"Aesthetic mismatch",IF(AY55="High","Too fragile",IF(AND(ISNUMBER(R55),R55&lt;LOW_PROFIT_PCT),"Low profit",IF(AND(ISNUMBER(AT55),AT55&gt;MOQ_WARNING),"MOQ too high",IF(OR(AD55="Maybe",AD55="Price Review"),"Needs partner review",IF(AD55="Buy","Good candidate","")))))))))</f>
        <v/>
      </c>
      <c r="BF55" s="16" t="n"/>
      <c r="BG55" s="16" t="n"/>
      <c r="BH55" s="16" t="n"/>
      <c r="BI55" s="16" t="n"/>
      <c r="BJ55" s="16" t="n"/>
      <c r="BK55" s="16" t="n"/>
      <c r="BL55" s="16">
        <f>IF(C55="","",IF(AND(BG55="Yes",BH55="Yes",BI55="Yes",BJ55="Yes",BK55="Yes"),"Yes","No"))</f>
        <v/>
      </c>
      <c r="BM55" s="18" t="n"/>
      <c r="BN55" s="18" t="n"/>
      <c r="BO55" s="18">
        <f>IF(OR(BM55="",BN55=""),"",BM55+BN55)</f>
        <v/>
      </c>
      <c r="BP55" s="18" t="n"/>
      <c r="BQ55" s="18">
        <f>IF(OR(BP55="",BO55=""),"",BP55-BO55)</f>
        <v/>
      </c>
      <c r="BR55" s="19">
        <f>IF(OR(BP55="",BP55=0,BQ55=""),"",BQ55/BP55)</f>
        <v/>
      </c>
      <c r="BS55" s="17" t="n"/>
      <c r="BT55" s="22" t="n"/>
      <c r="BU55" s="22" t="n"/>
      <c r="BV55" s="16" t="n"/>
      <c r="BW55" s="16" t="n"/>
      <c r="BX55" s="22">
        <f>IF(OR(BT55="",BU55=""),"",BT55-BU55)</f>
        <v/>
      </c>
      <c r="BY55" s="16" t="n"/>
      <c r="BZ55" s="17" t="n"/>
      <c r="CA55" s="16" t="n"/>
      <c r="CB55" s="16" t="n"/>
    </row>
    <row r="56">
      <c r="A56" s="23">
        <f>IF(C56="","","AYN-"&amp;IFERROR(VLOOKUP(E56,CATEGORY_PREFIX_TABLE,2,FALSE),"OTH")&amp;"-"&amp;TEXT(ROW()-2,"0000"))</f>
        <v/>
      </c>
      <c r="B56" s="24" t="n"/>
      <c r="C56" s="23" t="n"/>
      <c r="D56" s="23" t="n"/>
      <c r="E56" s="23" t="n"/>
      <c r="F56" s="23" t="n"/>
      <c r="G56" s="23" t="n"/>
      <c r="H56" s="23" t="n"/>
      <c r="I56" s="23" t="n"/>
      <c r="J56" s="23" t="n"/>
      <c r="K56" s="25">
        <f>IF(I56="","",IF(J56="BDT",I56,IF(J56="USD",I56*USD_BDT,IF(J56="RMB",I56*RMB_BDT,""))))</f>
        <v/>
      </c>
      <c r="L56" s="25" t="n"/>
      <c r="M56" s="26" t="n"/>
      <c r="N56" s="25" t="n"/>
      <c r="O56" s="25">
        <f>IF(K56="","",K56+IFERROR(L56,0)+(K56*IF(M56="",CUSTOMS_PCT,M56))+IF(N56="",MISC_FEE,N56))</f>
        <v/>
      </c>
      <c r="P56" s="25">
        <f>IF(O56="","",ROUND(O56*(1+MARKUP_PCT),-1)-1)</f>
        <v/>
      </c>
      <c r="Q56" s="25">
        <f>IF(P56="","",P56-O56)</f>
        <v/>
      </c>
      <c r="R56" s="26">
        <f>IF(OR(P56="",P56=0),"",Q56/P56)</f>
        <v/>
      </c>
      <c r="S56" s="23" t="n"/>
      <c r="T56" s="23" t="n"/>
      <c r="U56" s="23" t="n"/>
      <c r="V56" s="23" t="n"/>
      <c r="W56" s="23" t="n"/>
      <c r="X56" s="23" t="n"/>
      <c r="Y56" s="23" t="n"/>
      <c r="Z56" s="23" t="n"/>
      <c r="AA56" s="23" t="n"/>
      <c r="AB56" s="23" t="n"/>
      <c r="AC56" s="27">
        <f>IF(COUNT(S56:AB56)&lt;10,"",(S56*W_FEMININE+T56*W_TREND+U56*W_AESTHETIC+V56*W_STYLE+W56*W_LIGHT+X56*W_REELS+Y56*W_GIFT+Z56*W_PRICEFIT+AA56*W_DEMAND+AB56*W_QUALITY)/5*100)</f>
        <v/>
      </c>
      <c r="AD56" s="23">
        <f>IF(P56="","",IF(P56&gt;HARD_REJECT_PRICE,"Reject",IF(P56&gt;MAX_PRICE,"Price Review",IF(AC56="","",IF(AND(AC56&gt;=BUY_THRESHOLD,OR(AB56&lt;=2,U56&lt;=2)),"Maybe",IF(AC56&gt;=BUY_THRESHOLD,"Buy",IF(AC56&gt;=MAYBE_THRESHOLD,"Maybe","Reject")))))))</f>
        <v/>
      </c>
      <c r="AE56" s="23" t="n"/>
      <c r="AF56" s="23" t="n"/>
      <c r="AG56" s="23" t="n"/>
      <c r="AH56" s="23" t="n"/>
      <c r="AI56" s="24" t="n"/>
      <c r="AJ56">
        <f>IF(AC56="",-9999-ROW()*0.0000001,AC56-ROW()*0.0000001)</f>
        <v/>
      </c>
      <c r="AK56">
        <f>IF(OR(AC56="",P56="",P56&gt;MAX_PRICE),-9999-ROW()*0.0000001,AC56-ROW()*0.0000001)</f>
        <v/>
      </c>
      <c r="AL56">
        <f>IF(AC56="",-9999-ROW()*0.0000001,X56*1000+AC56-ROW()*0.0000001)</f>
        <v/>
      </c>
      <c r="AM56">
        <f>IF(AC56="",-9999-ROW()*0.0000001,Y56*1000+AC56-ROW()*0.0000001)</f>
        <v/>
      </c>
      <c r="AN56">
        <f>IF(AND(OR(AD56="Maybe",AD56="Price Review"),AG56&lt;&gt;"Approved",AG56&lt;&gt;"Rejected"),IF(AC56="",0,AC56)-ROW()*0.0000001,-9999-ROW()*0.0000001)</f>
        <v/>
      </c>
      <c r="AO56" s="28" t="n"/>
      <c r="AP56" s="28" t="n"/>
      <c r="AQ56" s="29" t="n"/>
      <c r="AR56" s="29" t="n"/>
      <c r="AS56" s="23" t="n"/>
      <c r="AT56" s="29" t="n"/>
      <c r="AU56" s="29" t="n"/>
      <c r="AV56" s="29" t="n"/>
      <c r="AW56" s="25">
        <f>IF(OR(O56="",AV56=""),"",O56*AV56)</f>
        <v/>
      </c>
      <c r="AX56" s="23" t="n"/>
      <c r="AY56" s="23" t="n"/>
      <c r="AZ56" s="23" t="n"/>
      <c r="BA56" s="23" t="n"/>
      <c r="BB56" s="23" t="n"/>
      <c r="BC56" s="25" t="n"/>
      <c r="BD56" s="23" t="n"/>
      <c r="BE56" s="23">
        <f>IF(C56="","",IF(AND(ISNUMBER(P56),P56&gt;MAX_PRICE),"Price too high",IF(AND(ISNUMBER(AB56),AB56&lt;=2),"Quality risk",IF(AND(ISNUMBER(U56),U56&lt;=2),"Aesthetic mismatch",IF(AY56="High","Too fragile",IF(AND(ISNUMBER(R56),R56&lt;LOW_PROFIT_PCT),"Low profit",IF(AND(ISNUMBER(AT56),AT56&gt;MOQ_WARNING),"MOQ too high",IF(OR(AD56="Maybe",AD56="Price Review"),"Needs partner review",IF(AD56="Buy","Good candidate","")))))))))</f>
        <v/>
      </c>
      <c r="BF56" s="23" t="n"/>
      <c r="BG56" s="23" t="n"/>
      <c r="BH56" s="23" t="n"/>
      <c r="BI56" s="23" t="n"/>
      <c r="BJ56" s="23" t="n"/>
      <c r="BK56" s="23" t="n"/>
      <c r="BL56" s="23">
        <f>IF(C56="","",IF(AND(BG56="Yes",BH56="Yes",BI56="Yes",BJ56="Yes",BK56="Yes"),"Yes","No"))</f>
        <v/>
      </c>
      <c r="BM56" s="25" t="n"/>
      <c r="BN56" s="25" t="n"/>
      <c r="BO56" s="25">
        <f>IF(OR(BM56="",BN56=""),"",BM56+BN56)</f>
        <v/>
      </c>
      <c r="BP56" s="25" t="n"/>
      <c r="BQ56" s="25">
        <f>IF(OR(BP56="",BO56=""),"",BP56-BO56)</f>
        <v/>
      </c>
      <c r="BR56" s="26">
        <f>IF(OR(BP56="",BP56=0,BQ56=""),"",BQ56/BP56)</f>
        <v/>
      </c>
      <c r="BS56" s="24" t="n"/>
      <c r="BT56" s="29" t="n"/>
      <c r="BU56" s="29" t="n"/>
      <c r="BV56" s="23" t="n"/>
      <c r="BW56" s="23" t="n"/>
      <c r="BX56" s="29">
        <f>IF(OR(BT56="",BU56=""),"",BT56-BU56)</f>
        <v/>
      </c>
      <c r="BY56" s="23" t="n"/>
      <c r="BZ56" s="24" t="n"/>
      <c r="CA56" s="23" t="n"/>
      <c r="CB56" s="23" t="n"/>
    </row>
    <row r="57">
      <c r="A57" s="16">
        <f>IF(C57="","","AYN-"&amp;IFERROR(VLOOKUP(E57,CATEGORY_PREFIX_TABLE,2,FALSE),"OTH")&amp;"-"&amp;TEXT(ROW()-2,"0000"))</f>
        <v/>
      </c>
      <c r="B57" s="17" t="n"/>
      <c r="C57" s="16" t="n"/>
      <c r="D57" s="16" t="n"/>
      <c r="E57" s="16" t="n"/>
      <c r="F57" s="16" t="n"/>
      <c r="G57" s="16" t="n"/>
      <c r="H57" s="16" t="n"/>
      <c r="I57" s="16" t="n"/>
      <c r="J57" s="16" t="n"/>
      <c r="K57" s="18">
        <f>IF(I57="","",IF(J57="BDT",I57,IF(J57="USD",I57*USD_BDT,IF(J57="RMB",I57*RMB_BDT,""))))</f>
        <v/>
      </c>
      <c r="L57" s="18" t="n"/>
      <c r="M57" s="19" t="n"/>
      <c r="N57" s="18" t="n"/>
      <c r="O57" s="18">
        <f>IF(K57="","",K57+IFERROR(L57,0)+(K57*IF(M57="",CUSTOMS_PCT,M57))+IF(N57="",MISC_FEE,N57))</f>
        <v/>
      </c>
      <c r="P57" s="18">
        <f>IF(O57="","",ROUND(O57*(1+MARKUP_PCT),-1)-1)</f>
        <v/>
      </c>
      <c r="Q57" s="18">
        <f>IF(P57="","",P57-O57)</f>
        <v/>
      </c>
      <c r="R57" s="19">
        <f>IF(OR(P57="",P57=0),"",Q57/P57)</f>
        <v/>
      </c>
      <c r="S57" s="16" t="n"/>
      <c r="T57" s="16" t="n"/>
      <c r="U57" s="16" t="n"/>
      <c r="V57" s="16" t="n"/>
      <c r="W57" s="16" t="n"/>
      <c r="X57" s="16" t="n"/>
      <c r="Y57" s="16" t="n"/>
      <c r="Z57" s="16" t="n"/>
      <c r="AA57" s="16" t="n"/>
      <c r="AB57" s="16" t="n"/>
      <c r="AC57" s="20">
        <f>IF(COUNT(S57:AB57)&lt;10,"",(S57*W_FEMININE+T57*W_TREND+U57*W_AESTHETIC+V57*W_STYLE+W57*W_LIGHT+X57*W_REELS+Y57*W_GIFT+Z57*W_PRICEFIT+AA57*W_DEMAND+AB57*W_QUALITY)/5*100)</f>
        <v/>
      </c>
      <c r="AD57" s="16">
        <f>IF(P57="","",IF(P57&gt;HARD_REJECT_PRICE,"Reject",IF(P57&gt;MAX_PRICE,"Price Review",IF(AC57="","",IF(AND(AC57&gt;=BUY_THRESHOLD,OR(AB57&lt;=2,U57&lt;=2)),"Maybe",IF(AC57&gt;=BUY_THRESHOLD,"Buy",IF(AC57&gt;=MAYBE_THRESHOLD,"Maybe","Reject")))))))</f>
        <v/>
      </c>
      <c r="AE57" s="16" t="n"/>
      <c r="AF57" s="16" t="n"/>
      <c r="AG57" s="16" t="n"/>
      <c r="AH57" s="16" t="n"/>
      <c r="AI57" s="17" t="n"/>
      <c r="AJ57">
        <f>IF(AC57="",-9999-ROW()*0.0000001,AC57-ROW()*0.0000001)</f>
        <v/>
      </c>
      <c r="AK57">
        <f>IF(OR(AC57="",P57="",P57&gt;MAX_PRICE),-9999-ROW()*0.0000001,AC57-ROW()*0.0000001)</f>
        <v/>
      </c>
      <c r="AL57">
        <f>IF(AC57="",-9999-ROW()*0.0000001,X57*1000+AC57-ROW()*0.0000001)</f>
        <v/>
      </c>
      <c r="AM57">
        <f>IF(AC57="",-9999-ROW()*0.0000001,Y57*1000+AC57-ROW()*0.0000001)</f>
        <v/>
      </c>
      <c r="AN57">
        <f>IF(AND(OR(AD57="Maybe",AD57="Price Review"),AG57&lt;&gt;"Approved",AG57&lt;&gt;"Rejected"),IF(AC57="",0,AC57)-ROW()*0.0000001,-9999-ROW()*0.0000001)</f>
        <v/>
      </c>
      <c r="AO57" s="21" t="n"/>
      <c r="AP57" s="21" t="n"/>
      <c r="AQ57" s="22" t="n"/>
      <c r="AR57" s="22" t="n"/>
      <c r="AS57" s="16" t="n"/>
      <c r="AT57" s="22" t="n"/>
      <c r="AU57" s="22" t="n"/>
      <c r="AV57" s="22" t="n"/>
      <c r="AW57" s="18">
        <f>IF(OR(O57="",AV57=""),"",O57*AV57)</f>
        <v/>
      </c>
      <c r="AX57" s="16" t="n"/>
      <c r="AY57" s="16" t="n"/>
      <c r="AZ57" s="16" t="n"/>
      <c r="BA57" s="16" t="n"/>
      <c r="BB57" s="16" t="n"/>
      <c r="BC57" s="18" t="n"/>
      <c r="BD57" s="16" t="n"/>
      <c r="BE57" s="16">
        <f>IF(C57="","",IF(AND(ISNUMBER(P57),P57&gt;MAX_PRICE),"Price too high",IF(AND(ISNUMBER(AB57),AB57&lt;=2),"Quality risk",IF(AND(ISNUMBER(U57),U57&lt;=2),"Aesthetic mismatch",IF(AY57="High","Too fragile",IF(AND(ISNUMBER(R57),R57&lt;LOW_PROFIT_PCT),"Low profit",IF(AND(ISNUMBER(AT57),AT57&gt;MOQ_WARNING),"MOQ too high",IF(OR(AD57="Maybe",AD57="Price Review"),"Needs partner review",IF(AD57="Buy","Good candidate","")))))))))</f>
        <v/>
      </c>
      <c r="BF57" s="16" t="n"/>
      <c r="BG57" s="16" t="n"/>
      <c r="BH57" s="16" t="n"/>
      <c r="BI57" s="16" t="n"/>
      <c r="BJ57" s="16" t="n"/>
      <c r="BK57" s="16" t="n"/>
      <c r="BL57" s="16">
        <f>IF(C57="","",IF(AND(BG57="Yes",BH57="Yes",BI57="Yes",BJ57="Yes",BK57="Yes"),"Yes","No"))</f>
        <v/>
      </c>
      <c r="BM57" s="18" t="n"/>
      <c r="BN57" s="18" t="n"/>
      <c r="BO57" s="18">
        <f>IF(OR(BM57="",BN57=""),"",BM57+BN57)</f>
        <v/>
      </c>
      <c r="BP57" s="18" t="n"/>
      <c r="BQ57" s="18">
        <f>IF(OR(BP57="",BO57=""),"",BP57-BO57)</f>
        <v/>
      </c>
      <c r="BR57" s="19">
        <f>IF(OR(BP57="",BP57=0,BQ57=""),"",BQ57/BP57)</f>
        <v/>
      </c>
      <c r="BS57" s="17" t="n"/>
      <c r="BT57" s="22" t="n"/>
      <c r="BU57" s="22" t="n"/>
      <c r="BV57" s="16" t="n"/>
      <c r="BW57" s="16" t="n"/>
      <c r="BX57" s="22">
        <f>IF(OR(BT57="",BU57=""),"",BT57-BU57)</f>
        <v/>
      </c>
      <c r="BY57" s="16" t="n"/>
      <c r="BZ57" s="17" t="n"/>
      <c r="CA57" s="16" t="n"/>
      <c r="CB57" s="16" t="n"/>
    </row>
    <row r="58">
      <c r="A58" s="23">
        <f>IF(C58="","","AYN-"&amp;IFERROR(VLOOKUP(E58,CATEGORY_PREFIX_TABLE,2,FALSE),"OTH")&amp;"-"&amp;TEXT(ROW()-2,"0000"))</f>
        <v/>
      </c>
      <c r="B58" s="24" t="n"/>
      <c r="C58" s="23" t="n"/>
      <c r="D58" s="23" t="n"/>
      <c r="E58" s="23" t="n"/>
      <c r="F58" s="23" t="n"/>
      <c r="G58" s="23" t="n"/>
      <c r="H58" s="23" t="n"/>
      <c r="I58" s="23" t="n"/>
      <c r="J58" s="23" t="n"/>
      <c r="K58" s="25">
        <f>IF(I58="","",IF(J58="BDT",I58,IF(J58="USD",I58*USD_BDT,IF(J58="RMB",I58*RMB_BDT,""))))</f>
        <v/>
      </c>
      <c r="L58" s="25" t="n"/>
      <c r="M58" s="26" t="n"/>
      <c r="N58" s="25" t="n"/>
      <c r="O58" s="25">
        <f>IF(K58="","",K58+IFERROR(L58,0)+(K58*IF(M58="",CUSTOMS_PCT,M58))+IF(N58="",MISC_FEE,N58))</f>
        <v/>
      </c>
      <c r="P58" s="25">
        <f>IF(O58="","",ROUND(O58*(1+MARKUP_PCT),-1)-1)</f>
        <v/>
      </c>
      <c r="Q58" s="25">
        <f>IF(P58="","",P58-O58)</f>
        <v/>
      </c>
      <c r="R58" s="26">
        <f>IF(OR(P58="",P58=0),"",Q58/P58)</f>
        <v/>
      </c>
      <c r="S58" s="23" t="n"/>
      <c r="T58" s="23" t="n"/>
      <c r="U58" s="23" t="n"/>
      <c r="V58" s="23" t="n"/>
      <c r="W58" s="23" t="n"/>
      <c r="X58" s="23" t="n"/>
      <c r="Y58" s="23" t="n"/>
      <c r="Z58" s="23" t="n"/>
      <c r="AA58" s="23" t="n"/>
      <c r="AB58" s="23" t="n"/>
      <c r="AC58" s="27">
        <f>IF(COUNT(S58:AB58)&lt;10,"",(S58*W_FEMININE+T58*W_TREND+U58*W_AESTHETIC+V58*W_STYLE+W58*W_LIGHT+X58*W_REELS+Y58*W_GIFT+Z58*W_PRICEFIT+AA58*W_DEMAND+AB58*W_QUALITY)/5*100)</f>
        <v/>
      </c>
      <c r="AD58" s="23">
        <f>IF(P58="","",IF(P58&gt;HARD_REJECT_PRICE,"Reject",IF(P58&gt;MAX_PRICE,"Price Review",IF(AC58="","",IF(AND(AC58&gt;=BUY_THRESHOLD,OR(AB58&lt;=2,U58&lt;=2)),"Maybe",IF(AC58&gt;=BUY_THRESHOLD,"Buy",IF(AC58&gt;=MAYBE_THRESHOLD,"Maybe","Reject")))))))</f>
        <v/>
      </c>
      <c r="AE58" s="23" t="n"/>
      <c r="AF58" s="23" t="n"/>
      <c r="AG58" s="23" t="n"/>
      <c r="AH58" s="23" t="n"/>
      <c r="AI58" s="24" t="n"/>
      <c r="AJ58">
        <f>IF(AC58="",-9999-ROW()*0.0000001,AC58-ROW()*0.0000001)</f>
        <v/>
      </c>
      <c r="AK58">
        <f>IF(OR(AC58="",P58="",P58&gt;MAX_PRICE),-9999-ROW()*0.0000001,AC58-ROW()*0.0000001)</f>
        <v/>
      </c>
      <c r="AL58">
        <f>IF(AC58="",-9999-ROW()*0.0000001,X58*1000+AC58-ROW()*0.0000001)</f>
        <v/>
      </c>
      <c r="AM58">
        <f>IF(AC58="",-9999-ROW()*0.0000001,Y58*1000+AC58-ROW()*0.0000001)</f>
        <v/>
      </c>
      <c r="AN58">
        <f>IF(AND(OR(AD58="Maybe",AD58="Price Review"),AG58&lt;&gt;"Approved",AG58&lt;&gt;"Rejected"),IF(AC58="",0,AC58)-ROW()*0.0000001,-9999-ROW()*0.0000001)</f>
        <v/>
      </c>
      <c r="AO58" s="28" t="n"/>
      <c r="AP58" s="28" t="n"/>
      <c r="AQ58" s="29" t="n"/>
      <c r="AR58" s="29" t="n"/>
      <c r="AS58" s="23" t="n"/>
      <c r="AT58" s="29" t="n"/>
      <c r="AU58" s="29" t="n"/>
      <c r="AV58" s="29" t="n"/>
      <c r="AW58" s="25">
        <f>IF(OR(O58="",AV58=""),"",O58*AV58)</f>
        <v/>
      </c>
      <c r="AX58" s="23" t="n"/>
      <c r="AY58" s="23" t="n"/>
      <c r="AZ58" s="23" t="n"/>
      <c r="BA58" s="23" t="n"/>
      <c r="BB58" s="23" t="n"/>
      <c r="BC58" s="25" t="n"/>
      <c r="BD58" s="23" t="n"/>
      <c r="BE58" s="23">
        <f>IF(C58="","",IF(AND(ISNUMBER(P58),P58&gt;MAX_PRICE),"Price too high",IF(AND(ISNUMBER(AB58),AB58&lt;=2),"Quality risk",IF(AND(ISNUMBER(U58),U58&lt;=2),"Aesthetic mismatch",IF(AY58="High","Too fragile",IF(AND(ISNUMBER(R58),R58&lt;LOW_PROFIT_PCT),"Low profit",IF(AND(ISNUMBER(AT58),AT58&gt;MOQ_WARNING),"MOQ too high",IF(OR(AD58="Maybe",AD58="Price Review"),"Needs partner review",IF(AD58="Buy","Good candidate","")))))))))</f>
        <v/>
      </c>
      <c r="BF58" s="23" t="n"/>
      <c r="BG58" s="23" t="n"/>
      <c r="BH58" s="23" t="n"/>
      <c r="BI58" s="23" t="n"/>
      <c r="BJ58" s="23" t="n"/>
      <c r="BK58" s="23" t="n"/>
      <c r="BL58" s="23">
        <f>IF(C58="","",IF(AND(BG58="Yes",BH58="Yes",BI58="Yes",BJ58="Yes",BK58="Yes"),"Yes","No"))</f>
        <v/>
      </c>
      <c r="BM58" s="25" t="n"/>
      <c r="BN58" s="25" t="n"/>
      <c r="BO58" s="25">
        <f>IF(OR(BM58="",BN58=""),"",BM58+BN58)</f>
        <v/>
      </c>
      <c r="BP58" s="25" t="n"/>
      <c r="BQ58" s="25">
        <f>IF(OR(BP58="",BO58=""),"",BP58-BO58)</f>
        <v/>
      </c>
      <c r="BR58" s="26">
        <f>IF(OR(BP58="",BP58=0,BQ58=""),"",BQ58/BP58)</f>
        <v/>
      </c>
      <c r="BS58" s="24" t="n"/>
      <c r="BT58" s="29" t="n"/>
      <c r="BU58" s="29" t="n"/>
      <c r="BV58" s="23" t="n"/>
      <c r="BW58" s="23" t="n"/>
      <c r="BX58" s="29">
        <f>IF(OR(BT58="",BU58=""),"",BT58-BU58)</f>
        <v/>
      </c>
      <c r="BY58" s="23" t="n"/>
      <c r="BZ58" s="24" t="n"/>
      <c r="CA58" s="23" t="n"/>
      <c r="CB58" s="23" t="n"/>
    </row>
    <row r="59">
      <c r="A59" s="16">
        <f>IF(C59="","","AYN-"&amp;IFERROR(VLOOKUP(E59,CATEGORY_PREFIX_TABLE,2,FALSE),"OTH")&amp;"-"&amp;TEXT(ROW()-2,"0000"))</f>
        <v/>
      </c>
      <c r="B59" s="17" t="n"/>
      <c r="C59" s="16" t="n"/>
      <c r="D59" s="16" t="n"/>
      <c r="E59" s="16" t="n"/>
      <c r="F59" s="16" t="n"/>
      <c r="G59" s="16" t="n"/>
      <c r="H59" s="16" t="n"/>
      <c r="I59" s="16" t="n"/>
      <c r="J59" s="16" t="n"/>
      <c r="K59" s="18">
        <f>IF(I59="","",IF(J59="BDT",I59,IF(J59="USD",I59*USD_BDT,IF(J59="RMB",I59*RMB_BDT,""))))</f>
        <v/>
      </c>
      <c r="L59" s="18" t="n"/>
      <c r="M59" s="19" t="n"/>
      <c r="N59" s="18" t="n"/>
      <c r="O59" s="18">
        <f>IF(K59="","",K59+IFERROR(L59,0)+(K59*IF(M59="",CUSTOMS_PCT,M59))+IF(N59="",MISC_FEE,N59))</f>
        <v/>
      </c>
      <c r="P59" s="18">
        <f>IF(O59="","",ROUND(O59*(1+MARKUP_PCT),-1)-1)</f>
        <v/>
      </c>
      <c r="Q59" s="18">
        <f>IF(P59="","",P59-O59)</f>
        <v/>
      </c>
      <c r="R59" s="19">
        <f>IF(OR(P59="",P59=0),"",Q59/P59)</f>
        <v/>
      </c>
      <c r="S59" s="16" t="n"/>
      <c r="T59" s="16" t="n"/>
      <c r="U59" s="16" t="n"/>
      <c r="V59" s="16" t="n"/>
      <c r="W59" s="16" t="n"/>
      <c r="X59" s="16" t="n"/>
      <c r="Y59" s="16" t="n"/>
      <c r="Z59" s="16" t="n"/>
      <c r="AA59" s="16" t="n"/>
      <c r="AB59" s="16" t="n"/>
      <c r="AC59" s="20">
        <f>IF(COUNT(S59:AB59)&lt;10,"",(S59*W_FEMININE+T59*W_TREND+U59*W_AESTHETIC+V59*W_STYLE+W59*W_LIGHT+X59*W_REELS+Y59*W_GIFT+Z59*W_PRICEFIT+AA59*W_DEMAND+AB59*W_QUALITY)/5*100)</f>
        <v/>
      </c>
      <c r="AD59" s="16">
        <f>IF(P59="","",IF(P59&gt;HARD_REJECT_PRICE,"Reject",IF(P59&gt;MAX_PRICE,"Price Review",IF(AC59="","",IF(AND(AC59&gt;=BUY_THRESHOLD,OR(AB59&lt;=2,U59&lt;=2)),"Maybe",IF(AC59&gt;=BUY_THRESHOLD,"Buy",IF(AC59&gt;=MAYBE_THRESHOLD,"Maybe","Reject")))))))</f>
        <v/>
      </c>
      <c r="AE59" s="16" t="n"/>
      <c r="AF59" s="16" t="n"/>
      <c r="AG59" s="16" t="n"/>
      <c r="AH59" s="16" t="n"/>
      <c r="AI59" s="17" t="n"/>
      <c r="AJ59">
        <f>IF(AC59="",-9999-ROW()*0.0000001,AC59-ROW()*0.0000001)</f>
        <v/>
      </c>
      <c r="AK59">
        <f>IF(OR(AC59="",P59="",P59&gt;MAX_PRICE),-9999-ROW()*0.0000001,AC59-ROW()*0.0000001)</f>
        <v/>
      </c>
      <c r="AL59">
        <f>IF(AC59="",-9999-ROW()*0.0000001,X59*1000+AC59-ROW()*0.0000001)</f>
        <v/>
      </c>
      <c r="AM59">
        <f>IF(AC59="",-9999-ROW()*0.0000001,Y59*1000+AC59-ROW()*0.0000001)</f>
        <v/>
      </c>
      <c r="AN59">
        <f>IF(AND(OR(AD59="Maybe",AD59="Price Review"),AG59&lt;&gt;"Approved",AG59&lt;&gt;"Rejected"),IF(AC59="",0,AC59)-ROW()*0.0000001,-9999-ROW()*0.0000001)</f>
        <v/>
      </c>
      <c r="AO59" s="21" t="n"/>
      <c r="AP59" s="21" t="n"/>
      <c r="AQ59" s="22" t="n"/>
      <c r="AR59" s="22" t="n"/>
      <c r="AS59" s="16" t="n"/>
      <c r="AT59" s="22" t="n"/>
      <c r="AU59" s="22" t="n"/>
      <c r="AV59" s="22" t="n"/>
      <c r="AW59" s="18">
        <f>IF(OR(O59="",AV59=""),"",O59*AV59)</f>
        <v/>
      </c>
      <c r="AX59" s="16" t="n"/>
      <c r="AY59" s="16" t="n"/>
      <c r="AZ59" s="16" t="n"/>
      <c r="BA59" s="16" t="n"/>
      <c r="BB59" s="16" t="n"/>
      <c r="BC59" s="18" t="n"/>
      <c r="BD59" s="16" t="n"/>
      <c r="BE59" s="16">
        <f>IF(C59="","",IF(AND(ISNUMBER(P59),P59&gt;MAX_PRICE),"Price too high",IF(AND(ISNUMBER(AB59),AB59&lt;=2),"Quality risk",IF(AND(ISNUMBER(U59),U59&lt;=2),"Aesthetic mismatch",IF(AY59="High","Too fragile",IF(AND(ISNUMBER(R59),R59&lt;LOW_PROFIT_PCT),"Low profit",IF(AND(ISNUMBER(AT59),AT59&gt;MOQ_WARNING),"MOQ too high",IF(OR(AD59="Maybe",AD59="Price Review"),"Needs partner review",IF(AD59="Buy","Good candidate","")))))))))</f>
        <v/>
      </c>
      <c r="BF59" s="16" t="n"/>
      <c r="BG59" s="16" t="n"/>
      <c r="BH59" s="16" t="n"/>
      <c r="BI59" s="16" t="n"/>
      <c r="BJ59" s="16" t="n"/>
      <c r="BK59" s="16" t="n"/>
      <c r="BL59" s="16">
        <f>IF(C59="","",IF(AND(BG59="Yes",BH59="Yes",BI59="Yes",BJ59="Yes",BK59="Yes"),"Yes","No"))</f>
        <v/>
      </c>
      <c r="BM59" s="18" t="n"/>
      <c r="BN59" s="18" t="n"/>
      <c r="BO59" s="18">
        <f>IF(OR(BM59="",BN59=""),"",BM59+BN59)</f>
        <v/>
      </c>
      <c r="BP59" s="18" t="n"/>
      <c r="BQ59" s="18">
        <f>IF(OR(BP59="",BO59=""),"",BP59-BO59)</f>
        <v/>
      </c>
      <c r="BR59" s="19">
        <f>IF(OR(BP59="",BP59=0,BQ59=""),"",BQ59/BP59)</f>
        <v/>
      </c>
      <c r="BS59" s="17" t="n"/>
      <c r="BT59" s="22" t="n"/>
      <c r="BU59" s="22" t="n"/>
      <c r="BV59" s="16" t="n"/>
      <c r="BW59" s="16" t="n"/>
      <c r="BX59" s="22">
        <f>IF(OR(BT59="",BU59=""),"",BT59-BU59)</f>
        <v/>
      </c>
      <c r="BY59" s="16" t="n"/>
      <c r="BZ59" s="17" t="n"/>
      <c r="CA59" s="16" t="n"/>
      <c r="CB59" s="16" t="n"/>
    </row>
    <row r="60">
      <c r="A60" s="23">
        <f>IF(C60="","","AYN-"&amp;IFERROR(VLOOKUP(E60,CATEGORY_PREFIX_TABLE,2,FALSE),"OTH")&amp;"-"&amp;TEXT(ROW()-2,"0000"))</f>
        <v/>
      </c>
      <c r="B60" s="24" t="n"/>
      <c r="C60" s="23" t="n"/>
      <c r="D60" s="23" t="n"/>
      <c r="E60" s="23" t="n"/>
      <c r="F60" s="23" t="n"/>
      <c r="G60" s="23" t="n"/>
      <c r="H60" s="23" t="n"/>
      <c r="I60" s="23" t="n"/>
      <c r="J60" s="23" t="n"/>
      <c r="K60" s="25">
        <f>IF(I60="","",IF(J60="BDT",I60,IF(J60="USD",I60*USD_BDT,IF(J60="RMB",I60*RMB_BDT,""))))</f>
        <v/>
      </c>
      <c r="L60" s="25" t="n"/>
      <c r="M60" s="26" t="n"/>
      <c r="N60" s="25" t="n"/>
      <c r="O60" s="25">
        <f>IF(K60="","",K60+IFERROR(L60,0)+(K60*IF(M60="",CUSTOMS_PCT,M60))+IF(N60="",MISC_FEE,N60))</f>
        <v/>
      </c>
      <c r="P60" s="25">
        <f>IF(O60="","",ROUND(O60*(1+MARKUP_PCT),-1)-1)</f>
        <v/>
      </c>
      <c r="Q60" s="25">
        <f>IF(P60="","",P60-O60)</f>
        <v/>
      </c>
      <c r="R60" s="26">
        <f>IF(OR(P60="",P60=0),"",Q60/P60)</f>
        <v/>
      </c>
      <c r="S60" s="23" t="n"/>
      <c r="T60" s="23" t="n"/>
      <c r="U60" s="23" t="n"/>
      <c r="V60" s="23" t="n"/>
      <c r="W60" s="23" t="n"/>
      <c r="X60" s="23" t="n"/>
      <c r="Y60" s="23" t="n"/>
      <c r="Z60" s="23" t="n"/>
      <c r="AA60" s="23" t="n"/>
      <c r="AB60" s="23" t="n"/>
      <c r="AC60" s="27">
        <f>IF(COUNT(S60:AB60)&lt;10,"",(S60*W_FEMININE+T60*W_TREND+U60*W_AESTHETIC+V60*W_STYLE+W60*W_LIGHT+X60*W_REELS+Y60*W_GIFT+Z60*W_PRICEFIT+AA60*W_DEMAND+AB60*W_QUALITY)/5*100)</f>
        <v/>
      </c>
      <c r="AD60" s="23">
        <f>IF(P60="","",IF(P60&gt;HARD_REJECT_PRICE,"Reject",IF(P60&gt;MAX_PRICE,"Price Review",IF(AC60="","",IF(AND(AC60&gt;=BUY_THRESHOLD,OR(AB60&lt;=2,U60&lt;=2)),"Maybe",IF(AC60&gt;=BUY_THRESHOLD,"Buy",IF(AC60&gt;=MAYBE_THRESHOLD,"Maybe","Reject")))))))</f>
        <v/>
      </c>
      <c r="AE60" s="23" t="n"/>
      <c r="AF60" s="23" t="n"/>
      <c r="AG60" s="23" t="n"/>
      <c r="AH60" s="23" t="n"/>
      <c r="AI60" s="24" t="n"/>
      <c r="AJ60">
        <f>IF(AC60="",-9999-ROW()*0.0000001,AC60-ROW()*0.0000001)</f>
        <v/>
      </c>
      <c r="AK60">
        <f>IF(OR(AC60="",P60="",P60&gt;MAX_PRICE),-9999-ROW()*0.0000001,AC60-ROW()*0.0000001)</f>
        <v/>
      </c>
      <c r="AL60">
        <f>IF(AC60="",-9999-ROW()*0.0000001,X60*1000+AC60-ROW()*0.0000001)</f>
        <v/>
      </c>
      <c r="AM60">
        <f>IF(AC60="",-9999-ROW()*0.0000001,Y60*1000+AC60-ROW()*0.0000001)</f>
        <v/>
      </c>
      <c r="AN60">
        <f>IF(AND(OR(AD60="Maybe",AD60="Price Review"),AG60&lt;&gt;"Approved",AG60&lt;&gt;"Rejected"),IF(AC60="",0,AC60)-ROW()*0.0000001,-9999-ROW()*0.0000001)</f>
        <v/>
      </c>
      <c r="AO60" s="28" t="n"/>
      <c r="AP60" s="28" t="n"/>
      <c r="AQ60" s="29" t="n"/>
      <c r="AR60" s="29" t="n"/>
      <c r="AS60" s="23" t="n"/>
      <c r="AT60" s="29" t="n"/>
      <c r="AU60" s="29" t="n"/>
      <c r="AV60" s="29" t="n"/>
      <c r="AW60" s="25">
        <f>IF(OR(O60="",AV60=""),"",O60*AV60)</f>
        <v/>
      </c>
      <c r="AX60" s="23" t="n"/>
      <c r="AY60" s="23" t="n"/>
      <c r="AZ60" s="23" t="n"/>
      <c r="BA60" s="23" t="n"/>
      <c r="BB60" s="23" t="n"/>
      <c r="BC60" s="25" t="n"/>
      <c r="BD60" s="23" t="n"/>
      <c r="BE60" s="23">
        <f>IF(C60="","",IF(AND(ISNUMBER(P60),P60&gt;MAX_PRICE),"Price too high",IF(AND(ISNUMBER(AB60),AB60&lt;=2),"Quality risk",IF(AND(ISNUMBER(U60),U60&lt;=2),"Aesthetic mismatch",IF(AY60="High","Too fragile",IF(AND(ISNUMBER(R60),R60&lt;LOW_PROFIT_PCT),"Low profit",IF(AND(ISNUMBER(AT60),AT60&gt;MOQ_WARNING),"MOQ too high",IF(OR(AD60="Maybe",AD60="Price Review"),"Needs partner review",IF(AD60="Buy","Good candidate","")))))))))</f>
        <v/>
      </c>
      <c r="BF60" s="23" t="n"/>
      <c r="BG60" s="23" t="n"/>
      <c r="BH60" s="23" t="n"/>
      <c r="BI60" s="23" t="n"/>
      <c r="BJ60" s="23" t="n"/>
      <c r="BK60" s="23" t="n"/>
      <c r="BL60" s="23">
        <f>IF(C60="","",IF(AND(BG60="Yes",BH60="Yes",BI60="Yes",BJ60="Yes",BK60="Yes"),"Yes","No"))</f>
        <v/>
      </c>
      <c r="BM60" s="25" t="n"/>
      <c r="BN60" s="25" t="n"/>
      <c r="BO60" s="25">
        <f>IF(OR(BM60="",BN60=""),"",BM60+BN60)</f>
        <v/>
      </c>
      <c r="BP60" s="25" t="n"/>
      <c r="BQ60" s="25">
        <f>IF(OR(BP60="",BO60=""),"",BP60-BO60)</f>
        <v/>
      </c>
      <c r="BR60" s="26">
        <f>IF(OR(BP60="",BP60=0,BQ60=""),"",BQ60/BP60)</f>
        <v/>
      </c>
      <c r="BS60" s="24" t="n"/>
      <c r="BT60" s="29" t="n"/>
      <c r="BU60" s="29" t="n"/>
      <c r="BV60" s="23" t="n"/>
      <c r="BW60" s="23" t="n"/>
      <c r="BX60" s="29">
        <f>IF(OR(BT60="",BU60=""),"",BT60-BU60)</f>
        <v/>
      </c>
      <c r="BY60" s="23" t="n"/>
      <c r="BZ60" s="24" t="n"/>
      <c r="CA60" s="23" t="n"/>
      <c r="CB60" s="23" t="n"/>
    </row>
    <row r="61">
      <c r="A61" s="16">
        <f>IF(C61="","","AYN-"&amp;IFERROR(VLOOKUP(E61,CATEGORY_PREFIX_TABLE,2,FALSE),"OTH")&amp;"-"&amp;TEXT(ROW()-2,"0000"))</f>
        <v/>
      </c>
      <c r="B61" s="17" t="n"/>
      <c r="C61" s="16" t="n"/>
      <c r="D61" s="16" t="n"/>
      <c r="E61" s="16" t="n"/>
      <c r="F61" s="16" t="n"/>
      <c r="G61" s="16" t="n"/>
      <c r="H61" s="16" t="n"/>
      <c r="I61" s="16" t="n"/>
      <c r="J61" s="16" t="n"/>
      <c r="K61" s="18">
        <f>IF(I61="","",IF(J61="BDT",I61,IF(J61="USD",I61*USD_BDT,IF(J61="RMB",I61*RMB_BDT,""))))</f>
        <v/>
      </c>
      <c r="L61" s="18" t="n"/>
      <c r="M61" s="19" t="n"/>
      <c r="N61" s="18" t="n"/>
      <c r="O61" s="18">
        <f>IF(K61="","",K61+IFERROR(L61,0)+(K61*IF(M61="",CUSTOMS_PCT,M61))+IF(N61="",MISC_FEE,N61))</f>
        <v/>
      </c>
      <c r="P61" s="18">
        <f>IF(O61="","",ROUND(O61*(1+MARKUP_PCT),-1)-1)</f>
        <v/>
      </c>
      <c r="Q61" s="18">
        <f>IF(P61="","",P61-O61)</f>
        <v/>
      </c>
      <c r="R61" s="19">
        <f>IF(OR(P61="",P61=0),"",Q61/P61)</f>
        <v/>
      </c>
      <c r="S61" s="16" t="n"/>
      <c r="T61" s="16" t="n"/>
      <c r="U61" s="16" t="n"/>
      <c r="V61" s="16" t="n"/>
      <c r="W61" s="16" t="n"/>
      <c r="X61" s="16" t="n"/>
      <c r="Y61" s="16" t="n"/>
      <c r="Z61" s="16" t="n"/>
      <c r="AA61" s="16" t="n"/>
      <c r="AB61" s="16" t="n"/>
      <c r="AC61" s="20">
        <f>IF(COUNT(S61:AB61)&lt;10,"",(S61*W_FEMININE+T61*W_TREND+U61*W_AESTHETIC+V61*W_STYLE+W61*W_LIGHT+X61*W_REELS+Y61*W_GIFT+Z61*W_PRICEFIT+AA61*W_DEMAND+AB61*W_QUALITY)/5*100)</f>
        <v/>
      </c>
      <c r="AD61" s="16">
        <f>IF(P61="","",IF(P61&gt;HARD_REJECT_PRICE,"Reject",IF(P61&gt;MAX_PRICE,"Price Review",IF(AC61="","",IF(AND(AC61&gt;=BUY_THRESHOLD,OR(AB61&lt;=2,U61&lt;=2)),"Maybe",IF(AC61&gt;=BUY_THRESHOLD,"Buy",IF(AC61&gt;=MAYBE_THRESHOLD,"Maybe","Reject")))))))</f>
        <v/>
      </c>
      <c r="AE61" s="16" t="n"/>
      <c r="AF61" s="16" t="n"/>
      <c r="AG61" s="16" t="n"/>
      <c r="AH61" s="16" t="n"/>
      <c r="AI61" s="17" t="n"/>
      <c r="AJ61">
        <f>IF(AC61="",-9999-ROW()*0.0000001,AC61-ROW()*0.0000001)</f>
        <v/>
      </c>
      <c r="AK61">
        <f>IF(OR(AC61="",P61="",P61&gt;MAX_PRICE),-9999-ROW()*0.0000001,AC61-ROW()*0.0000001)</f>
        <v/>
      </c>
      <c r="AL61">
        <f>IF(AC61="",-9999-ROW()*0.0000001,X61*1000+AC61-ROW()*0.0000001)</f>
        <v/>
      </c>
      <c r="AM61">
        <f>IF(AC61="",-9999-ROW()*0.0000001,Y61*1000+AC61-ROW()*0.0000001)</f>
        <v/>
      </c>
      <c r="AN61">
        <f>IF(AND(OR(AD61="Maybe",AD61="Price Review"),AG61&lt;&gt;"Approved",AG61&lt;&gt;"Rejected"),IF(AC61="",0,AC61)-ROW()*0.0000001,-9999-ROW()*0.0000001)</f>
        <v/>
      </c>
      <c r="AO61" s="21" t="n"/>
      <c r="AP61" s="21" t="n"/>
      <c r="AQ61" s="22" t="n"/>
      <c r="AR61" s="22" t="n"/>
      <c r="AS61" s="16" t="n"/>
      <c r="AT61" s="22" t="n"/>
      <c r="AU61" s="22" t="n"/>
      <c r="AV61" s="22" t="n"/>
      <c r="AW61" s="18">
        <f>IF(OR(O61="",AV61=""),"",O61*AV61)</f>
        <v/>
      </c>
      <c r="AX61" s="16" t="n"/>
      <c r="AY61" s="16" t="n"/>
      <c r="AZ61" s="16" t="n"/>
      <c r="BA61" s="16" t="n"/>
      <c r="BB61" s="16" t="n"/>
      <c r="BC61" s="18" t="n"/>
      <c r="BD61" s="16" t="n"/>
      <c r="BE61" s="16">
        <f>IF(C61="","",IF(AND(ISNUMBER(P61),P61&gt;MAX_PRICE),"Price too high",IF(AND(ISNUMBER(AB61),AB61&lt;=2),"Quality risk",IF(AND(ISNUMBER(U61),U61&lt;=2),"Aesthetic mismatch",IF(AY61="High","Too fragile",IF(AND(ISNUMBER(R61),R61&lt;LOW_PROFIT_PCT),"Low profit",IF(AND(ISNUMBER(AT61),AT61&gt;MOQ_WARNING),"MOQ too high",IF(OR(AD61="Maybe",AD61="Price Review"),"Needs partner review",IF(AD61="Buy","Good candidate","")))))))))</f>
        <v/>
      </c>
      <c r="BF61" s="16" t="n"/>
      <c r="BG61" s="16" t="n"/>
      <c r="BH61" s="16" t="n"/>
      <c r="BI61" s="16" t="n"/>
      <c r="BJ61" s="16" t="n"/>
      <c r="BK61" s="16" t="n"/>
      <c r="BL61" s="16">
        <f>IF(C61="","",IF(AND(BG61="Yes",BH61="Yes",BI61="Yes",BJ61="Yes",BK61="Yes"),"Yes","No"))</f>
        <v/>
      </c>
      <c r="BM61" s="18" t="n"/>
      <c r="BN61" s="18" t="n"/>
      <c r="BO61" s="18">
        <f>IF(OR(BM61="",BN61=""),"",BM61+BN61)</f>
        <v/>
      </c>
      <c r="BP61" s="18" t="n"/>
      <c r="BQ61" s="18">
        <f>IF(OR(BP61="",BO61=""),"",BP61-BO61)</f>
        <v/>
      </c>
      <c r="BR61" s="19">
        <f>IF(OR(BP61="",BP61=0,BQ61=""),"",BQ61/BP61)</f>
        <v/>
      </c>
      <c r="BS61" s="17" t="n"/>
      <c r="BT61" s="22" t="n"/>
      <c r="BU61" s="22" t="n"/>
      <c r="BV61" s="16" t="n"/>
      <c r="BW61" s="16" t="n"/>
      <c r="BX61" s="22">
        <f>IF(OR(BT61="",BU61=""),"",BT61-BU61)</f>
        <v/>
      </c>
      <c r="BY61" s="16" t="n"/>
      <c r="BZ61" s="17" t="n"/>
      <c r="CA61" s="16" t="n"/>
      <c r="CB61" s="16" t="n"/>
    </row>
    <row r="62">
      <c r="A62" s="23">
        <f>IF(C62="","","AYN-"&amp;IFERROR(VLOOKUP(E62,CATEGORY_PREFIX_TABLE,2,FALSE),"OTH")&amp;"-"&amp;TEXT(ROW()-2,"0000"))</f>
        <v/>
      </c>
      <c r="B62" s="24" t="n"/>
      <c r="C62" s="23" t="n"/>
      <c r="D62" s="23" t="n"/>
      <c r="E62" s="23" t="n"/>
      <c r="F62" s="23" t="n"/>
      <c r="G62" s="23" t="n"/>
      <c r="H62" s="23" t="n"/>
      <c r="I62" s="23" t="n"/>
      <c r="J62" s="23" t="n"/>
      <c r="K62" s="25">
        <f>IF(I62="","",IF(J62="BDT",I62,IF(J62="USD",I62*USD_BDT,IF(J62="RMB",I62*RMB_BDT,""))))</f>
        <v/>
      </c>
      <c r="L62" s="25" t="n"/>
      <c r="M62" s="26" t="n"/>
      <c r="N62" s="25" t="n"/>
      <c r="O62" s="25">
        <f>IF(K62="","",K62+IFERROR(L62,0)+(K62*IF(M62="",CUSTOMS_PCT,M62))+IF(N62="",MISC_FEE,N62))</f>
        <v/>
      </c>
      <c r="P62" s="25">
        <f>IF(O62="","",ROUND(O62*(1+MARKUP_PCT),-1)-1)</f>
        <v/>
      </c>
      <c r="Q62" s="25">
        <f>IF(P62="","",P62-O62)</f>
        <v/>
      </c>
      <c r="R62" s="26">
        <f>IF(OR(P62="",P62=0),"",Q62/P62)</f>
        <v/>
      </c>
      <c r="S62" s="23" t="n"/>
      <c r="T62" s="23" t="n"/>
      <c r="U62" s="23" t="n"/>
      <c r="V62" s="23" t="n"/>
      <c r="W62" s="23" t="n"/>
      <c r="X62" s="23" t="n"/>
      <c r="Y62" s="23" t="n"/>
      <c r="Z62" s="23" t="n"/>
      <c r="AA62" s="23" t="n"/>
      <c r="AB62" s="23" t="n"/>
      <c r="AC62" s="27">
        <f>IF(COUNT(S62:AB62)&lt;10,"",(S62*W_FEMININE+T62*W_TREND+U62*W_AESTHETIC+V62*W_STYLE+W62*W_LIGHT+X62*W_REELS+Y62*W_GIFT+Z62*W_PRICEFIT+AA62*W_DEMAND+AB62*W_QUALITY)/5*100)</f>
        <v/>
      </c>
      <c r="AD62" s="23">
        <f>IF(P62="","",IF(P62&gt;HARD_REJECT_PRICE,"Reject",IF(P62&gt;MAX_PRICE,"Price Review",IF(AC62="","",IF(AND(AC62&gt;=BUY_THRESHOLD,OR(AB62&lt;=2,U62&lt;=2)),"Maybe",IF(AC62&gt;=BUY_THRESHOLD,"Buy",IF(AC62&gt;=MAYBE_THRESHOLD,"Maybe","Reject")))))))</f>
        <v/>
      </c>
      <c r="AE62" s="23" t="n"/>
      <c r="AF62" s="23" t="n"/>
      <c r="AG62" s="23" t="n"/>
      <c r="AH62" s="23" t="n"/>
      <c r="AI62" s="24" t="n"/>
      <c r="AJ62">
        <f>IF(AC62="",-9999-ROW()*0.0000001,AC62-ROW()*0.0000001)</f>
        <v/>
      </c>
      <c r="AK62">
        <f>IF(OR(AC62="",P62="",P62&gt;MAX_PRICE),-9999-ROW()*0.0000001,AC62-ROW()*0.0000001)</f>
        <v/>
      </c>
      <c r="AL62">
        <f>IF(AC62="",-9999-ROW()*0.0000001,X62*1000+AC62-ROW()*0.0000001)</f>
        <v/>
      </c>
      <c r="AM62">
        <f>IF(AC62="",-9999-ROW()*0.0000001,Y62*1000+AC62-ROW()*0.0000001)</f>
        <v/>
      </c>
      <c r="AN62">
        <f>IF(AND(OR(AD62="Maybe",AD62="Price Review"),AG62&lt;&gt;"Approved",AG62&lt;&gt;"Rejected"),IF(AC62="",0,AC62)-ROW()*0.0000001,-9999-ROW()*0.0000001)</f>
        <v/>
      </c>
      <c r="AO62" s="28" t="n"/>
      <c r="AP62" s="28" t="n"/>
      <c r="AQ62" s="29" t="n"/>
      <c r="AR62" s="29" t="n"/>
      <c r="AS62" s="23" t="n"/>
      <c r="AT62" s="29" t="n"/>
      <c r="AU62" s="29" t="n"/>
      <c r="AV62" s="29" t="n"/>
      <c r="AW62" s="25">
        <f>IF(OR(O62="",AV62=""),"",O62*AV62)</f>
        <v/>
      </c>
      <c r="AX62" s="23" t="n"/>
      <c r="AY62" s="23" t="n"/>
      <c r="AZ62" s="23" t="n"/>
      <c r="BA62" s="23" t="n"/>
      <c r="BB62" s="23" t="n"/>
      <c r="BC62" s="25" t="n"/>
      <c r="BD62" s="23" t="n"/>
      <c r="BE62" s="23">
        <f>IF(C62="","",IF(AND(ISNUMBER(P62),P62&gt;MAX_PRICE),"Price too high",IF(AND(ISNUMBER(AB62),AB62&lt;=2),"Quality risk",IF(AND(ISNUMBER(U62),U62&lt;=2),"Aesthetic mismatch",IF(AY62="High","Too fragile",IF(AND(ISNUMBER(R62),R62&lt;LOW_PROFIT_PCT),"Low profit",IF(AND(ISNUMBER(AT62),AT62&gt;MOQ_WARNING),"MOQ too high",IF(OR(AD62="Maybe",AD62="Price Review"),"Needs partner review",IF(AD62="Buy","Good candidate","")))))))))</f>
        <v/>
      </c>
      <c r="BF62" s="23" t="n"/>
      <c r="BG62" s="23" t="n"/>
      <c r="BH62" s="23" t="n"/>
      <c r="BI62" s="23" t="n"/>
      <c r="BJ62" s="23" t="n"/>
      <c r="BK62" s="23" t="n"/>
      <c r="BL62" s="23">
        <f>IF(C62="","",IF(AND(BG62="Yes",BH62="Yes",BI62="Yes",BJ62="Yes",BK62="Yes"),"Yes","No"))</f>
        <v/>
      </c>
      <c r="BM62" s="25" t="n"/>
      <c r="BN62" s="25" t="n"/>
      <c r="BO62" s="25">
        <f>IF(OR(BM62="",BN62=""),"",BM62+BN62)</f>
        <v/>
      </c>
      <c r="BP62" s="25" t="n"/>
      <c r="BQ62" s="25">
        <f>IF(OR(BP62="",BO62=""),"",BP62-BO62)</f>
        <v/>
      </c>
      <c r="BR62" s="26">
        <f>IF(OR(BP62="",BP62=0,BQ62=""),"",BQ62/BP62)</f>
        <v/>
      </c>
      <c r="BS62" s="24" t="n"/>
      <c r="BT62" s="29" t="n"/>
      <c r="BU62" s="29" t="n"/>
      <c r="BV62" s="23" t="n"/>
      <c r="BW62" s="23" t="n"/>
      <c r="BX62" s="29">
        <f>IF(OR(BT62="",BU62=""),"",BT62-BU62)</f>
        <v/>
      </c>
      <c r="BY62" s="23" t="n"/>
      <c r="BZ62" s="24" t="n"/>
      <c r="CA62" s="23" t="n"/>
      <c r="CB62" s="23" t="n"/>
    </row>
    <row r="63">
      <c r="A63" s="16">
        <f>IF(C63="","","AYN-"&amp;IFERROR(VLOOKUP(E63,CATEGORY_PREFIX_TABLE,2,FALSE),"OTH")&amp;"-"&amp;TEXT(ROW()-2,"0000"))</f>
        <v/>
      </c>
      <c r="B63" s="17" t="n"/>
      <c r="C63" s="16" t="n"/>
      <c r="D63" s="16" t="n"/>
      <c r="E63" s="16" t="n"/>
      <c r="F63" s="16" t="n"/>
      <c r="G63" s="16" t="n"/>
      <c r="H63" s="16" t="n"/>
      <c r="I63" s="16" t="n"/>
      <c r="J63" s="16" t="n"/>
      <c r="K63" s="18">
        <f>IF(I63="","",IF(J63="BDT",I63,IF(J63="USD",I63*USD_BDT,IF(J63="RMB",I63*RMB_BDT,""))))</f>
        <v/>
      </c>
      <c r="L63" s="18" t="n"/>
      <c r="M63" s="19" t="n"/>
      <c r="N63" s="18" t="n"/>
      <c r="O63" s="18">
        <f>IF(K63="","",K63+IFERROR(L63,0)+(K63*IF(M63="",CUSTOMS_PCT,M63))+IF(N63="",MISC_FEE,N63))</f>
        <v/>
      </c>
      <c r="P63" s="18">
        <f>IF(O63="","",ROUND(O63*(1+MARKUP_PCT),-1)-1)</f>
        <v/>
      </c>
      <c r="Q63" s="18">
        <f>IF(P63="","",P63-O63)</f>
        <v/>
      </c>
      <c r="R63" s="19">
        <f>IF(OR(P63="",P63=0),"",Q63/P63)</f>
        <v/>
      </c>
      <c r="S63" s="16" t="n"/>
      <c r="T63" s="16" t="n"/>
      <c r="U63" s="16" t="n"/>
      <c r="V63" s="16" t="n"/>
      <c r="W63" s="16" t="n"/>
      <c r="X63" s="16" t="n"/>
      <c r="Y63" s="16" t="n"/>
      <c r="Z63" s="16" t="n"/>
      <c r="AA63" s="16" t="n"/>
      <c r="AB63" s="16" t="n"/>
      <c r="AC63" s="20">
        <f>IF(COUNT(S63:AB63)&lt;10,"",(S63*W_FEMININE+T63*W_TREND+U63*W_AESTHETIC+V63*W_STYLE+W63*W_LIGHT+X63*W_REELS+Y63*W_GIFT+Z63*W_PRICEFIT+AA63*W_DEMAND+AB63*W_QUALITY)/5*100)</f>
        <v/>
      </c>
      <c r="AD63" s="16">
        <f>IF(P63="","",IF(P63&gt;HARD_REJECT_PRICE,"Reject",IF(P63&gt;MAX_PRICE,"Price Review",IF(AC63="","",IF(AND(AC63&gt;=BUY_THRESHOLD,OR(AB63&lt;=2,U63&lt;=2)),"Maybe",IF(AC63&gt;=BUY_THRESHOLD,"Buy",IF(AC63&gt;=MAYBE_THRESHOLD,"Maybe","Reject")))))))</f>
        <v/>
      </c>
      <c r="AE63" s="16" t="n"/>
      <c r="AF63" s="16" t="n"/>
      <c r="AG63" s="16" t="n"/>
      <c r="AH63" s="16" t="n"/>
      <c r="AI63" s="17" t="n"/>
      <c r="AJ63">
        <f>IF(AC63="",-9999-ROW()*0.0000001,AC63-ROW()*0.0000001)</f>
        <v/>
      </c>
      <c r="AK63">
        <f>IF(OR(AC63="",P63="",P63&gt;MAX_PRICE),-9999-ROW()*0.0000001,AC63-ROW()*0.0000001)</f>
        <v/>
      </c>
      <c r="AL63">
        <f>IF(AC63="",-9999-ROW()*0.0000001,X63*1000+AC63-ROW()*0.0000001)</f>
        <v/>
      </c>
      <c r="AM63">
        <f>IF(AC63="",-9999-ROW()*0.0000001,Y63*1000+AC63-ROW()*0.0000001)</f>
        <v/>
      </c>
      <c r="AN63">
        <f>IF(AND(OR(AD63="Maybe",AD63="Price Review"),AG63&lt;&gt;"Approved",AG63&lt;&gt;"Rejected"),IF(AC63="",0,AC63)-ROW()*0.0000001,-9999-ROW()*0.0000001)</f>
        <v/>
      </c>
      <c r="AO63" s="21" t="n"/>
      <c r="AP63" s="21" t="n"/>
      <c r="AQ63" s="22" t="n"/>
      <c r="AR63" s="22" t="n"/>
      <c r="AS63" s="16" t="n"/>
      <c r="AT63" s="22" t="n"/>
      <c r="AU63" s="22" t="n"/>
      <c r="AV63" s="22" t="n"/>
      <c r="AW63" s="18">
        <f>IF(OR(O63="",AV63=""),"",O63*AV63)</f>
        <v/>
      </c>
      <c r="AX63" s="16" t="n"/>
      <c r="AY63" s="16" t="n"/>
      <c r="AZ63" s="16" t="n"/>
      <c r="BA63" s="16" t="n"/>
      <c r="BB63" s="16" t="n"/>
      <c r="BC63" s="18" t="n"/>
      <c r="BD63" s="16" t="n"/>
      <c r="BE63" s="16">
        <f>IF(C63="","",IF(AND(ISNUMBER(P63),P63&gt;MAX_PRICE),"Price too high",IF(AND(ISNUMBER(AB63),AB63&lt;=2),"Quality risk",IF(AND(ISNUMBER(U63),U63&lt;=2),"Aesthetic mismatch",IF(AY63="High","Too fragile",IF(AND(ISNUMBER(R63),R63&lt;LOW_PROFIT_PCT),"Low profit",IF(AND(ISNUMBER(AT63),AT63&gt;MOQ_WARNING),"MOQ too high",IF(OR(AD63="Maybe",AD63="Price Review"),"Needs partner review",IF(AD63="Buy","Good candidate","")))))))))</f>
        <v/>
      </c>
      <c r="BF63" s="16" t="n"/>
      <c r="BG63" s="16" t="n"/>
      <c r="BH63" s="16" t="n"/>
      <c r="BI63" s="16" t="n"/>
      <c r="BJ63" s="16" t="n"/>
      <c r="BK63" s="16" t="n"/>
      <c r="BL63" s="16">
        <f>IF(C63="","",IF(AND(BG63="Yes",BH63="Yes",BI63="Yes",BJ63="Yes",BK63="Yes"),"Yes","No"))</f>
        <v/>
      </c>
      <c r="BM63" s="18" t="n"/>
      <c r="BN63" s="18" t="n"/>
      <c r="BO63" s="18">
        <f>IF(OR(BM63="",BN63=""),"",BM63+BN63)</f>
        <v/>
      </c>
      <c r="BP63" s="18" t="n"/>
      <c r="BQ63" s="18">
        <f>IF(OR(BP63="",BO63=""),"",BP63-BO63)</f>
        <v/>
      </c>
      <c r="BR63" s="19">
        <f>IF(OR(BP63="",BP63=0,BQ63=""),"",BQ63/BP63)</f>
        <v/>
      </c>
      <c r="BS63" s="17" t="n"/>
      <c r="BT63" s="22" t="n"/>
      <c r="BU63" s="22" t="n"/>
      <c r="BV63" s="16" t="n"/>
      <c r="BW63" s="16" t="n"/>
      <c r="BX63" s="22">
        <f>IF(OR(BT63="",BU63=""),"",BT63-BU63)</f>
        <v/>
      </c>
      <c r="BY63" s="16" t="n"/>
      <c r="BZ63" s="17" t="n"/>
      <c r="CA63" s="16" t="n"/>
      <c r="CB63" s="16" t="n"/>
    </row>
    <row r="64">
      <c r="A64" s="23">
        <f>IF(C64="","","AYN-"&amp;IFERROR(VLOOKUP(E64,CATEGORY_PREFIX_TABLE,2,FALSE),"OTH")&amp;"-"&amp;TEXT(ROW()-2,"0000"))</f>
        <v/>
      </c>
      <c r="B64" s="24" t="n"/>
      <c r="C64" s="23" t="n"/>
      <c r="D64" s="23" t="n"/>
      <c r="E64" s="23" t="n"/>
      <c r="F64" s="23" t="n"/>
      <c r="G64" s="23" t="n"/>
      <c r="H64" s="23" t="n"/>
      <c r="I64" s="23" t="n"/>
      <c r="J64" s="23" t="n"/>
      <c r="K64" s="25">
        <f>IF(I64="","",IF(J64="BDT",I64,IF(J64="USD",I64*USD_BDT,IF(J64="RMB",I64*RMB_BDT,""))))</f>
        <v/>
      </c>
      <c r="L64" s="25" t="n"/>
      <c r="M64" s="26" t="n"/>
      <c r="N64" s="25" t="n"/>
      <c r="O64" s="25">
        <f>IF(K64="","",K64+IFERROR(L64,0)+(K64*IF(M64="",CUSTOMS_PCT,M64))+IF(N64="",MISC_FEE,N64))</f>
        <v/>
      </c>
      <c r="P64" s="25">
        <f>IF(O64="","",ROUND(O64*(1+MARKUP_PCT),-1)-1)</f>
        <v/>
      </c>
      <c r="Q64" s="25">
        <f>IF(P64="","",P64-O64)</f>
        <v/>
      </c>
      <c r="R64" s="26">
        <f>IF(OR(P64="",P64=0),"",Q64/P64)</f>
        <v/>
      </c>
      <c r="S64" s="23" t="n"/>
      <c r="T64" s="23" t="n"/>
      <c r="U64" s="23" t="n"/>
      <c r="V64" s="23" t="n"/>
      <c r="W64" s="23" t="n"/>
      <c r="X64" s="23" t="n"/>
      <c r="Y64" s="23" t="n"/>
      <c r="Z64" s="23" t="n"/>
      <c r="AA64" s="23" t="n"/>
      <c r="AB64" s="23" t="n"/>
      <c r="AC64" s="27">
        <f>IF(COUNT(S64:AB64)&lt;10,"",(S64*W_FEMININE+T64*W_TREND+U64*W_AESTHETIC+V64*W_STYLE+W64*W_LIGHT+X64*W_REELS+Y64*W_GIFT+Z64*W_PRICEFIT+AA64*W_DEMAND+AB64*W_QUALITY)/5*100)</f>
        <v/>
      </c>
      <c r="AD64" s="23">
        <f>IF(P64="","",IF(P64&gt;HARD_REJECT_PRICE,"Reject",IF(P64&gt;MAX_PRICE,"Price Review",IF(AC64="","",IF(AND(AC64&gt;=BUY_THRESHOLD,OR(AB64&lt;=2,U64&lt;=2)),"Maybe",IF(AC64&gt;=BUY_THRESHOLD,"Buy",IF(AC64&gt;=MAYBE_THRESHOLD,"Maybe","Reject")))))))</f>
        <v/>
      </c>
      <c r="AE64" s="23" t="n"/>
      <c r="AF64" s="23" t="n"/>
      <c r="AG64" s="23" t="n"/>
      <c r="AH64" s="23" t="n"/>
      <c r="AI64" s="24" t="n"/>
      <c r="AJ64">
        <f>IF(AC64="",-9999-ROW()*0.0000001,AC64-ROW()*0.0000001)</f>
        <v/>
      </c>
      <c r="AK64">
        <f>IF(OR(AC64="",P64="",P64&gt;MAX_PRICE),-9999-ROW()*0.0000001,AC64-ROW()*0.0000001)</f>
        <v/>
      </c>
      <c r="AL64">
        <f>IF(AC64="",-9999-ROW()*0.0000001,X64*1000+AC64-ROW()*0.0000001)</f>
        <v/>
      </c>
      <c r="AM64">
        <f>IF(AC64="",-9999-ROW()*0.0000001,Y64*1000+AC64-ROW()*0.0000001)</f>
        <v/>
      </c>
      <c r="AN64">
        <f>IF(AND(OR(AD64="Maybe",AD64="Price Review"),AG64&lt;&gt;"Approved",AG64&lt;&gt;"Rejected"),IF(AC64="",0,AC64)-ROW()*0.0000001,-9999-ROW()*0.0000001)</f>
        <v/>
      </c>
      <c r="AO64" s="28" t="n"/>
      <c r="AP64" s="28" t="n"/>
      <c r="AQ64" s="29" t="n"/>
      <c r="AR64" s="29" t="n"/>
      <c r="AS64" s="23" t="n"/>
      <c r="AT64" s="29" t="n"/>
      <c r="AU64" s="29" t="n"/>
      <c r="AV64" s="29" t="n"/>
      <c r="AW64" s="25">
        <f>IF(OR(O64="",AV64=""),"",O64*AV64)</f>
        <v/>
      </c>
      <c r="AX64" s="23" t="n"/>
      <c r="AY64" s="23" t="n"/>
      <c r="AZ64" s="23" t="n"/>
      <c r="BA64" s="23" t="n"/>
      <c r="BB64" s="23" t="n"/>
      <c r="BC64" s="25" t="n"/>
      <c r="BD64" s="23" t="n"/>
      <c r="BE64" s="23">
        <f>IF(C64="","",IF(AND(ISNUMBER(P64),P64&gt;MAX_PRICE),"Price too high",IF(AND(ISNUMBER(AB64),AB64&lt;=2),"Quality risk",IF(AND(ISNUMBER(U64),U64&lt;=2),"Aesthetic mismatch",IF(AY64="High","Too fragile",IF(AND(ISNUMBER(R64),R64&lt;LOW_PROFIT_PCT),"Low profit",IF(AND(ISNUMBER(AT64),AT64&gt;MOQ_WARNING),"MOQ too high",IF(OR(AD64="Maybe",AD64="Price Review"),"Needs partner review",IF(AD64="Buy","Good candidate","")))))))))</f>
        <v/>
      </c>
      <c r="BF64" s="23" t="n"/>
      <c r="BG64" s="23" t="n"/>
      <c r="BH64" s="23" t="n"/>
      <c r="BI64" s="23" t="n"/>
      <c r="BJ64" s="23" t="n"/>
      <c r="BK64" s="23" t="n"/>
      <c r="BL64" s="23">
        <f>IF(C64="","",IF(AND(BG64="Yes",BH64="Yes",BI64="Yes",BJ64="Yes",BK64="Yes"),"Yes","No"))</f>
        <v/>
      </c>
      <c r="BM64" s="25" t="n"/>
      <c r="BN64" s="25" t="n"/>
      <c r="BO64" s="25">
        <f>IF(OR(BM64="",BN64=""),"",BM64+BN64)</f>
        <v/>
      </c>
      <c r="BP64" s="25" t="n"/>
      <c r="BQ64" s="25">
        <f>IF(OR(BP64="",BO64=""),"",BP64-BO64)</f>
        <v/>
      </c>
      <c r="BR64" s="26">
        <f>IF(OR(BP64="",BP64=0,BQ64=""),"",BQ64/BP64)</f>
        <v/>
      </c>
      <c r="BS64" s="24" t="n"/>
      <c r="BT64" s="29" t="n"/>
      <c r="BU64" s="29" t="n"/>
      <c r="BV64" s="23" t="n"/>
      <c r="BW64" s="23" t="n"/>
      <c r="BX64" s="29">
        <f>IF(OR(BT64="",BU64=""),"",BT64-BU64)</f>
        <v/>
      </c>
      <c r="BY64" s="23" t="n"/>
      <c r="BZ64" s="24" t="n"/>
      <c r="CA64" s="23" t="n"/>
      <c r="CB64" s="23" t="n"/>
    </row>
    <row r="65">
      <c r="A65" s="16">
        <f>IF(C65="","","AYN-"&amp;IFERROR(VLOOKUP(E65,CATEGORY_PREFIX_TABLE,2,FALSE),"OTH")&amp;"-"&amp;TEXT(ROW()-2,"0000"))</f>
        <v/>
      </c>
      <c r="B65" s="17" t="n"/>
      <c r="C65" s="16" t="n"/>
      <c r="D65" s="16" t="n"/>
      <c r="E65" s="16" t="n"/>
      <c r="F65" s="16" t="n"/>
      <c r="G65" s="16" t="n"/>
      <c r="H65" s="16" t="n"/>
      <c r="I65" s="16" t="n"/>
      <c r="J65" s="16" t="n"/>
      <c r="K65" s="18">
        <f>IF(I65="","",IF(J65="BDT",I65,IF(J65="USD",I65*USD_BDT,IF(J65="RMB",I65*RMB_BDT,""))))</f>
        <v/>
      </c>
      <c r="L65" s="18" t="n"/>
      <c r="M65" s="19" t="n"/>
      <c r="N65" s="18" t="n"/>
      <c r="O65" s="18">
        <f>IF(K65="","",K65+IFERROR(L65,0)+(K65*IF(M65="",CUSTOMS_PCT,M65))+IF(N65="",MISC_FEE,N65))</f>
        <v/>
      </c>
      <c r="P65" s="18">
        <f>IF(O65="","",ROUND(O65*(1+MARKUP_PCT),-1)-1)</f>
        <v/>
      </c>
      <c r="Q65" s="18">
        <f>IF(P65="","",P65-O65)</f>
        <v/>
      </c>
      <c r="R65" s="19">
        <f>IF(OR(P65="",P65=0),"",Q65/P65)</f>
        <v/>
      </c>
      <c r="S65" s="16" t="n"/>
      <c r="T65" s="16" t="n"/>
      <c r="U65" s="16" t="n"/>
      <c r="V65" s="16" t="n"/>
      <c r="W65" s="16" t="n"/>
      <c r="X65" s="16" t="n"/>
      <c r="Y65" s="16" t="n"/>
      <c r="Z65" s="16" t="n"/>
      <c r="AA65" s="16" t="n"/>
      <c r="AB65" s="16" t="n"/>
      <c r="AC65" s="20">
        <f>IF(COUNT(S65:AB65)&lt;10,"",(S65*W_FEMININE+T65*W_TREND+U65*W_AESTHETIC+V65*W_STYLE+W65*W_LIGHT+X65*W_REELS+Y65*W_GIFT+Z65*W_PRICEFIT+AA65*W_DEMAND+AB65*W_QUALITY)/5*100)</f>
        <v/>
      </c>
      <c r="AD65" s="16">
        <f>IF(P65="","",IF(P65&gt;HARD_REJECT_PRICE,"Reject",IF(P65&gt;MAX_PRICE,"Price Review",IF(AC65="","",IF(AND(AC65&gt;=BUY_THRESHOLD,OR(AB65&lt;=2,U65&lt;=2)),"Maybe",IF(AC65&gt;=BUY_THRESHOLD,"Buy",IF(AC65&gt;=MAYBE_THRESHOLD,"Maybe","Reject")))))))</f>
        <v/>
      </c>
      <c r="AE65" s="16" t="n"/>
      <c r="AF65" s="16" t="n"/>
      <c r="AG65" s="16" t="n"/>
      <c r="AH65" s="16" t="n"/>
      <c r="AI65" s="17" t="n"/>
      <c r="AJ65">
        <f>IF(AC65="",-9999-ROW()*0.0000001,AC65-ROW()*0.0000001)</f>
        <v/>
      </c>
      <c r="AK65">
        <f>IF(OR(AC65="",P65="",P65&gt;MAX_PRICE),-9999-ROW()*0.0000001,AC65-ROW()*0.0000001)</f>
        <v/>
      </c>
      <c r="AL65">
        <f>IF(AC65="",-9999-ROW()*0.0000001,X65*1000+AC65-ROW()*0.0000001)</f>
        <v/>
      </c>
      <c r="AM65">
        <f>IF(AC65="",-9999-ROW()*0.0000001,Y65*1000+AC65-ROW()*0.0000001)</f>
        <v/>
      </c>
      <c r="AN65">
        <f>IF(AND(OR(AD65="Maybe",AD65="Price Review"),AG65&lt;&gt;"Approved",AG65&lt;&gt;"Rejected"),IF(AC65="",0,AC65)-ROW()*0.0000001,-9999-ROW()*0.0000001)</f>
        <v/>
      </c>
      <c r="AO65" s="21" t="n"/>
      <c r="AP65" s="21" t="n"/>
      <c r="AQ65" s="22" t="n"/>
      <c r="AR65" s="22" t="n"/>
      <c r="AS65" s="16" t="n"/>
      <c r="AT65" s="22" t="n"/>
      <c r="AU65" s="22" t="n"/>
      <c r="AV65" s="22" t="n"/>
      <c r="AW65" s="18">
        <f>IF(OR(O65="",AV65=""),"",O65*AV65)</f>
        <v/>
      </c>
      <c r="AX65" s="16" t="n"/>
      <c r="AY65" s="16" t="n"/>
      <c r="AZ65" s="16" t="n"/>
      <c r="BA65" s="16" t="n"/>
      <c r="BB65" s="16" t="n"/>
      <c r="BC65" s="18" t="n"/>
      <c r="BD65" s="16" t="n"/>
      <c r="BE65" s="16">
        <f>IF(C65="","",IF(AND(ISNUMBER(P65),P65&gt;MAX_PRICE),"Price too high",IF(AND(ISNUMBER(AB65),AB65&lt;=2),"Quality risk",IF(AND(ISNUMBER(U65),U65&lt;=2),"Aesthetic mismatch",IF(AY65="High","Too fragile",IF(AND(ISNUMBER(R65),R65&lt;LOW_PROFIT_PCT),"Low profit",IF(AND(ISNUMBER(AT65),AT65&gt;MOQ_WARNING),"MOQ too high",IF(OR(AD65="Maybe",AD65="Price Review"),"Needs partner review",IF(AD65="Buy","Good candidate","")))))))))</f>
        <v/>
      </c>
      <c r="BF65" s="16" t="n"/>
      <c r="BG65" s="16" t="n"/>
      <c r="BH65" s="16" t="n"/>
      <c r="BI65" s="16" t="n"/>
      <c r="BJ65" s="16" t="n"/>
      <c r="BK65" s="16" t="n"/>
      <c r="BL65" s="16">
        <f>IF(C65="","",IF(AND(BG65="Yes",BH65="Yes",BI65="Yes",BJ65="Yes",BK65="Yes"),"Yes","No"))</f>
        <v/>
      </c>
      <c r="BM65" s="18" t="n"/>
      <c r="BN65" s="18" t="n"/>
      <c r="BO65" s="18">
        <f>IF(OR(BM65="",BN65=""),"",BM65+BN65)</f>
        <v/>
      </c>
      <c r="BP65" s="18" t="n"/>
      <c r="BQ65" s="18">
        <f>IF(OR(BP65="",BO65=""),"",BP65-BO65)</f>
        <v/>
      </c>
      <c r="BR65" s="19">
        <f>IF(OR(BP65="",BP65=0,BQ65=""),"",BQ65/BP65)</f>
        <v/>
      </c>
      <c r="BS65" s="17" t="n"/>
      <c r="BT65" s="22" t="n"/>
      <c r="BU65" s="22" t="n"/>
      <c r="BV65" s="16" t="n"/>
      <c r="BW65" s="16" t="n"/>
      <c r="BX65" s="22">
        <f>IF(OR(BT65="",BU65=""),"",BT65-BU65)</f>
        <v/>
      </c>
      <c r="BY65" s="16" t="n"/>
      <c r="BZ65" s="17" t="n"/>
      <c r="CA65" s="16" t="n"/>
      <c r="CB65" s="16" t="n"/>
    </row>
    <row r="66">
      <c r="A66" s="23">
        <f>IF(C66="","","AYN-"&amp;IFERROR(VLOOKUP(E66,CATEGORY_PREFIX_TABLE,2,FALSE),"OTH")&amp;"-"&amp;TEXT(ROW()-2,"0000"))</f>
        <v/>
      </c>
      <c r="B66" s="24" t="n"/>
      <c r="C66" s="23" t="n"/>
      <c r="D66" s="23" t="n"/>
      <c r="E66" s="23" t="n"/>
      <c r="F66" s="23" t="n"/>
      <c r="G66" s="23" t="n"/>
      <c r="H66" s="23" t="n"/>
      <c r="I66" s="23" t="n"/>
      <c r="J66" s="23" t="n"/>
      <c r="K66" s="25">
        <f>IF(I66="","",IF(J66="BDT",I66,IF(J66="USD",I66*USD_BDT,IF(J66="RMB",I66*RMB_BDT,""))))</f>
        <v/>
      </c>
      <c r="L66" s="25" t="n"/>
      <c r="M66" s="26" t="n"/>
      <c r="N66" s="25" t="n"/>
      <c r="O66" s="25">
        <f>IF(K66="","",K66+IFERROR(L66,0)+(K66*IF(M66="",CUSTOMS_PCT,M66))+IF(N66="",MISC_FEE,N66))</f>
        <v/>
      </c>
      <c r="P66" s="25">
        <f>IF(O66="","",ROUND(O66*(1+MARKUP_PCT),-1)-1)</f>
        <v/>
      </c>
      <c r="Q66" s="25">
        <f>IF(P66="","",P66-O66)</f>
        <v/>
      </c>
      <c r="R66" s="26">
        <f>IF(OR(P66="",P66=0),"",Q66/P66)</f>
        <v/>
      </c>
      <c r="S66" s="23" t="n"/>
      <c r="T66" s="23" t="n"/>
      <c r="U66" s="23" t="n"/>
      <c r="V66" s="23" t="n"/>
      <c r="W66" s="23" t="n"/>
      <c r="X66" s="23" t="n"/>
      <c r="Y66" s="23" t="n"/>
      <c r="Z66" s="23" t="n"/>
      <c r="AA66" s="23" t="n"/>
      <c r="AB66" s="23" t="n"/>
      <c r="AC66" s="27">
        <f>IF(COUNT(S66:AB66)&lt;10,"",(S66*W_FEMININE+T66*W_TREND+U66*W_AESTHETIC+V66*W_STYLE+W66*W_LIGHT+X66*W_REELS+Y66*W_GIFT+Z66*W_PRICEFIT+AA66*W_DEMAND+AB66*W_QUALITY)/5*100)</f>
        <v/>
      </c>
      <c r="AD66" s="23">
        <f>IF(P66="","",IF(P66&gt;HARD_REJECT_PRICE,"Reject",IF(P66&gt;MAX_PRICE,"Price Review",IF(AC66="","",IF(AND(AC66&gt;=BUY_THRESHOLD,OR(AB66&lt;=2,U66&lt;=2)),"Maybe",IF(AC66&gt;=BUY_THRESHOLD,"Buy",IF(AC66&gt;=MAYBE_THRESHOLD,"Maybe","Reject")))))))</f>
        <v/>
      </c>
      <c r="AE66" s="23" t="n"/>
      <c r="AF66" s="23" t="n"/>
      <c r="AG66" s="23" t="n"/>
      <c r="AH66" s="23" t="n"/>
      <c r="AI66" s="24" t="n"/>
      <c r="AJ66">
        <f>IF(AC66="",-9999-ROW()*0.0000001,AC66-ROW()*0.0000001)</f>
        <v/>
      </c>
      <c r="AK66">
        <f>IF(OR(AC66="",P66="",P66&gt;MAX_PRICE),-9999-ROW()*0.0000001,AC66-ROW()*0.0000001)</f>
        <v/>
      </c>
      <c r="AL66">
        <f>IF(AC66="",-9999-ROW()*0.0000001,X66*1000+AC66-ROW()*0.0000001)</f>
        <v/>
      </c>
      <c r="AM66">
        <f>IF(AC66="",-9999-ROW()*0.0000001,Y66*1000+AC66-ROW()*0.0000001)</f>
        <v/>
      </c>
      <c r="AN66">
        <f>IF(AND(OR(AD66="Maybe",AD66="Price Review"),AG66&lt;&gt;"Approved",AG66&lt;&gt;"Rejected"),IF(AC66="",0,AC66)-ROW()*0.0000001,-9999-ROW()*0.0000001)</f>
        <v/>
      </c>
      <c r="AO66" s="28" t="n"/>
      <c r="AP66" s="28" t="n"/>
      <c r="AQ66" s="29" t="n"/>
      <c r="AR66" s="29" t="n"/>
      <c r="AS66" s="23" t="n"/>
      <c r="AT66" s="29" t="n"/>
      <c r="AU66" s="29" t="n"/>
      <c r="AV66" s="29" t="n"/>
      <c r="AW66" s="25">
        <f>IF(OR(O66="",AV66=""),"",O66*AV66)</f>
        <v/>
      </c>
      <c r="AX66" s="23" t="n"/>
      <c r="AY66" s="23" t="n"/>
      <c r="AZ66" s="23" t="n"/>
      <c r="BA66" s="23" t="n"/>
      <c r="BB66" s="23" t="n"/>
      <c r="BC66" s="25" t="n"/>
      <c r="BD66" s="23" t="n"/>
      <c r="BE66" s="23">
        <f>IF(C66="","",IF(AND(ISNUMBER(P66),P66&gt;MAX_PRICE),"Price too high",IF(AND(ISNUMBER(AB66),AB66&lt;=2),"Quality risk",IF(AND(ISNUMBER(U66),U66&lt;=2),"Aesthetic mismatch",IF(AY66="High","Too fragile",IF(AND(ISNUMBER(R66),R66&lt;LOW_PROFIT_PCT),"Low profit",IF(AND(ISNUMBER(AT66),AT66&gt;MOQ_WARNING),"MOQ too high",IF(OR(AD66="Maybe",AD66="Price Review"),"Needs partner review",IF(AD66="Buy","Good candidate","")))))))))</f>
        <v/>
      </c>
      <c r="BF66" s="23" t="n"/>
      <c r="BG66" s="23" t="n"/>
      <c r="BH66" s="23" t="n"/>
      <c r="BI66" s="23" t="n"/>
      <c r="BJ66" s="23" t="n"/>
      <c r="BK66" s="23" t="n"/>
      <c r="BL66" s="23">
        <f>IF(C66="","",IF(AND(BG66="Yes",BH66="Yes",BI66="Yes",BJ66="Yes",BK66="Yes"),"Yes","No"))</f>
        <v/>
      </c>
      <c r="BM66" s="25" t="n"/>
      <c r="BN66" s="25" t="n"/>
      <c r="BO66" s="25">
        <f>IF(OR(BM66="",BN66=""),"",BM66+BN66)</f>
        <v/>
      </c>
      <c r="BP66" s="25" t="n"/>
      <c r="BQ66" s="25">
        <f>IF(OR(BP66="",BO66=""),"",BP66-BO66)</f>
        <v/>
      </c>
      <c r="BR66" s="26">
        <f>IF(OR(BP66="",BP66=0,BQ66=""),"",BQ66/BP66)</f>
        <v/>
      </c>
      <c r="BS66" s="24" t="n"/>
      <c r="BT66" s="29" t="n"/>
      <c r="BU66" s="29" t="n"/>
      <c r="BV66" s="23" t="n"/>
      <c r="BW66" s="23" t="n"/>
      <c r="BX66" s="29">
        <f>IF(OR(BT66="",BU66=""),"",BT66-BU66)</f>
        <v/>
      </c>
      <c r="BY66" s="23" t="n"/>
      <c r="BZ66" s="24" t="n"/>
      <c r="CA66" s="23" t="n"/>
      <c r="CB66" s="23" t="n"/>
    </row>
    <row r="67">
      <c r="A67" s="16">
        <f>IF(C67="","","AYN-"&amp;IFERROR(VLOOKUP(E67,CATEGORY_PREFIX_TABLE,2,FALSE),"OTH")&amp;"-"&amp;TEXT(ROW()-2,"0000"))</f>
        <v/>
      </c>
      <c r="B67" s="17" t="n"/>
      <c r="C67" s="16" t="n"/>
      <c r="D67" s="16" t="n"/>
      <c r="E67" s="16" t="n"/>
      <c r="F67" s="16" t="n"/>
      <c r="G67" s="16" t="n"/>
      <c r="H67" s="16" t="n"/>
      <c r="I67" s="16" t="n"/>
      <c r="J67" s="16" t="n"/>
      <c r="K67" s="18">
        <f>IF(I67="","",IF(J67="BDT",I67,IF(J67="USD",I67*USD_BDT,IF(J67="RMB",I67*RMB_BDT,""))))</f>
        <v/>
      </c>
      <c r="L67" s="18" t="n"/>
      <c r="M67" s="19" t="n"/>
      <c r="N67" s="18" t="n"/>
      <c r="O67" s="18">
        <f>IF(K67="","",K67+IFERROR(L67,0)+(K67*IF(M67="",CUSTOMS_PCT,M67))+IF(N67="",MISC_FEE,N67))</f>
        <v/>
      </c>
      <c r="P67" s="18">
        <f>IF(O67="","",ROUND(O67*(1+MARKUP_PCT),-1)-1)</f>
        <v/>
      </c>
      <c r="Q67" s="18">
        <f>IF(P67="","",P67-O67)</f>
        <v/>
      </c>
      <c r="R67" s="19">
        <f>IF(OR(P67="",P67=0),"",Q67/P67)</f>
        <v/>
      </c>
      <c r="S67" s="16" t="n"/>
      <c r="T67" s="16" t="n"/>
      <c r="U67" s="16" t="n"/>
      <c r="V67" s="16" t="n"/>
      <c r="W67" s="16" t="n"/>
      <c r="X67" s="16" t="n"/>
      <c r="Y67" s="16" t="n"/>
      <c r="Z67" s="16" t="n"/>
      <c r="AA67" s="16" t="n"/>
      <c r="AB67" s="16" t="n"/>
      <c r="AC67" s="20">
        <f>IF(COUNT(S67:AB67)&lt;10,"",(S67*W_FEMININE+T67*W_TREND+U67*W_AESTHETIC+V67*W_STYLE+W67*W_LIGHT+X67*W_REELS+Y67*W_GIFT+Z67*W_PRICEFIT+AA67*W_DEMAND+AB67*W_QUALITY)/5*100)</f>
        <v/>
      </c>
      <c r="AD67" s="16">
        <f>IF(P67="","",IF(P67&gt;HARD_REJECT_PRICE,"Reject",IF(P67&gt;MAX_PRICE,"Price Review",IF(AC67="","",IF(AND(AC67&gt;=BUY_THRESHOLD,OR(AB67&lt;=2,U67&lt;=2)),"Maybe",IF(AC67&gt;=BUY_THRESHOLD,"Buy",IF(AC67&gt;=MAYBE_THRESHOLD,"Maybe","Reject")))))))</f>
        <v/>
      </c>
      <c r="AE67" s="16" t="n"/>
      <c r="AF67" s="16" t="n"/>
      <c r="AG67" s="16" t="n"/>
      <c r="AH67" s="16" t="n"/>
      <c r="AI67" s="17" t="n"/>
      <c r="AJ67">
        <f>IF(AC67="",-9999-ROW()*0.0000001,AC67-ROW()*0.0000001)</f>
        <v/>
      </c>
      <c r="AK67">
        <f>IF(OR(AC67="",P67="",P67&gt;MAX_PRICE),-9999-ROW()*0.0000001,AC67-ROW()*0.0000001)</f>
        <v/>
      </c>
      <c r="AL67">
        <f>IF(AC67="",-9999-ROW()*0.0000001,X67*1000+AC67-ROW()*0.0000001)</f>
        <v/>
      </c>
      <c r="AM67">
        <f>IF(AC67="",-9999-ROW()*0.0000001,Y67*1000+AC67-ROW()*0.0000001)</f>
        <v/>
      </c>
      <c r="AN67">
        <f>IF(AND(OR(AD67="Maybe",AD67="Price Review"),AG67&lt;&gt;"Approved",AG67&lt;&gt;"Rejected"),IF(AC67="",0,AC67)-ROW()*0.0000001,-9999-ROW()*0.0000001)</f>
        <v/>
      </c>
      <c r="AO67" s="21" t="n"/>
      <c r="AP67" s="21" t="n"/>
      <c r="AQ67" s="22" t="n"/>
      <c r="AR67" s="22" t="n"/>
      <c r="AS67" s="16" t="n"/>
      <c r="AT67" s="22" t="n"/>
      <c r="AU67" s="22" t="n"/>
      <c r="AV67" s="22" t="n"/>
      <c r="AW67" s="18">
        <f>IF(OR(O67="",AV67=""),"",O67*AV67)</f>
        <v/>
      </c>
      <c r="AX67" s="16" t="n"/>
      <c r="AY67" s="16" t="n"/>
      <c r="AZ67" s="16" t="n"/>
      <c r="BA67" s="16" t="n"/>
      <c r="BB67" s="16" t="n"/>
      <c r="BC67" s="18" t="n"/>
      <c r="BD67" s="16" t="n"/>
      <c r="BE67" s="16">
        <f>IF(C67="","",IF(AND(ISNUMBER(P67),P67&gt;MAX_PRICE),"Price too high",IF(AND(ISNUMBER(AB67),AB67&lt;=2),"Quality risk",IF(AND(ISNUMBER(U67),U67&lt;=2),"Aesthetic mismatch",IF(AY67="High","Too fragile",IF(AND(ISNUMBER(R67),R67&lt;LOW_PROFIT_PCT),"Low profit",IF(AND(ISNUMBER(AT67),AT67&gt;MOQ_WARNING),"MOQ too high",IF(OR(AD67="Maybe",AD67="Price Review"),"Needs partner review",IF(AD67="Buy","Good candidate","")))))))))</f>
        <v/>
      </c>
      <c r="BF67" s="16" t="n"/>
      <c r="BG67" s="16" t="n"/>
      <c r="BH67" s="16" t="n"/>
      <c r="BI67" s="16" t="n"/>
      <c r="BJ67" s="16" t="n"/>
      <c r="BK67" s="16" t="n"/>
      <c r="BL67" s="16">
        <f>IF(C67="","",IF(AND(BG67="Yes",BH67="Yes",BI67="Yes",BJ67="Yes",BK67="Yes"),"Yes","No"))</f>
        <v/>
      </c>
      <c r="BM67" s="18" t="n"/>
      <c r="BN67" s="18" t="n"/>
      <c r="BO67" s="18">
        <f>IF(OR(BM67="",BN67=""),"",BM67+BN67)</f>
        <v/>
      </c>
      <c r="BP67" s="18" t="n"/>
      <c r="BQ67" s="18">
        <f>IF(OR(BP67="",BO67=""),"",BP67-BO67)</f>
        <v/>
      </c>
      <c r="BR67" s="19">
        <f>IF(OR(BP67="",BP67=0,BQ67=""),"",BQ67/BP67)</f>
        <v/>
      </c>
      <c r="BS67" s="17" t="n"/>
      <c r="BT67" s="22" t="n"/>
      <c r="BU67" s="22" t="n"/>
      <c r="BV67" s="16" t="n"/>
      <c r="BW67" s="16" t="n"/>
      <c r="BX67" s="22">
        <f>IF(OR(BT67="",BU67=""),"",BT67-BU67)</f>
        <v/>
      </c>
      <c r="BY67" s="16" t="n"/>
      <c r="BZ67" s="17" t="n"/>
      <c r="CA67" s="16" t="n"/>
      <c r="CB67" s="16" t="n"/>
    </row>
    <row r="68">
      <c r="A68" s="23">
        <f>IF(C68="","","AYN-"&amp;IFERROR(VLOOKUP(E68,CATEGORY_PREFIX_TABLE,2,FALSE),"OTH")&amp;"-"&amp;TEXT(ROW()-2,"0000"))</f>
        <v/>
      </c>
      <c r="B68" s="24" t="n"/>
      <c r="C68" s="23" t="n"/>
      <c r="D68" s="23" t="n"/>
      <c r="E68" s="23" t="n"/>
      <c r="F68" s="23" t="n"/>
      <c r="G68" s="23" t="n"/>
      <c r="H68" s="23" t="n"/>
      <c r="I68" s="23" t="n"/>
      <c r="J68" s="23" t="n"/>
      <c r="K68" s="25">
        <f>IF(I68="","",IF(J68="BDT",I68,IF(J68="USD",I68*USD_BDT,IF(J68="RMB",I68*RMB_BDT,""))))</f>
        <v/>
      </c>
      <c r="L68" s="25" t="n"/>
      <c r="M68" s="26" t="n"/>
      <c r="N68" s="25" t="n"/>
      <c r="O68" s="25">
        <f>IF(K68="","",K68+IFERROR(L68,0)+(K68*IF(M68="",CUSTOMS_PCT,M68))+IF(N68="",MISC_FEE,N68))</f>
        <v/>
      </c>
      <c r="P68" s="25">
        <f>IF(O68="","",ROUND(O68*(1+MARKUP_PCT),-1)-1)</f>
        <v/>
      </c>
      <c r="Q68" s="25">
        <f>IF(P68="","",P68-O68)</f>
        <v/>
      </c>
      <c r="R68" s="26">
        <f>IF(OR(P68="",P68=0),"",Q68/P68)</f>
        <v/>
      </c>
      <c r="S68" s="23" t="n"/>
      <c r="T68" s="23" t="n"/>
      <c r="U68" s="23" t="n"/>
      <c r="V68" s="23" t="n"/>
      <c r="W68" s="23" t="n"/>
      <c r="X68" s="23" t="n"/>
      <c r="Y68" s="23" t="n"/>
      <c r="Z68" s="23" t="n"/>
      <c r="AA68" s="23" t="n"/>
      <c r="AB68" s="23" t="n"/>
      <c r="AC68" s="27">
        <f>IF(COUNT(S68:AB68)&lt;10,"",(S68*W_FEMININE+T68*W_TREND+U68*W_AESTHETIC+V68*W_STYLE+W68*W_LIGHT+X68*W_REELS+Y68*W_GIFT+Z68*W_PRICEFIT+AA68*W_DEMAND+AB68*W_QUALITY)/5*100)</f>
        <v/>
      </c>
      <c r="AD68" s="23">
        <f>IF(P68="","",IF(P68&gt;HARD_REJECT_PRICE,"Reject",IF(P68&gt;MAX_PRICE,"Price Review",IF(AC68="","",IF(AND(AC68&gt;=BUY_THRESHOLD,OR(AB68&lt;=2,U68&lt;=2)),"Maybe",IF(AC68&gt;=BUY_THRESHOLD,"Buy",IF(AC68&gt;=MAYBE_THRESHOLD,"Maybe","Reject")))))))</f>
        <v/>
      </c>
      <c r="AE68" s="23" t="n"/>
      <c r="AF68" s="23" t="n"/>
      <c r="AG68" s="23" t="n"/>
      <c r="AH68" s="23" t="n"/>
      <c r="AI68" s="24" t="n"/>
      <c r="AJ68">
        <f>IF(AC68="",-9999-ROW()*0.0000001,AC68-ROW()*0.0000001)</f>
        <v/>
      </c>
      <c r="AK68">
        <f>IF(OR(AC68="",P68="",P68&gt;MAX_PRICE),-9999-ROW()*0.0000001,AC68-ROW()*0.0000001)</f>
        <v/>
      </c>
      <c r="AL68">
        <f>IF(AC68="",-9999-ROW()*0.0000001,X68*1000+AC68-ROW()*0.0000001)</f>
        <v/>
      </c>
      <c r="AM68">
        <f>IF(AC68="",-9999-ROW()*0.0000001,Y68*1000+AC68-ROW()*0.0000001)</f>
        <v/>
      </c>
      <c r="AN68">
        <f>IF(AND(OR(AD68="Maybe",AD68="Price Review"),AG68&lt;&gt;"Approved",AG68&lt;&gt;"Rejected"),IF(AC68="",0,AC68)-ROW()*0.0000001,-9999-ROW()*0.0000001)</f>
        <v/>
      </c>
      <c r="AO68" s="28" t="n"/>
      <c r="AP68" s="28" t="n"/>
      <c r="AQ68" s="29" t="n"/>
      <c r="AR68" s="29" t="n"/>
      <c r="AS68" s="23" t="n"/>
      <c r="AT68" s="29" t="n"/>
      <c r="AU68" s="29" t="n"/>
      <c r="AV68" s="29" t="n"/>
      <c r="AW68" s="25">
        <f>IF(OR(O68="",AV68=""),"",O68*AV68)</f>
        <v/>
      </c>
      <c r="AX68" s="23" t="n"/>
      <c r="AY68" s="23" t="n"/>
      <c r="AZ68" s="23" t="n"/>
      <c r="BA68" s="23" t="n"/>
      <c r="BB68" s="23" t="n"/>
      <c r="BC68" s="25" t="n"/>
      <c r="BD68" s="23" t="n"/>
      <c r="BE68" s="23">
        <f>IF(C68="","",IF(AND(ISNUMBER(P68),P68&gt;MAX_PRICE),"Price too high",IF(AND(ISNUMBER(AB68),AB68&lt;=2),"Quality risk",IF(AND(ISNUMBER(U68),U68&lt;=2),"Aesthetic mismatch",IF(AY68="High","Too fragile",IF(AND(ISNUMBER(R68),R68&lt;LOW_PROFIT_PCT),"Low profit",IF(AND(ISNUMBER(AT68),AT68&gt;MOQ_WARNING),"MOQ too high",IF(OR(AD68="Maybe",AD68="Price Review"),"Needs partner review",IF(AD68="Buy","Good candidate","")))))))))</f>
        <v/>
      </c>
      <c r="BF68" s="23" t="n"/>
      <c r="BG68" s="23" t="n"/>
      <c r="BH68" s="23" t="n"/>
      <c r="BI68" s="23" t="n"/>
      <c r="BJ68" s="23" t="n"/>
      <c r="BK68" s="23" t="n"/>
      <c r="BL68" s="23">
        <f>IF(C68="","",IF(AND(BG68="Yes",BH68="Yes",BI68="Yes",BJ68="Yes",BK68="Yes"),"Yes","No"))</f>
        <v/>
      </c>
      <c r="BM68" s="25" t="n"/>
      <c r="BN68" s="25" t="n"/>
      <c r="BO68" s="25">
        <f>IF(OR(BM68="",BN68=""),"",BM68+BN68)</f>
        <v/>
      </c>
      <c r="BP68" s="25" t="n"/>
      <c r="BQ68" s="25">
        <f>IF(OR(BP68="",BO68=""),"",BP68-BO68)</f>
        <v/>
      </c>
      <c r="BR68" s="26">
        <f>IF(OR(BP68="",BP68=0,BQ68=""),"",BQ68/BP68)</f>
        <v/>
      </c>
      <c r="BS68" s="24" t="n"/>
      <c r="BT68" s="29" t="n"/>
      <c r="BU68" s="29" t="n"/>
      <c r="BV68" s="23" t="n"/>
      <c r="BW68" s="23" t="n"/>
      <c r="BX68" s="29">
        <f>IF(OR(BT68="",BU68=""),"",BT68-BU68)</f>
        <v/>
      </c>
      <c r="BY68" s="23" t="n"/>
      <c r="BZ68" s="24" t="n"/>
      <c r="CA68" s="23" t="n"/>
      <c r="CB68" s="23" t="n"/>
    </row>
    <row r="69">
      <c r="A69" s="16">
        <f>IF(C69="","","AYN-"&amp;IFERROR(VLOOKUP(E69,CATEGORY_PREFIX_TABLE,2,FALSE),"OTH")&amp;"-"&amp;TEXT(ROW()-2,"0000"))</f>
        <v/>
      </c>
      <c r="B69" s="17" t="n"/>
      <c r="C69" s="16" t="n"/>
      <c r="D69" s="16" t="n"/>
      <c r="E69" s="16" t="n"/>
      <c r="F69" s="16" t="n"/>
      <c r="G69" s="16" t="n"/>
      <c r="H69" s="16" t="n"/>
      <c r="I69" s="16" t="n"/>
      <c r="J69" s="16" t="n"/>
      <c r="K69" s="18">
        <f>IF(I69="","",IF(J69="BDT",I69,IF(J69="USD",I69*USD_BDT,IF(J69="RMB",I69*RMB_BDT,""))))</f>
        <v/>
      </c>
      <c r="L69" s="18" t="n"/>
      <c r="M69" s="19" t="n"/>
      <c r="N69" s="18" t="n"/>
      <c r="O69" s="18">
        <f>IF(K69="","",K69+IFERROR(L69,0)+(K69*IF(M69="",CUSTOMS_PCT,M69))+IF(N69="",MISC_FEE,N69))</f>
        <v/>
      </c>
      <c r="P69" s="18">
        <f>IF(O69="","",ROUND(O69*(1+MARKUP_PCT),-1)-1)</f>
        <v/>
      </c>
      <c r="Q69" s="18">
        <f>IF(P69="","",P69-O69)</f>
        <v/>
      </c>
      <c r="R69" s="19">
        <f>IF(OR(P69="",P69=0),"",Q69/P69)</f>
        <v/>
      </c>
      <c r="S69" s="16" t="n"/>
      <c r="T69" s="16" t="n"/>
      <c r="U69" s="16" t="n"/>
      <c r="V69" s="16" t="n"/>
      <c r="W69" s="16" t="n"/>
      <c r="X69" s="16" t="n"/>
      <c r="Y69" s="16" t="n"/>
      <c r="Z69" s="16" t="n"/>
      <c r="AA69" s="16" t="n"/>
      <c r="AB69" s="16" t="n"/>
      <c r="AC69" s="20">
        <f>IF(COUNT(S69:AB69)&lt;10,"",(S69*W_FEMININE+T69*W_TREND+U69*W_AESTHETIC+V69*W_STYLE+W69*W_LIGHT+X69*W_REELS+Y69*W_GIFT+Z69*W_PRICEFIT+AA69*W_DEMAND+AB69*W_QUALITY)/5*100)</f>
        <v/>
      </c>
      <c r="AD69" s="16">
        <f>IF(P69="","",IF(P69&gt;HARD_REJECT_PRICE,"Reject",IF(P69&gt;MAX_PRICE,"Price Review",IF(AC69="","",IF(AND(AC69&gt;=BUY_THRESHOLD,OR(AB69&lt;=2,U69&lt;=2)),"Maybe",IF(AC69&gt;=BUY_THRESHOLD,"Buy",IF(AC69&gt;=MAYBE_THRESHOLD,"Maybe","Reject")))))))</f>
        <v/>
      </c>
      <c r="AE69" s="16" t="n"/>
      <c r="AF69" s="16" t="n"/>
      <c r="AG69" s="16" t="n"/>
      <c r="AH69" s="16" t="n"/>
      <c r="AI69" s="17" t="n"/>
      <c r="AJ69">
        <f>IF(AC69="",-9999-ROW()*0.0000001,AC69-ROW()*0.0000001)</f>
        <v/>
      </c>
      <c r="AK69">
        <f>IF(OR(AC69="",P69="",P69&gt;MAX_PRICE),-9999-ROW()*0.0000001,AC69-ROW()*0.0000001)</f>
        <v/>
      </c>
      <c r="AL69">
        <f>IF(AC69="",-9999-ROW()*0.0000001,X69*1000+AC69-ROW()*0.0000001)</f>
        <v/>
      </c>
      <c r="AM69">
        <f>IF(AC69="",-9999-ROW()*0.0000001,Y69*1000+AC69-ROW()*0.0000001)</f>
        <v/>
      </c>
      <c r="AN69">
        <f>IF(AND(OR(AD69="Maybe",AD69="Price Review"),AG69&lt;&gt;"Approved",AG69&lt;&gt;"Rejected"),IF(AC69="",0,AC69)-ROW()*0.0000001,-9999-ROW()*0.0000001)</f>
        <v/>
      </c>
      <c r="AO69" s="21" t="n"/>
      <c r="AP69" s="21" t="n"/>
      <c r="AQ69" s="22" t="n"/>
      <c r="AR69" s="22" t="n"/>
      <c r="AS69" s="16" t="n"/>
      <c r="AT69" s="22" t="n"/>
      <c r="AU69" s="22" t="n"/>
      <c r="AV69" s="22" t="n"/>
      <c r="AW69" s="18">
        <f>IF(OR(O69="",AV69=""),"",O69*AV69)</f>
        <v/>
      </c>
      <c r="AX69" s="16" t="n"/>
      <c r="AY69" s="16" t="n"/>
      <c r="AZ69" s="16" t="n"/>
      <c r="BA69" s="16" t="n"/>
      <c r="BB69" s="16" t="n"/>
      <c r="BC69" s="18" t="n"/>
      <c r="BD69" s="16" t="n"/>
      <c r="BE69" s="16">
        <f>IF(C69="","",IF(AND(ISNUMBER(P69),P69&gt;MAX_PRICE),"Price too high",IF(AND(ISNUMBER(AB69),AB69&lt;=2),"Quality risk",IF(AND(ISNUMBER(U69),U69&lt;=2),"Aesthetic mismatch",IF(AY69="High","Too fragile",IF(AND(ISNUMBER(R69),R69&lt;LOW_PROFIT_PCT),"Low profit",IF(AND(ISNUMBER(AT69),AT69&gt;MOQ_WARNING),"MOQ too high",IF(OR(AD69="Maybe",AD69="Price Review"),"Needs partner review",IF(AD69="Buy","Good candidate","")))))))))</f>
        <v/>
      </c>
      <c r="BF69" s="16" t="n"/>
      <c r="BG69" s="16" t="n"/>
      <c r="BH69" s="16" t="n"/>
      <c r="BI69" s="16" t="n"/>
      <c r="BJ69" s="16" t="n"/>
      <c r="BK69" s="16" t="n"/>
      <c r="BL69" s="16">
        <f>IF(C69="","",IF(AND(BG69="Yes",BH69="Yes",BI69="Yes",BJ69="Yes",BK69="Yes"),"Yes","No"))</f>
        <v/>
      </c>
      <c r="BM69" s="18" t="n"/>
      <c r="BN69" s="18" t="n"/>
      <c r="BO69" s="18">
        <f>IF(OR(BM69="",BN69=""),"",BM69+BN69)</f>
        <v/>
      </c>
      <c r="BP69" s="18" t="n"/>
      <c r="BQ69" s="18">
        <f>IF(OR(BP69="",BO69=""),"",BP69-BO69)</f>
        <v/>
      </c>
      <c r="BR69" s="19">
        <f>IF(OR(BP69="",BP69=0,BQ69=""),"",BQ69/BP69)</f>
        <v/>
      </c>
      <c r="BS69" s="17" t="n"/>
      <c r="BT69" s="22" t="n"/>
      <c r="BU69" s="22" t="n"/>
      <c r="BV69" s="16" t="n"/>
      <c r="BW69" s="16" t="n"/>
      <c r="BX69" s="22">
        <f>IF(OR(BT69="",BU69=""),"",BT69-BU69)</f>
        <v/>
      </c>
      <c r="BY69" s="16" t="n"/>
      <c r="BZ69" s="17" t="n"/>
      <c r="CA69" s="16" t="n"/>
      <c r="CB69" s="16" t="n"/>
    </row>
    <row r="70">
      <c r="A70" s="23">
        <f>IF(C70="","","AYN-"&amp;IFERROR(VLOOKUP(E70,CATEGORY_PREFIX_TABLE,2,FALSE),"OTH")&amp;"-"&amp;TEXT(ROW()-2,"0000"))</f>
        <v/>
      </c>
      <c r="B70" s="24" t="n"/>
      <c r="C70" s="23" t="n"/>
      <c r="D70" s="23" t="n"/>
      <c r="E70" s="23" t="n"/>
      <c r="F70" s="23" t="n"/>
      <c r="G70" s="23" t="n"/>
      <c r="H70" s="23" t="n"/>
      <c r="I70" s="23" t="n"/>
      <c r="J70" s="23" t="n"/>
      <c r="K70" s="25">
        <f>IF(I70="","",IF(J70="BDT",I70,IF(J70="USD",I70*USD_BDT,IF(J70="RMB",I70*RMB_BDT,""))))</f>
        <v/>
      </c>
      <c r="L70" s="25" t="n"/>
      <c r="M70" s="26" t="n"/>
      <c r="N70" s="25" t="n"/>
      <c r="O70" s="25">
        <f>IF(K70="","",K70+IFERROR(L70,0)+(K70*IF(M70="",CUSTOMS_PCT,M70))+IF(N70="",MISC_FEE,N70))</f>
        <v/>
      </c>
      <c r="P70" s="25">
        <f>IF(O70="","",ROUND(O70*(1+MARKUP_PCT),-1)-1)</f>
        <v/>
      </c>
      <c r="Q70" s="25">
        <f>IF(P70="","",P70-O70)</f>
        <v/>
      </c>
      <c r="R70" s="26">
        <f>IF(OR(P70="",P70=0),"",Q70/P70)</f>
        <v/>
      </c>
      <c r="S70" s="23" t="n"/>
      <c r="T70" s="23" t="n"/>
      <c r="U70" s="23" t="n"/>
      <c r="V70" s="23" t="n"/>
      <c r="W70" s="23" t="n"/>
      <c r="X70" s="23" t="n"/>
      <c r="Y70" s="23" t="n"/>
      <c r="Z70" s="23" t="n"/>
      <c r="AA70" s="23" t="n"/>
      <c r="AB70" s="23" t="n"/>
      <c r="AC70" s="27">
        <f>IF(COUNT(S70:AB70)&lt;10,"",(S70*W_FEMININE+T70*W_TREND+U70*W_AESTHETIC+V70*W_STYLE+W70*W_LIGHT+X70*W_REELS+Y70*W_GIFT+Z70*W_PRICEFIT+AA70*W_DEMAND+AB70*W_QUALITY)/5*100)</f>
        <v/>
      </c>
      <c r="AD70" s="23">
        <f>IF(P70="","",IF(P70&gt;HARD_REJECT_PRICE,"Reject",IF(P70&gt;MAX_PRICE,"Price Review",IF(AC70="","",IF(AND(AC70&gt;=BUY_THRESHOLD,OR(AB70&lt;=2,U70&lt;=2)),"Maybe",IF(AC70&gt;=BUY_THRESHOLD,"Buy",IF(AC70&gt;=MAYBE_THRESHOLD,"Maybe","Reject")))))))</f>
        <v/>
      </c>
      <c r="AE70" s="23" t="n"/>
      <c r="AF70" s="23" t="n"/>
      <c r="AG70" s="23" t="n"/>
      <c r="AH70" s="23" t="n"/>
      <c r="AI70" s="24" t="n"/>
      <c r="AJ70">
        <f>IF(AC70="",-9999-ROW()*0.0000001,AC70-ROW()*0.0000001)</f>
        <v/>
      </c>
      <c r="AK70">
        <f>IF(OR(AC70="",P70="",P70&gt;MAX_PRICE),-9999-ROW()*0.0000001,AC70-ROW()*0.0000001)</f>
        <v/>
      </c>
      <c r="AL70">
        <f>IF(AC70="",-9999-ROW()*0.0000001,X70*1000+AC70-ROW()*0.0000001)</f>
        <v/>
      </c>
      <c r="AM70">
        <f>IF(AC70="",-9999-ROW()*0.0000001,Y70*1000+AC70-ROW()*0.0000001)</f>
        <v/>
      </c>
      <c r="AN70">
        <f>IF(AND(OR(AD70="Maybe",AD70="Price Review"),AG70&lt;&gt;"Approved",AG70&lt;&gt;"Rejected"),IF(AC70="",0,AC70)-ROW()*0.0000001,-9999-ROW()*0.0000001)</f>
        <v/>
      </c>
      <c r="AO70" s="28" t="n"/>
      <c r="AP70" s="28" t="n"/>
      <c r="AQ70" s="29" t="n"/>
      <c r="AR70" s="29" t="n"/>
      <c r="AS70" s="23" t="n"/>
      <c r="AT70" s="29" t="n"/>
      <c r="AU70" s="29" t="n"/>
      <c r="AV70" s="29" t="n"/>
      <c r="AW70" s="25">
        <f>IF(OR(O70="",AV70=""),"",O70*AV70)</f>
        <v/>
      </c>
      <c r="AX70" s="23" t="n"/>
      <c r="AY70" s="23" t="n"/>
      <c r="AZ70" s="23" t="n"/>
      <c r="BA70" s="23" t="n"/>
      <c r="BB70" s="23" t="n"/>
      <c r="BC70" s="25" t="n"/>
      <c r="BD70" s="23" t="n"/>
      <c r="BE70" s="23">
        <f>IF(C70="","",IF(AND(ISNUMBER(P70),P70&gt;MAX_PRICE),"Price too high",IF(AND(ISNUMBER(AB70),AB70&lt;=2),"Quality risk",IF(AND(ISNUMBER(U70),U70&lt;=2),"Aesthetic mismatch",IF(AY70="High","Too fragile",IF(AND(ISNUMBER(R70),R70&lt;LOW_PROFIT_PCT),"Low profit",IF(AND(ISNUMBER(AT70),AT70&gt;MOQ_WARNING),"MOQ too high",IF(OR(AD70="Maybe",AD70="Price Review"),"Needs partner review",IF(AD70="Buy","Good candidate","")))))))))</f>
        <v/>
      </c>
      <c r="BF70" s="23" t="n"/>
      <c r="BG70" s="23" t="n"/>
      <c r="BH70" s="23" t="n"/>
      <c r="BI70" s="23" t="n"/>
      <c r="BJ70" s="23" t="n"/>
      <c r="BK70" s="23" t="n"/>
      <c r="BL70" s="23">
        <f>IF(C70="","",IF(AND(BG70="Yes",BH70="Yes",BI70="Yes",BJ70="Yes",BK70="Yes"),"Yes","No"))</f>
        <v/>
      </c>
      <c r="BM70" s="25" t="n"/>
      <c r="BN70" s="25" t="n"/>
      <c r="BO70" s="25">
        <f>IF(OR(BM70="",BN70=""),"",BM70+BN70)</f>
        <v/>
      </c>
      <c r="BP70" s="25" t="n"/>
      <c r="BQ70" s="25">
        <f>IF(OR(BP70="",BO70=""),"",BP70-BO70)</f>
        <v/>
      </c>
      <c r="BR70" s="26">
        <f>IF(OR(BP70="",BP70=0,BQ70=""),"",BQ70/BP70)</f>
        <v/>
      </c>
      <c r="BS70" s="24" t="n"/>
      <c r="BT70" s="29" t="n"/>
      <c r="BU70" s="29" t="n"/>
      <c r="BV70" s="23" t="n"/>
      <c r="BW70" s="23" t="n"/>
      <c r="BX70" s="29">
        <f>IF(OR(BT70="",BU70=""),"",BT70-BU70)</f>
        <v/>
      </c>
      <c r="BY70" s="23" t="n"/>
      <c r="BZ70" s="24" t="n"/>
      <c r="CA70" s="23" t="n"/>
      <c r="CB70" s="23" t="n"/>
    </row>
    <row r="71">
      <c r="A71" s="16">
        <f>IF(C71="","","AYN-"&amp;IFERROR(VLOOKUP(E71,CATEGORY_PREFIX_TABLE,2,FALSE),"OTH")&amp;"-"&amp;TEXT(ROW()-2,"0000"))</f>
        <v/>
      </c>
      <c r="B71" s="17" t="n"/>
      <c r="C71" s="16" t="n"/>
      <c r="D71" s="16" t="n"/>
      <c r="E71" s="16" t="n"/>
      <c r="F71" s="16" t="n"/>
      <c r="G71" s="16" t="n"/>
      <c r="H71" s="16" t="n"/>
      <c r="I71" s="16" t="n"/>
      <c r="J71" s="16" t="n"/>
      <c r="K71" s="18">
        <f>IF(I71="","",IF(J71="BDT",I71,IF(J71="USD",I71*USD_BDT,IF(J71="RMB",I71*RMB_BDT,""))))</f>
        <v/>
      </c>
      <c r="L71" s="18" t="n"/>
      <c r="M71" s="19" t="n"/>
      <c r="N71" s="18" t="n"/>
      <c r="O71" s="18">
        <f>IF(K71="","",K71+IFERROR(L71,0)+(K71*IF(M71="",CUSTOMS_PCT,M71))+IF(N71="",MISC_FEE,N71))</f>
        <v/>
      </c>
      <c r="P71" s="18">
        <f>IF(O71="","",ROUND(O71*(1+MARKUP_PCT),-1)-1)</f>
        <v/>
      </c>
      <c r="Q71" s="18">
        <f>IF(P71="","",P71-O71)</f>
        <v/>
      </c>
      <c r="R71" s="19">
        <f>IF(OR(P71="",P71=0),"",Q71/P71)</f>
        <v/>
      </c>
      <c r="S71" s="16" t="n"/>
      <c r="T71" s="16" t="n"/>
      <c r="U71" s="16" t="n"/>
      <c r="V71" s="16" t="n"/>
      <c r="W71" s="16" t="n"/>
      <c r="X71" s="16" t="n"/>
      <c r="Y71" s="16" t="n"/>
      <c r="Z71" s="16" t="n"/>
      <c r="AA71" s="16" t="n"/>
      <c r="AB71" s="16" t="n"/>
      <c r="AC71" s="20">
        <f>IF(COUNT(S71:AB71)&lt;10,"",(S71*W_FEMININE+T71*W_TREND+U71*W_AESTHETIC+V71*W_STYLE+W71*W_LIGHT+X71*W_REELS+Y71*W_GIFT+Z71*W_PRICEFIT+AA71*W_DEMAND+AB71*W_QUALITY)/5*100)</f>
        <v/>
      </c>
      <c r="AD71" s="16">
        <f>IF(P71="","",IF(P71&gt;HARD_REJECT_PRICE,"Reject",IF(P71&gt;MAX_PRICE,"Price Review",IF(AC71="","",IF(AND(AC71&gt;=BUY_THRESHOLD,OR(AB71&lt;=2,U71&lt;=2)),"Maybe",IF(AC71&gt;=BUY_THRESHOLD,"Buy",IF(AC71&gt;=MAYBE_THRESHOLD,"Maybe","Reject")))))))</f>
        <v/>
      </c>
      <c r="AE71" s="16" t="n"/>
      <c r="AF71" s="16" t="n"/>
      <c r="AG71" s="16" t="n"/>
      <c r="AH71" s="16" t="n"/>
      <c r="AI71" s="17" t="n"/>
      <c r="AJ71">
        <f>IF(AC71="",-9999-ROW()*0.0000001,AC71-ROW()*0.0000001)</f>
        <v/>
      </c>
      <c r="AK71">
        <f>IF(OR(AC71="",P71="",P71&gt;MAX_PRICE),-9999-ROW()*0.0000001,AC71-ROW()*0.0000001)</f>
        <v/>
      </c>
      <c r="AL71">
        <f>IF(AC71="",-9999-ROW()*0.0000001,X71*1000+AC71-ROW()*0.0000001)</f>
        <v/>
      </c>
      <c r="AM71">
        <f>IF(AC71="",-9999-ROW()*0.0000001,Y71*1000+AC71-ROW()*0.0000001)</f>
        <v/>
      </c>
      <c r="AN71">
        <f>IF(AND(OR(AD71="Maybe",AD71="Price Review"),AG71&lt;&gt;"Approved",AG71&lt;&gt;"Rejected"),IF(AC71="",0,AC71)-ROW()*0.0000001,-9999-ROW()*0.0000001)</f>
        <v/>
      </c>
      <c r="AO71" s="21" t="n"/>
      <c r="AP71" s="21" t="n"/>
      <c r="AQ71" s="22" t="n"/>
      <c r="AR71" s="22" t="n"/>
      <c r="AS71" s="16" t="n"/>
      <c r="AT71" s="22" t="n"/>
      <c r="AU71" s="22" t="n"/>
      <c r="AV71" s="22" t="n"/>
      <c r="AW71" s="18">
        <f>IF(OR(O71="",AV71=""),"",O71*AV71)</f>
        <v/>
      </c>
      <c r="AX71" s="16" t="n"/>
      <c r="AY71" s="16" t="n"/>
      <c r="AZ71" s="16" t="n"/>
      <c r="BA71" s="16" t="n"/>
      <c r="BB71" s="16" t="n"/>
      <c r="BC71" s="18" t="n"/>
      <c r="BD71" s="16" t="n"/>
      <c r="BE71" s="16">
        <f>IF(C71="","",IF(AND(ISNUMBER(P71),P71&gt;MAX_PRICE),"Price too high",IF(AND(ISNUMBER(AB71),AB71&lt;=2),"Quality risk",IF(AND(ISNUMBER(U71),U71&lt;=2),"Aesthetic mismatch",IF(AY71="High","Too fragile",IF(AND(ISNUMBER(R71),R71&lt;LOW_PROFIT_PCT),"Low profit",IF(AND(ISNUMBER(AT71),AT71&gt;MOQ_WARNING),"MOQ too high",IF(OR(AD71="Maybe",AD71="Price Review"),"Needs partner review",IF(AD71="Buy","Good candidate","")))))))))</f>
        <v/>
      </c>
      <c r="BF71" s="16" t="n"/>
      <c r="BG71" s="16" t="n"/>
      <c r="BH71" s="16" t="n"/>
      <c r="BI71" s="16" t="n"/>
      <c r="BJ71" s="16" t="n"/>
      <c r="BK71" s="16" t="n"/>
      <c r="BL71" s="16">
        <f>IF(C71="","",IF(AND(BG71="Yes",BH71="Yes",BI71="Yes",BJ71="Yes",BK71="Yes"),"Yes","No"))</f>
        <v/>
      </c>
      <c r="BM71" s="18" t="n"/>
      <c r="BN71" s="18" t="n"/>
      <c r="BO71" s="18">
        <f>IF(OR(BM71="",BN71=""),"",BM71+BN71)</f>
        <v/>
      </c>
      <c r="BP71" s="18" t="n"/>
      <c r="BQ71" s="18">
        <f>IF(OR(BP71="",BO71=""),"",BP71-BO71)</f>
        <v/>
      </c>
      <c r="BR71" s="19">
        <f>IF(OR(BP71="",BP71=0,BQ71=""),"",BQ71/BP71)</f>
        <v/>
      </c>
      <c r="BS71" s="17" t="n"/>
      <c r="BT71" s="22" t="n"/>
      <c r="BU71" s="22" t="n"/>
      <c r="BV71" s="16" t="n"/>
      <c r="BW71" s="16" t="n"/>
      <c r="BX71" s="22">
        <f>IF(OR(BT71="",BU71=""),"",BT71-BU71)</f>
        <v/>
      </c>
      <c r="BY71" s="16" t="n"/>
      <c r="BZ71" s="17" t="n"/>
      <c r="CA71" s="16" t="n"/>
      <c r="CB71" s="16" t="n"/>
    </row>
    <row r="72">
      <c r="A72" s="23">
        <f>IF(C72="","","AYN-"&amp;IFERROR(VLOOKUP(E72,CATEGORY_PREFIX_TABLE,2,FALSE),"OTH")&amp;"-"&amp;TEXT(ROW()-2,"0000"))</f>
        <v/>
      </c>
      <c r="B72" s="24" t="n"/>
      <c r="C72" s="23" t="n"/>
      <c r="D72" s="23" t="n"/>
      <c r="E72" s="23" t="n"/>
      <c r="F72" s="23" t="n"/>
      <c r="G72" s="23" t="n"/>
      <c r="H72" s="23" t="n"/>
      <c r="I72" s="23" t="n"/>
      <c r="J72" s="23" t="n"/>
      <c r="K72" s="25">
        <f>IF(I72="","",IF(J72="BDT",I72,IF(J72="USD",I72*USD_BDT,IF(J72="RMB",I72*RMB_BDT,""))))</f>
        <v/>
      </c>
      <c r="L72" s="25" t="n"/>
      <c r="M72" s="26" t="n"/>
      <c r="N72" s="25" t="n"/>
      <c r="O72" s="25">
        <f>IF(K72="","",K72+IFERROR(L72,0)+(K72*IF(M72="",CUSTOMS_PCT,M72))+IF(N72="",MISC_FEE,N72))</f>
        <v/>
      </c>
      <c r="P72" s="25">
        <f>IF(O72="","",ROUND(O72*(1+MARKUP_PCT),-1)-1)</f>
        <v/>
      </c>
      <c r="Q72" s="25">
        <f>IF(P72="","",P72-O72)</f>
        <v/>
      </c>
      <c r="R72" s="26">
        <f>IF(OR(P72="",P72=0),"",Q72/P72)</f>
        <v/>
      </c>
      <c r="S72" s="23" t="n"/>
      <c r="T72" s="23" t="n"/>
      <c r="U72" s="23" t="n"/>
      <c r="V72" s="23" t="n"/>
      <c r="W72" s="23" t="n"/>
      <c r="X72" s="23" t="n"/>
      <c r="Y72" s="23" t="n"/>
      <c r="Z72" s="23" t="n"/>
      <c r="AA72" s="23" t="n"/>
      <c r="AB72" s="23" t="n"/>
      <c r="AC72" s="27">
        <f>IF(COUNT(S72:AB72)&lt;10,"",(S72*W_FEMININE+T72*W_TREND+U72*W_AESTHETIC+V72*W_STYLE+W72*W_LIGHT+X72*W_REELS+Y72*W_GIFT+Z72*W_PRICEFIT+AA72*W_DEMAND+AB72*W_QUALITY)/5*100)</f>
        <v/>
      </c>
      <c r="AD72" s="23">
        <f>IF(P72="","",IF(P72&gt;HARD_REJECT_PRICE,"Reject",IF(P72&gt;MAX_PRICE,"Price Review",IF(AC72="","",IF(AND(AC72&gt;=BUY_THRESHOLD,OR(AB72&lt;=2,U72&lt;=2)),"Maybe",IF(AC72&gt;=BUY_THRESHOLD,"Buy",IF(AC72&gt;=MAYBE_THRESHOLD,"Maybe","Reject")))))))</f>
        <v/>
      </c>
      <c r="AE72" s="23" t="n"/>
      <c r="AF72" s="23" t="n"/>
      <c r="AG72" s="23" t="n"/>
      <c r="AH72" s="23" t="n"/>
      <c r="AI72" s="24" t="n"/>
      <c r="AJ72">
        <f>IF(AC72="",-9999-ROW()*0.0000001,AC72-ROW()*0.0000001)</f>
        <v/>
      </c>
      <c r="AK72">
        <f>IF(OR(AC72="",P72="",P72&gt;MAX_PRICE),-9999-ROW()*0.0000001,AC72-ROW()*0.0000001)</f>
        <v/>
      </c>
      <c r="AL72">
        <f>IF(AC72="",-9999-ROW()*0.0000001,X72*1000+AC72-ROW()*0.0000001)</f>
        <v/>
      </c>
      <c r="AM72">
        <f>IF(AC72="",-9999-ROW()*0.0000001,Y72*1000+AC72-ROW()*0.0000001)</f>
        <v/>
      </c>
      <c r="AN72">
        <f>IF(AND(OR(AD72="Maybe",AD72="Price Review"),AG72&lt;&gt;"Approved",AG72&lt;&gt;"Rejected"),IF(AC72="",0,AC72)-ROW()*0.0000001,-9999-ROW()*0.0000001)</f>
        <v/>
      </c>
      <c r="AO72" s="28" t="n"/>
      <c r="AP72" s="28" t="n"/>
      <c r="AQ72" s="29" t="n"/>
      <c r="AR72" s="29" t="n"/>
      <c r="AS72" s="23" t="n"/>
      <c r="AT72" s="29" t="n"/>
      <c r="AU72" s="29" t="n"/>
      <c r="AV72" s="29" t="n"/>
      <c r="AW72" s="25">
        <f>IF(OR(O72="",AV72=""),"",O72*AV72)</f>
        <v/>
      </c>
      <c r="AX72" s="23" t="n"/>
      <c r="AY72" s="23" t="n"/>
      <c r="AZ72" s="23" t="n"/>
      <c r="BA72" s="23" t="n"/>
      <c r="BB72" s="23" t="n"/>
      <c r="BC72" s="25" t="n"/>
      <c r="BD72" s="23" t="n"/>
      <c r="BE72" s="23">
        <f>IF(C72="","",IF(AND(ISNUMBER(P72),P72&gt;MAX_PRICE),"Price too high",IF(AND(ISNUMBER(AB72),AB72&lt;=2),"Quality risk",IF(AND(ISNUMBER(U72),U72&lt;=2),"Aesthetic mismatch",IF(AY72="High","Too fragile",IF(AND(ISNUMBER(R72),R72&lt;LOW_PROFIT_PCT),"Low profit",IF(AND(ISNUMBER(AT72),AT72&gt;MOQ_WARNING),"MOQ too high",IF(OR(AD72="Maybe",AD72="Price Review"),"Needs partner review",IF(AD72="Buy","Good candidate","")))))))))</f>
        <v/>
      </c>
      <c r="BF72" s="23" t="n"/>
      <c r="BG72" s="23" t="n"/>
      <c r="BH72" s="23" t="n"/>
      <c r="BI72" s="23" t="n"/>
      <c r="BJ72" s="23" t="n"/>
      <c r="BK72" s="23" t="n"/>
      <c r="BL72" s="23">
        <f>IF(C72="","",IF(AND(BG72="Yes",BH72="Yes",BI72="Yes",BJ72="Yes",BK72="Yes"),"Yes","No"))</f>
        <v/>
      </c>
      <c r="BM72" s="25" t="n"/>
      <c r="BN72" s="25" t="n"/>
      <c r="BO72" s="25">
        <f>IF(OR(BM72="",BN72=""),"",BM72+BN72)</f>
        <v/>
      </c>
      <c r="BP72" s="25" t="n"/>
      <c r="BQ72" s="25">
        <f>IF(OR(BP72="",BO72=""),"",BP72-BO72)</f>
        <v/>
      </c>
      <c r="BR72" s="26">
        <f>IF(OR(BP72="",BP72=0,BQ72=""),"",BQ72/BP72)</f>
        <v/>
      </c>
      <c r="BS72" s="24" t="n"/>
      <c r="BT72" s="29" t="n"/>
      <c r="BU72" s="29" t="n"/>
      <c r="BV72" s="23" t="n"/>
      <c r="BW72" s="23" t="n"/>
      <c r="BX72" s="29">
        <f>IF(OR(BT72="",BU72=""),"",BT72-BU72)</f>
        <v/>
      </c>
      <c r="BY72" s="23" t="n"/>
      <c r="BZ72" s="24" t="n"/>
      <c r="CA72" s="23" t="n"/>
      <c r="CB72" s="23" t="n"/>
    </row>
    <row r="73">
      <c r="A73" s="16">
        <f>IF(C73="","","AYN-"&amp;IFERROR(VLOOKUP(E73,CATEGORY_PREFIX_TABLE,2,FALSE),"OTH")&amp;"-"&amp;TEXT(ROW()-2,"0000"))</f>
        <v/>
      </c>
      <c r="B73" s="17" t="n"/>
      <c r="C73" s="16" t="n"/>
      <c r="D73" s="16" t="n"/>
      <c r="E73" s="16" t="n"/>
      <c r="F73" s="16" t="n"/>
      <c r="G73" s="16" t="n"/>
      <c r="H73" s="16" t="n"/>
      <c r="I73" s="16" t="n"/>
      <c r="J73" s="16" t="n"/>
      <c r="K73" s="18">
        <f>IF(I73="","",IF(J73="BDT",I73,IF(J73="USD",I73*USD_BDT,IF(J73="RMB",I73*RMB_BDT,""))))</f>
        <v/>
      </c>
      <c r="L73" s="18" t="n"/>
      <c r="M73" s="19" t="n"/>
      <c r="N73" s="18" t="n"/>
      <c r="O73" s="18">
        <f>IF(K73="","",K73+IFERROR(L73,0)+(K73*IF(M73="",CUSTOMS_PCT,M73))+IF(N73="",MISC_FEE,N73))</f>
        <v/>
      </c>
      <c r="P73" s="18">
        <f>IF(O73="","",ROUND(O73*(1+MARKUP_PCT),-1)-1)</f>
        <v/>
      </c>
      <c r="Q73" s="18">
        <f>IF(P73="","",P73-O73)</f>
        <v/>
      </c>
      <c r="R73" s="19">
        <f>IF(OR(P73="",P73=0),"",Q73/P73)</f>
        <v/>
      </c>
      <c r="S73" s="16" t="n"/>
      <c r="T73" s="16" t="n"/>
      <c r="U73" s="16" t="n"/>
      <c r="V73" s="16" t="n"/>
      <c r="W73" s="16" t="n"/>
      <c r="X73" s="16" t="n"/>
      <c r="Y73" s="16" t="n"/>
      <c r="Z73" s="16" t="n"/>
      <c r="AA73" s="16" t="n"/>
      <c r="AB73" s="16" t="n"/>
      <c r="AC73" s="20">
        <f>IF(COUNT(S73:AB73)&lt;10,"",(S73*W_FEMININE+T73*W_TREND+U73*W_AESTHETIC+V73*W_STYLE+W73*W_LIGHT+X73*W_REELS+Y73*W_GIFT+Z73*W_PRICEFIT+AA73*W_DEMAND+AB73*W_QUALITY)/5*100)</f>
        <v/>
      </c>
      <c r="AD73" s="16">
        <f>IF(P73="","",IF(P73&gt;HARD_REJECT_PRICE,"Reject",IF(P73&gt;MAX_PRICE,"Price Review",IF(AC73="","",IF(AND(AC73&gt;=BUY_THRESHOLD,OR(AB73&lt;=2,U73&lt;=2)),"Maybe",IF(AC73&gt;=BUY_THRESHOLD,"Buy",IF(AC73&gt;=MAYBE_THRESHOLD,"Maybe","Reject")))))))</f>
        <v/>
      </c>
      <c r="AE73" s="16" t="n"/>
      <c r="AF73" s="16" t="n"/>
      <c r="AG73" s="16" t="n"/>
      <c r="AH73" s="16" t="n"/>
      <c r="AI73" s="17" t="n"/>
      <c r="AJ73">
        <f>IF(AC73="",-9999-ROW()*0.0000001,AC73-ROW()*0.0000001)</f>
        <v/>
      </c>
      <c r="AK73">
        <f>IF(OR(AC73="",P73="",P73&gt;MAX_PRICE),-9999-ROW()*0.0000001,AC73-ROW()*0.0000001)</f>
        <v/>
      </c>
      <c r="AL73">
        <f>IF(AC73="",-9999-ROW()*0.0000001,X73*1000+AC73-ROW()*0.0000001)</f>
        <v/>
      </c>
      <c r="AM73">
        <f>IF(AC73="",-9999-ROW()*0.0000001,Y73*1000+AC73-ROW()*0.0000001)</f>
        <v/>
      </c>
      <c r="AN73">
        <f>IF(AND(OR(AD73="Maybe",AD73="Price Review"),AG73&lt;&gt;"Approved",AG73&lt;&gt;"Rejected"),IF(AC73="",0,AC73)-ROW()*0.0000001,-9999-ROW()*0.0000001)</f>
        <v/>
      </c>
      <c r="AO73" s="21" t="n"/>
      <c r="AP73" s="21" t="n"/>
      <c r="AQ73" s="22" t="n"/>
      <c r="AR73" s="22" t="n"/>
      <c r="AS73" s="16" t="n"/>
      <c r="AT73" s="22" t="n"/>
      <c r="AU73" s="22" t="n"/>
      <c r="AV73" s="22" t="n"/>
      <c r="AW73" s="18">
        <f>IF(OR(O73="",AV73=""),"",O73*AV73)</f>
        <v/>
      </c>
      <c r="AX73" s="16" t="n"/>
      <c r="AY73" s="16" t="n"/>
      <c r="AZ73" s="16" t="n"/>
      <c r="BA73" s="16" t="n"/>
      <c r="BB73" s="16" t="n"/>
      <c r="BC73" s="18" t="n"/>
      <c r="BD73" s="16" t="n"/>
      <c r="BE73" s="16">
        <f>IF(C73="","",IF(AND(ISNUMBER(P73),P73&gt;MAX_PRICE),"Price too high",IF(AND(ISNUMBER(AB73),AB73&lt;=2),"Quality risk",IF(AND(ISNUMBER(U73),U73&lt;=2),"Aesthetic mismatch",IF(AY73="High","Too fragile",IF(AND(ISNUMBER(R73),R73&lt;LOW_PROFIT_PCT),"Low profit",IF(AND(ISNUMBER(AT73),AT73&gt;MOQ_WARNING),"MOQ too high",IF(OR(AD73="Maybe",AD73="Price Review"),"Needs partner review",IF(AD73="Buy","Good candidate","")))))))))</f>
        <v/>
      </c>
      <c r="BF73" s="16" t="n"/>
      <c r="BG73" s="16" t="n"/>
      <c r="BH73" s="16" t="n"/>
      <c r="BI73" s="16" t="n"/>
      <c r="BJ73" s="16" t="n"/>
      <c r="BK73" s="16" t="n"/>
      <c r="BL73" s="16">
        <f>IF(C73="","",IF(AND(BG73="Yes",BH73="Yes",BI73="Yes",BJ73="Yes",BK73="Yes"),"Yes","No"))</f>
        <v/>
      </c>
      <c r="BM73" s="18" t="n"/>
      <c r="BN73" s="18" t="n"/>
      <c r="BO73" s="18">
        <f>IF(OR(BM73="",BN73=""),"",BM73+BN73)</f>
        <v/>
      </c>
      <c r="BP73" s="18" t="n"/>
      <c r="BQ73" s="18">
        <f>IF(OR(BP73="",BO73=""),"",BP73-BO73)</f>
        <v/>
      </c>
      <c r="BR73" s="19">
        <f>IF(OR(BP73="",BP73=0,BQ73=""),"",BQ73/BP73)</f>
        <v/>
      </c>
      <c r="BS73" s="17" t="n"/>
      <c r="BT73" s="22" t="n"/>
      <c r="BU73" s="22" t="n"/>
      <c r="BV73" s="16" t="n"/>
      <c r="BW73" s="16" t="n"/>
      <c r="BX73" s="22">
        <f>IF(OR(BT73="",BU73=""),"",BT73-BU73)</f>
        <v/>
      </c>
      <c r="BY73" s="16" t="n"/>
      <c r="BZ73" s="17" t="n"/>
      <c r="CA73" s="16" t="n"/>
      <c r="CB73" s="16" t="n"/>
    </row>
    <row r="74">
      <c r="A74" s="23">
        <f>IF(C74="","","AYN-"&amp;IFERROR(VLOOKUP(E74,CATEGORY_PREFIX_TABLE,2,FALSE),"OTH")&amp;"-"&amp;TEXT(ROW()-2,"0000"))</f>
        <v/>
      </c>
      <c r="B74" s="24" t="n"/>
      <c r="C74" s="23" t="n"/>
      <c r="D74" s="23" t="n"/>
      <c r="E74" s="23" t="n"/>
      <c r="F74" s="23" t="n"/>
      <c r="G74" s="23" t="n"/>
      <c r="H74" s="23" t="n"/>
      <c r="I74" s="23" t="n"/>
      <c r="J74" s="23" t="n"/>
      <c r="K74" s="25">
        <f>IF(I74="","",IF(J74="BDT",I74,IF(J74="USD",I74*USD_BDT,IF(J74="RMB",I74*RMB_BDT,""))))</f>
        <v/>
      </c>
      <c r="L74" s="25" t="n"/>
      <c r="M74" s="26" t="n"/>
      <c r="N74" s="25" t="n"/>
      <c r="O74" s="25">
        <f>IF(K74="","",K74+IFERROR(L74,0)+(K74*IF(M74="",CUSTOMS_PCT,M74))+IF(N74="",MISC_FEE,N74))</f>
        <v/>
      </c>
      <c r="P74" s="25">
        <f>IF(O74="","",ROUND(O74*(1+MARKUP_PCT),-1)-1)</f>
        <v/>
      </c>
      <c r="Q74" s="25">
        <f>IF(P74="","",P74-O74)</f>
        <v/>
      </c>
      <c r="R74" s="26">
        <f>IF(OR(P74="",P74=0),"",Q74/P74)</f>
        <v/>
      </c>
      <c r="S74" s="23" t="n"/>
      <c r="T74" s="23" t="n"/>
      <c r="U74" s="23" t="n"/>
      <c r="V74" s="23" t="n"/>
      <c r="W74" s="23" t="n"/>
      <c r="X74" s="23" t="n"/>
      <c r="Y74" s="23" t="n"/>
      <c r="Z74" s="23" t="n"/>
      <c r="AA74" s="23" t="n"/>
      <c r="AB74" s="23" t="n"/>
      <c r="AC74" s="27">
        <f>IF(COUNT(S74:AB74)&lt;10,"",(S74*W_FEMININE+T74*W_TREND+U74*W_AESTHETIC+V74*W_STYLE+W74*W_LIGHT+X74*W_REELS+Y74*W_GIFT+Z74*W_PRICEFIT+AA74*W_DEMAND+AB74*W_QUALITY)/5*100)</f>
        <v/>
      </c>
      <c r="AD74" s="23">
        <f>IF(P74="","",IF(P74&gt;HARD_REJECT_PRICE,"Reject",IF(P74&gt;MAX_PRICE,"Price Review",IF(AC74="","",IF(AND(AC74&gt;=BUY_THRESHOLD,OR(AB74&lt;=2,U74&lt;=2)),"Maybe",IF(AC74&gt;=BUY_THRESHOLD,"Buy",IF(AC74&gt;=MAYBE_THRESHOLD,"Maybe","Reject")))))))</f>
        <v/>
      </c>
      <c r="AE74" s="23" t="n"/>
      <c r="AF74" s="23" t="n"/>
      <c r="AG74" s="23" t="n"/>
      <c r="AH74" s="23" t="n"/>
      <c r="AI74" s="24" t="n"/>
      <c r="AJ74">
        <f>IF(AC74="",-9999-ROW()*0.0000001,AC74-ROW()*0.0000001)</f>
        <v/>
      </c>
      <c r="AK74">
        <f>IF(OR(AC74="",P74="",P74&gt;MAX_PRICE),-9999-ROW()*0.0000001,AC74-ROW()*0.0000001)</f>
        <v/>
      </c>
      <c r="AL74">
        <f>IF(AC74="",-9999-ROW()*0.0000001,X74*1000+AC74-ROW()*0.0000001)</f>
        <v/>
      </c>
      <c r="AM74">
        <f>IF(AC74="",-9999-ROW()*0.0000001,Y74*1000+AC74-ROW()*0.0000001)</f>
        <v/>
      </c>
      <c r="AN74">
        <f>IF(AND(OR(AD74="Maybe",AD74="Price Review"),AG74&lt;&gt;"Approved",AG74&lt;&gt;"Rejected"),IF(AC74="",0,AC74)-ROW()*0.0000001,-9999-ROW()*0.0000001)</f>
        <v/>
      </c>
      <c r="AO74" s="28" t="n"/>
      <c r="AP74" s="28" t="n"/>
      <c r="AQ74" s="29" t="n"/>
      <c r="AR74" s="29" t="n"/>
      <c r="AS74" s="23" t="n"/>
      <c r="AT74" s="29" t="n"/>
      <c r="AU74" s="29" t="n"/>
      <c r="AV74" s="29" t="n"/>
      <c r="AW74" s="25">
        <f>IF(OR(O74="",AV74=""),"",O74*AV74)</f>
        <v/>
      </c>
      <c r="AX74" s="23" t="n"/>
      <c r="AY74" s="23" t="n"/>
      <c r="AZ74" s="23" t="n"/>
      <c r="BA74" s="23" t="n"/>
      <c r="BB74" s="23" t="n"/>
      <c r="BC74" s="25" t="n"/>
      <c r="BD74" s="23" t="n"/>
      <c r="BE74" s="23">
        <f>IF(C74="","",IF(AND(ISNUMBER(P74),P74&gt;MAX_PRICE),"Price too high",IF(AND(ISNUMBER(AB74),AB74&lt;=2),"Quality risk",IF(AND(ISNUMBER(U74),U74&lt;=2),"Aesthetic mismatch",IF(AY74="High","Too fragile",IF(AND(ISNUMBER(R74),R74&lt;LOW_PROFIT_PCT),"Low profit",IF(AND(ISNUMBER(AT74),AT74&gt;MOQ_WARNING),"MOQ too high",IF(OR(AD74="Maybe",AD74="Price Review"),"Needs partner review",IF(AD74="Buy","Good candidate","")))))))))</f>
        <v/>
      </c>
      <c r="BF74" s="23" t="n"/>
      <c r="BG74" s="23" t="n"/>
      <c r="BH74" s="23" t="n"/>
      <c r="BI74" s="23" t="n"/>
      <c r="BJ74" s="23" t="n"/>
      <c r="BK74" s="23" t="n"/>
      <c r="BL74" s="23">
        <f>IF(C74="","",IF(AND(BG74="Yes",BH74="Yes",BI74="Yes",BJ74="Yes",BK74="Yes"),"Yes","No"))</f>
        <v/>
      </c>
      <c r="BM74" s="25" t="n"/>
      <c r="BN74" s="25" t="n"/>
      <c r="BO74" s="25">
        <f>IF(OR(BM74="",BN74=""),"",BM74+BN74)</f>
        <v/>
      </c>
      <c r="BP74" s="25" t="n"/>
      <c r="BQ74" s="25">
        <f>IF(OR(BP74="",BO74=""),"",BP74-BO74)</f>
        <v/>
      </c>
      <c r="BR74" s="26">
        <f>IF(OR(BP74="",BP74=0,BQ74=""),"",BQ74/BP74)</f>
        <v/>
      </c>
      <c r="BS74" s="24" t="n"/>
      <c r="BT74" s="29" t="n"/>
      <c r="BU74" s="29" t="n"/>
      <c r="BV74" s="23" t="n"/>
      <c r="BW74" s="23" t="n"/>
      <c r="BX74" s="29">
        <f>IF(OR(BT74="",BU74=""),"",BT74-BU74)</f>
        <v/>
      </c>
      <c r="BY74" s="23" t="n"/>
      <c r="BZ74" s="24" t="n"/>
      <c r="CA74" s="23" t="n"/>
      <c r="CB74" s="23" t="n"/>
    </row>
    <row r="75">
      <c r="A75" s="16">
        <f>IF(C75="","","AYN-"&amp;IFERROR(VLOOKUP(E75,CATEGORY_PREFIX_TABLE,2,FALSE),"OTH")&amp;"-"&amp;TEXT(ROW()-2,"0000"))</f>
        <v/>
      </c>
      <c r="B75" s="17" t="n"/>
      <c r="C75" s="16" t="n"/>
      <c r="D75" s="16" t="n"/>
      <c r="E75" s="16" t="n"/>
      <c r="F75" s="16" t="n"/>
      <c r="G75" s="16" t="n"/>
      <c r="H75" s="16" t="n"/>
      <c r="I75" s="16" t="n"/>
      <c r="J75" s="16" t="n"/>
      <c r="K75" s="18">
        <f>IF(I75="","",IF(J75="BDT",I75,IF(J75="USD",I75*USD_BDT,IF(J75="RMB",I75*RMB_BDT,""))))</f>
        <v/>
      </c>
      <c r="L75" s="18" t="n"/>
      <c r="M75" s="19" t="n"/>
      <c r="N75" s="18" t="n"/>
      <c r="O75" s="18">
        <f>IF(K75="","",K75+IFERROR(L75,0)+(K75*IF(M75="",CUSTOMS_PCT,M75))+IF(N75="",MISC_FEE,N75))</f>
        <v/>
      </c>
      <c r="P75" s="18">
        <f>IF(O75="","",ROUND(O75*(1+MARKUP_PCT),-1)-1)</f>
        <v/>
      </c>
      <c r="Q75" s="18">
        <f>IF(P75="","",P75-O75)</f>
        <v/>
      </c>
      <c r="R75" s="19">
        <f>IF(OR(P75="",P75=0),"",Q75/P75)</f>
        <v/>
      </c>
      <c r="S75" s="16" t="n"/>
      <c r="T75" s="16" t="n"/>
      <c r="U75" s="16" t="n"/>
      <c r="V75" s="16" t="n"/>
      <c r="W75" s="16" t="n"/>
      <c r="X75" s="16" t="n"/>
      <c r="Y75" s="16" t="n"/>
      <c r="Z75" s="16" t="n"/>
      <c r="AA75" s="16" t="n"/>
      <c r="AB75" s="16" t="n"/>
      <c r="AC75" s="20">
        <f>IF(COUNT(S75:AB75)&lt;10,"",(S75*W_FEMININE+T75*W_TREND+U75*W_AESTHETIC+V75*W_STYLE+W75*W_LIGHT+X75*W_REELS+Y75*W_GIFT+Z75*W_PRICEFIT+AA75*W_DEMAND+AB75*W_QUALITY)/5*100)</f>
        <v/>
      </c>
      <c r="AD75" s="16">
        <f>IF(P75="","",IF(P75&gt;HARD_REJECT_PRICE,"Reject",IF(P75&gt;MAX_PRICE,"Price Review",IF(AC75="","",IF(AND(AC75&gt;=BUY_THRESHOLD,OR(AB75&lt;=2,U75&lt;=2)),"Maybe",IF(AC75&gt;=BUY_THRESHOLD,"Buy",IF(AC75&gt;=MAYBE_THRESHOLD,"Maybe","Reject")))))))</f>
        <v/>
      </c>
      <c r="AE75" s="16" t="n"/>
      <c r="AF75" s="16" t="n"/>
      <c r="AG75" s="16" t="n"/>
      <c r="AH75" s="16" t="n"/>
      <c r="AI75" s="17" t="n"/>
      <c r="AJ75">
        <f>IF(AC75="",-9999-ROW()*0.0000001,AC75-ROW()*0.0000001)</f>
        <v/>
      </c>
      <c r="AK75">
        <f>IF(OR(AC75="",P75="",P75&gt;MAX_PRICE),-9999-ROW()*0.0000001,AC75-ROW()*0.0000001)</f>
        <v/>
      </c>
      <c r="AL75">
        <f>IF(AC75="",-9999-ROW()*0.0000001,X75*1000+AC75-ROW()*0.0000001)</f>
        <v/>
      </c>
      <c r="AM75">
        <f>IF(AC75="",-9999-ROW()*0.0000001,Y75*1000+AC75-ROW()*0.0000001)</f>
        <v/>
      </c>
      <c r="AN75">
        <f>IF(AND(OR(AD75="Maybe",AD75="Price Review"),AG75&lt;&gt;"Approved",AG75&lt;&gt;"Rejected"),IF(AC75="",0,AC75)-ROW()*0.0000001,-9999-ROW()*0.0000001)</f>
        <v/>
      </c>
      <c r="AO75" s="21" t="n"/>
      <c r="AP75" s="21" t="n"/>
      <c r="AQ75" s="22" t="n"/>
      <c r="AR75" s="22" t="n"/>
      <c r="AS75" s="16" t="n"/>
      <c r="AT75" s="22" t="n"/>
      <c r="AU75" s="22" t="n"/>
      <c r="AV75" s="22" t="n"/>
      <c r="AW75" s="18">
        <f>IF(OR(O75="",AV75=""),"",O75*AV75)</f>
        <v/>
      </c>
      <c r="AX75" s="16" t="n"/>
      <c r="AY75" s="16" t="n"/>
      <c r="AZ75" s="16" t="n"/>
      <c r="BA75" s="16" t="n"/>
      <c r="BB75" s="16" t="n"/>
      <c r="BC75" s="18" t="n"/>
      <c r="BD75" s="16" t="n"/>
      <c r="BE75" s="16">
        <f>IF(C75="","",IF(AND(ISNUMBER(P75),P75&gt;MAX_PRICE),"Price too high",IF(AND(ISNUMBER(AB75),AB75&lt;=2),"Quality risk",IF(AND(ISNUMBER(U75),U75&lt;=2),"Aesthetic mismatch",IF(AY75="High","Too fragile",IF(AND(ISNUMBER(R75),R75&lt;LOW_PROFIT_PCT),"Low profit",IF(AND(ISNUMBER(AT75),AT75&gt;MOQ_WARNING),"MOQ too high",IF(OR(AD75="Maybe",AD75="Price Review"),"Needs partner review",IF(AD75="Buy","Good candidate","")))))))))</f>
        <v/>
      </c>
      <c r="BF75" s="16" t="n"/>
      <c r="BG75" s="16" t="n"/>
      <c r="BH75" s="16" t="n"/>
      <c r="BI75" s="16" t="n"/>
      <c r="BJ75" s="16" t="n"/>
      <c r="BK75" s="16" t="n"/>
      <c r="BL75" s="16">
        <f>IF(C75="","",IF(AND(BG75="Yes",BH75="Yes",BI75="Yes",BJ75="Yes",BK75="Yes"),"Yes","No"))</f>
        <v/>
      </c>
      <c r="BM75" s="18" t="n"/>
      <c r="BN75" s="18" t="n"/>
      <c r="BO75" s="18">
        <f>IF(OR(BM75="",BN75=""),"",BM75+BN75)</f>
        <v/>
      </c>
      <c r="BP75" s="18" t="n"/>
      <c r="BQ75" s="18">
        <f>IF(OR(BP75="",BO75=""),"",BP75-BO75)</f>
        <v/>
      </c>
      <c r="BR75" s="19">
        <f>IF(OR(BP75="",BP75=0,BQ75=""),"",BQ75/BP75)</f>
        <v/>
      </c>
      <c r="BS75" s="17" t="n"/>
      <c r="BT75" s="22" t="n"/>
      <c r="BU75" s="22" t="n"/>
      <c r="BV75" s="16" t="n"/>
      <c r="BW75" s="16" t="n"/>
      <c r="BX75" s="22">
        <f>IF(OR(BT75="",BU75=""),"",BT75-BU75)</f>
        <v/>
      </c>
      <c r="BY75" s="16" t="n"/>
      <c r="BZ75" s="17" t="n"/>
      <c r="CA75" s="16" t="n"/>
      <c r="CB75" s="16" t="n"/>
    </row>
    <row r="76">
      <c r="A76" s="23">
        <f>IF(C76="","","AYN-"&amp;IFERROR(VLOOKUP(E76,CATEGORY_PREFIX_TABLE,2,FALSE),"OTH")&amp;"-"&amp;TEXT(ROW()-2,"0000"))</f>
        <v/>
      </c>
      <c r="B76" s="24" t="n"/>
      <c r="C76" s="23" t="n"/>
      <c r="D76" s="23" t="n"/>
      <c r="E76" s="23" t="n"/>
      <c r="F76" s="23" t="n"/>
      <c r="G76" s="23" t="n"/>
      <c r="H76" s="23" t="n"/>
      <c r="I76" s="23" t="n"/>
      <c r="J76" s="23" t="n"/>
      <c r="K76" s="25">
        <f>IF(I76="","",IF(J76="BDT",I76,IF(J76="USD",I76*USD_BDT,IF(J76="RMB",I76*RMB_BDT,""))))</f>
        <v/>
      </c>
      <c r="L76" s="25" t="n"/>
      <c r="M76" s="26" t="n"/>
      <c r="N76" s="25" t="n"/>
      <c r="O76" s="25">
        <f>IF(K76="","",K76+IFERROR(L76,0)+(K76*IF(M76="",CUSTOMS_PCT,M76))+IF(N76="",MISC_FEE,N76))</f>
        <v/>
      </c>
      <c r="P76" s="25">
        <f>IF(O76="","",ROUND(O76*(1+MARKUP_PCT),-1)-1)</f>
        <v/>
      </c>
      <c r="Q76" s="25">
        <f>IF(P76="","",P76-O76)</f>
        <v/>
      </c>
      <c r="R76" s="26">
        <f>IF(OR(P76="",P76=0),"",Q76/P76)</f>
        <v/>
      </c>
      <c r="S76" s="23" t="n"/>
      <c r="T76" s="23" t="n"/>
      <c r="U76" s="23" t="n"/>
      <c r="V76" s="23" t="n"/>
      <c r="W76" s="23" t="n"/>
      <c r="X76" s="23" t="n"/>
      <c r="Y76" s="23" t="n"/>
      <c r="Z76" s="23" t="n"/>
      <c r="AA76" s="23" t="n"/>
      <c r="AB76" s="23" t="n"/>
      <c r="AC76" s="27">
        <f>IF(COUNT(S76:AB76)&lt;10,"",(S76*W_FEMININE+T76*W_TREND+U76*W_AESTHETIC+V76*W_STYLE+W76*W_LIGHT+X76*W_REELS+Y76*W_GIFT+Z76*W_PRICEFIT+AA76*W_DEMAND+AB76*W_QUALITY)/5*100)</f>
        <v/>
      </c>
      <c r="AD76" s="23">
        <f>IF(P76="","",IF(P76&gt;HARD_REJECT_PRICE,"Reject",IF(P76&gt;MAX_PRICE,"Price Review",IF(AC76="","",IF(AND(AC76&gt;=BUY_THRESHOLD,OR(AB76&lt;=2,U76&lt;=2)),"Maybe",IF(AC76&gt;=BUY_THRESHOLD,"Buy",IF(AC76&gt;=MAYBE_THRESHOLD,"Maybe","Reject")))))))</f>
        <v/>
      </c>
      <c r="AE76" s="23" t="n"/>
      <c r="AF76" s="23" t="n"/>
      <c r="AG76" s="23" t="n"/>
      <c r="AH76" s="23" t="n"/>
      <c r="AI76" s="24" t="n"/>
      <c r="AJ76">
        <f>IF(AC76="",-9999-ROW()*0.0000001,AC76-ROW()*0.0000001)</f>
        <v/>
      </c>
      <c r="AK76">
        <f>IF(OR(AC76="",P76="",P76&gt;MAX_PRICE),-9999-ROW()*0.0000001,AC76-ROW()*0.0000001)</f>
        <v/>
      </c>
      <c r="AL76">
        <f>IF(AC76="",-9999-ROW()*0.0000001,X76*1000+AC76-ROW()*0.0000001)</f>
        <v/>
      </c>
      <c r="AM76">
        <f>IF(AC76="",-9999-ROW()*0.0000001,Y76*1000+AC76-ROW()*0.0000001)</f>
        <v/>
      </c>
      <c r="AN76">
        <f>IF(AND(OR(AD76="Maybe",AD76="Price Review"),AG76&lt;&gt;"Approved",AG76&lt;&gt;"Rejected"),IF(AC76="",0,AC76)-ROW()*0.0000001,-9999-ROW()*0.0000001)</f>
        <v/>
      </c>
      <c r="AO76" s="28" t="n"/>
      <c r="AP76" s="28" t="n"/>
      <c r="AQ76" s="29" t="n"/>
      <c r="AR76" s="29" t="n"/>
      <c r="AS76" s="23" t="n"/>
      <c r="AT76" s="29" t="n"/>
      <c r="AU76" s="29" t="n"/>
      <c r="AV76" s="29" t="n"/>
      <c r="AW76" s="25">
        <f>IF(OR(O76="",AV76=""),"",O76*AV76)</f>
        <v/>
      </c>
      <c r="AX76" s="23" t="n"/>
      <c r="AY76" s="23" t="n"/>
      <c r="AZ76" s="23" t="n"/>
      <c r="BA76" s="23" t="n"/>
      <c r="BB76" s="23" t="n"/>
      <c r="BC76" s="25" t="n"/>
      <c r="BD76" s="23" t="n"/>
      <c r="BE76" s="23">
        <f>IF(C76="","",IF(AND(ISNUMBER(P76),P76&gt;MAX_PRICE),"Price too high",IF(AND(ISNUMBER(AB76),AB76&lt;=2),"Quality risk",IF(AND(ISNUMBER(U76),U76&lt;=2),"Aesthetic mismatch",IF(AY76="High","Too fragile",IF(AND(ISNUMBER(R76),R76&lt;LOW_PROFIT_PCT),"Low profit",IF(AND(ISNUMBER(AT76),AT76&gt;MOQ_WARNING),"MOQ too high",IF(OR(AD76="Maybe",AD76="Price Review"),"Needs partner review",IF(AD76="Buy","Good candidate","")))))))))</f>
        <v/>
      </c>
      <c r="BF76" s="23" t="n"/>
      <c r="BG76" s="23" t="n"/>
      <c r="BH76" s="23" t="n"/>
      <c r="BI76" s="23" t="n"/>
      <c r="BJ76" s="23" t="n"/>
      <c r="BK76" s="23" t="n"/>
      <c r="BL76" s="23">
        <f>IF(C76="","",IF(AND(BG76="Yes",BH76="Yes",BI76="Yes",BJ76="Yes",BK76="Yes"),"Yes","No"))</f>
        <v/>
      </c>
      <c r="BM76" s="25" t="n"/>
      <c r="BN76" s="25" t="n"/>
      <c r="BO76" s="25">
        <f>IF(OR(BM76="",BN76=""),"",BM76+BN76)</f>
        <v/>
      </c>
      <c r="BP76" s="25" t="n"/>
      <c r="BQ76" s="25">
        <f>IF(OR(BP76="",BO76=""),"",BP76-BO76)</f>
        <v/>
      </c>
      <c r="BR76" s="26">
        <f>IF(OR(BP76="",BP76=0,BQ76=""),"",BQ76/BP76)</f>
        <v/>
      </c>
      <c r="BS76" s="24" t="n"/>
      <c r="BT76" s="29" t="n"/>
      <c r="BU76" s="29" t="n"/>
      <c r="BV76" s="23" t="n"/>
      <c r="BW76" s="23" t="n"/>
      <c r="BX76" s="29">
        <f>IF(OR(BT76="",BU76=""),"",BT76-BU76)</f>
        <v/>
      </c>
      <c r="BY76" s="23" t="n"/>
      <c r="BZ76" s="24" t="n"/>
      <c r="CA76" s="23" t="n"/>
      <c r="CB76" s="23" t="n"/>
    </row>
    <row r="77">
      <c r="A77" s="16">
        <f>IF(C77="","","AYN-"&amp;IFERROR(VLOOKUP(E77,CATEGORY_PREFIX_TABLE,2,FALSE),"OTH")&amp;"-"&amp;TEXT(ROW()-2,"0000"))</f>
        <v/>
      </c>
      <c r="B77" s="17" t="n"/>
      <c r="C77" s="16" t="n"/>
      <c r="D77" s="16" t="n"/>
      <c r="E77" s="16" t="n"/>
      <c r="F77" s="16" t="n"/>
      <c r="G77" s="16" t="n"/>
      <c r="H77" s="16" t="n"/>
      <c r="I77" s="16" t="n"/>
      <c r="J77" s="16" t="n"/>
      <c r="K77" s="18">
        <f>IF(I77="","",IF(J77="BDT",I77,IF(J77="USD",I77*USD_BDT,IF(J77="RMB",I77*RMB_BDT,""))))</f>
        <v/>
      </c>
      <c r="L77" s="18" t="n"/>
      <c r="M77" s="19" t="n"/>
      <c r="N77" s="18" t="n"/>
      <c r="O77" s="18">
        <f>IF(K77="","",K77+IFERROR(L77,0)+(K77*IF(M77="",CUSTOMS_PCT,M77))+IF(N77="",MISC_FEE,N77))</f>
        <v/>
      </c>
      <c r="P77" s="18">
        <f>IF(O77="","",ROUND(O77*(1+MARKUP_PCT),-1)-1)</f>
        <v/>
      </c>
      <c r="Q77" s="18">
        <f>IF(P77="","",P77-O77)</f>
        <v/>
      </c>
      <c r="R77" s="19">
        <f>IF(OR(P77="",P77=0),"",Q77/P77)</f>
        <v/>
      </c>
      <c r="S77" s="16" t="n"/>
      <c r="T77" s="16" t="n"/>
      <c r="U77" s="16" t="n"/>
      <c r="V77" s="16" t="n"/>
      <c r="W77" s="16" t="n"/>
      <c r="X77" s="16" t="n"/>
      <c r="Y77" s="16" t="n"/>
      <c r="Z77" s="16" t="n"/>
      <c r="AA77" s="16" t="n"/>
      <c r="AB77" s="16" t="n"/>
      <c r="AC77" s="20">
        <f>IF(COUNT(S77:AB77)&lt;10,"",(S77*W_FEMININE+T77*W_TREND+U77*W_AESTHETIC+V77*W_STYLE+W77*W_LIGHT+X77*W_REELS+Y77*W_GIFT+Z77*W_PRICEFIT+AA77*W_DEMAND+AB77*W_QUALITY)/5*100)</f>
        <v/>
      </c>
      <c r="AD77" s="16">
        <f>IF(P77="","",IF(P77&gt;HARD_REJECT_PRICE,"Reject",IF(P77&gt;MAX_PRICE,"Price Review",IF(AC77="","",IF(AND(AC77&gt;=BUY_THRESHOLD,OR(AB77&lt;=2,U77&lt;=2)),"Maybe",IF(AC77&gt;=BUY_THRESHOLD,"Buy",IF(AC77&gt;=MAYBE_THRESHOLD,"Maybe","Reject")))))))</f>
        <v/>
      </c>
      <c r="AE77" s="16" t="n"/>
      <c r="AF77" s="16" t="n"/>
      <c r="AG77" s="16" t="n"/>
      <c r="AH77" s="16" t="n"/>
      <c r="AI77" s="17" t="n"/>
      <c r="AJ77">
        <f>IF(AC77="",-9999-ROW()*0.0000001,AC77-ROW()*0.0000001)</f>
        <v/>
      </c>
      <c r="AK77">
        <f>IF(OR(AC77="",P77="",P77&gt;MAX_PRICE),-9999-ROW()*0.0000001,AC77-ROW()*0.0000001)</f>
        <v/>
      </c>
      <c r="AL77">
        <f>IF(AC77="",-9999-ROW()*0.0000001,X77*1000+AC77-ROW()*0.0000001)</f>
        <v/>
      </c>
      <c r="AM77">
        <f>IF(AC77="",-9999-ROW()*0.0000001,Y77*1000+AC77-ROW()*0.0000001)</f>
        <v/>
      </c>
      <c r="AN77">
        <f>IF(AND(OR(AD77="Maybe",AD77="Price Review"),AG77&lt;&gt;"Approved",AG77&lt;&gt;"Rejected"),IF(AC77="",0,AC77)-ROW()*0.0000001,-9999-ROW()*0.0000001)</f>
        <v/>
      </c>
      <c r="AO77" s="21" t="n"/>
      <c r="AP77" s="21" t="n"/>
      <c r="AQ77" s="22" t="n"/>
      <c r="AR77" s="22" t="n"/>
      <c r="AS77" s="16" t="n"/>
      <c r="AT77" s="22" t="n"/>
      <c r="AU77" s="22" t="n"/>
      <c r="AV77" s="22" t="n"/>
      <c r="AW77" s="18">
        <f>IF(OR(O77="",AV77=""),"",O77*AV77)</f>
        <v/>
      </c>
      <c r="AX77" s="16" t="n"/>
      <c r="AY77" s="16" t="n"/>
      <c r="AZ77" s="16" t="n"/>
      <c r="BA77" s="16" t="n"/>
      <c r="BB77" s="16" t="n"/>
      <c r="BC77" s="18" t="n"/>
      <c r="BD77" s="16" t="n"/>
      <c r="BE77" s="16">
        <f>IF(C77="","",IF(AND(ISNUMBER(P77),P77&gt;MAX_PRICE),"Price too high",IF(AND(ISNUMBER(AB77),AB77&lt;=2),"Quality risk",IF(AND(ISNUMBER(U77),U77&lt;=2),"Aesthetic mismatch",IF(AY77="High","Too fragile",IF(AND(ISNUMBER(R77),R77&lt;LOW_PROFIT_PCT),"Low profit",IF(AND(ISNUMBER(AT77),AT77&gt;MOQ_WARNING),"MOQ too high",IF(OR(AD77="Maybe",AD77="Price Review"),"Needs partner review",IF(AD77="Buy","Good candidate","")))))))))</f>
        <v/>
      </c>
      <c r="BF77" s="16" t="n"/>
      <c r="BG77" s="16" t="n"/>
      <c r="BH77" s="16" t="n"/>
      <c r="BI77" s="16" t="n"/>
      <c r="BJ77" s="16" t="n"/>
      <c r="BK77" s="16" t="n"/>
      <c r="BL77" s="16">
        <f>IF(C77="","",IF(AND(BG77="Yes",BH77="Yes",BI77="Yes",BJ77="Yes",BK77="Yes"),"Yes","No"))</f>
        <v/>
      </c>
      <c r="BM77" s="18" t="n"/>
      <c r="BN77" s="18" t="n"/>
      <c r="BO77" s="18">
        <f>IF(OR(BM77="",BN77=""),"",BM77+BN77)</f>
        <v/>
      </c>
      <c r="BP77" s="18" t="n"/>
      <c r="BQ77" s="18">
        <f>IF(OR(BP77="",BO77=""),"",BP77-BO77)</f>
        <v/>
      </c>
      <c r="BR77" s="19">
        <f>IF(OR(BP77="",BP77=0,BQ77=""),"",BQ77/BP77)</f>
        <v/>
      </c>
      <c r="BS77" s="17" t="n"/>
      <c r="BT77" s="22" t="n"/>
      <c r="BU77" s="22" t="n"/>
      <c r="BV77" s="16" t="n"/>
      <c r="BW77" s="16" t="n"/>
      <c r="BX77" s="22">
        <f>IF(OR(BT77="",BU77=""),"",BT77-BU77)</f>
        <v/>
      </c>
      <c r="BY77" s="16" t="n"/>
      <c r="BZ77" s="17" t="n"/>
      <c r="CA77" s="16" t="n"/>
      <c r="CB77" s="16" t="n"/>
    </row>
    <row r="78">
      <c r="A78" s="23">
        <f>IF(C78="","","AYN-"&amp;IFERROR(VLOOKUP(E78,CATEGORY_PREFIX_TABLE,2,FALSE),"OTH")&amp;"-"&amp;TEXT(ROW()-2,"0000"))</f>
        <v/>
      </c>
      <c r="B78" s="24" t="n"/>
      <c r="C78" s="23" t="n"/>
      <c r="D78" s="23" t="n"/>
      <c r="E78" s="23" t="n"/>
      <c r="F78" s="23" t="n"/>
      <c r="G78" s="23" t="n"/>
      <c r="H78" s="23" t="n"/>
      <c r="I78" s="23" t="n"/>
      <c r="J78" s="23" t="n"/>
      <c r="K78" s="25">
        <f>IF(I78="","",IF(J78="BDT",I78,IF(J78="USD",I78*USD_BDT,IF(J78="RMB",I78*RMB_BDT,""))))</f>
        <v/>
      </c>
      <c r="L78" s="25" t="n"/>
      <c r="M78" s="26" t="n"/>
      <c r="N78" s="25" t="n"/>
      <c r="O78" s="25">
        <f>IF(K78="","",K78+IFERROR(L78,0)+(K78*IF(M78="",CUSTOMS_PCT,M78))+IF(N78="",MISC_FEE,N78))</f>
        <v/>
      </c>
      <c r="P78" s="25">
        <f>IF(O78="","",ROUND(O78*(1+MARKUP_PCT),-1)-1)</f>
        <v/>
      </c>
      <c r="Q78" s="25">
        <f>IF(P78="","",P78-O78)</f>
        <v/>
      </c>
      <c r="R78" s="26">
        <f>IF(OR(P78="",P78=0),"",Q78/P78)</f>
        <v/>
      </c>
      <c r="S78" s="23" t="n"/>
      <c r="T78" s="23" t="n"/>
      <c r="U78" s="23" t="n"/>
      <c r="V78" s="23" t="n"/>
      <c r="W78" s="23" t="n"/>
      <c r="X78" s="23" t="n"/>
      <c r="Y78" s="23" t="n"/>
      <c r="Z78" s="23" t="n"/>
      <c r="AA78" s="23" t="n"/>
      <c r="AB78" s="23" t="n"/>
      <c r="AC78" s="27">
        <f>IF(COUNT(S78:AB78)&lt;10,"",(S78*W_FEMININE+T78*W_TREND+U78*W_AESTHETIC+V78*W_STYLE+W78*W_LIGHT+X78*W_REELS+Y78*W_GIFT+Z78*W_PRICEFIT+AA78*W_DEMAND+AB78*W_QUALITY)/5*100)</f>
        <v/>
      </c>
      <c r="AD78" s="23">
        <f>IF(P78="","",IF(P78&gt;HARD_REJECT_PRICE,"Reject",IF(P78&gt;MAX_PRICE,"Price Review",IF(AC78="","",IF(AND(AC78&gt;=BUY_THRESHOLD,OR(AB78&lt;=2,U78&lt;=2)),"Maybe",IF(AC78&gt;=BUY_THRESHOLD,"Buy",IF(AC78&gt;=MAYBE_THRESHOLD,"Maybe","Reject")))))))</f>
        <v/>
      </c>
      <c r="AE78" s="23" t="n"/>
      <c r="AF78" s="23" t="n"/>
      <c r="AG78" s="23" t="n"/>
      <c r="AH78" s="23" t="n"/>
      <c r="AI78" s="24" t="n"/>
      <c r="AJ78">
        <f>IF(AC78="",-9999-ROW()*0.0000001,AC78-ROW()*0.0000001)</f>
        <v/>
      </c>
      <c r="AK78">
        <f>IF(OR(AC78="",P78="",P78&gt;MAX_PRICE),-9999-ROW()*0.0000001,AC78-ROW()*0.0000001)</f>
        <v/>
      </c>
      <c r="AL78">
        <f>IF(AC78="",-9999-ROW()*0.0000001,X78*1000+AC78-ROW()*0.0000001)</f>
        <v/>
      </c>
      <c r="AM78">
        <f>IF(AC78="",-9999-ROW()*0.0000001,Y78*1000+AC78-ROW()*0.0000001)</f>
        <v/>
      </c>
      <c r="AN78">
        <f>IF(AND(OR(AD78="Maybe",AD78="Price Review"),AG78&lt;&gt;"Approved",AG78&lt;&gt;"Rejected"),IF(AC78="",0,AC78)-ROW()*0.0000001,-9999-ROW()*0.0000001)</f>
        <v/>
      </c>
      <c r="AO78" s="28" t="n"/>
      <c r="AP78" s="28" t="n"/>
      <c r="AQ78" s="29" t="n"/>
      <c r="AR78" s="29" t="n"/>
      <c r="AS78" s="23" t="n"/>
      <c r="AT78" s="29" t="n"/>
      <c r="AU78" s="29" t="n"/>
      <c r="AV78" s="29" t="n"/>
      <c r="AW78" s="25">
        <f>IF(OR(O78="",AV78=""),"",O78*AV78)</f>
        <v/>
      </c>
      <c r="AX78" s="23" t="n"/>
      <c r="AY78" s="23" t="n"/>
      <c r="AZ78" s="23" t="n"/>
      <c r="BA78" s="23" t="n"/>
      <c r="BB78" s="23" t="n"/>
      <c r="BC78" s="25" t="n"/>
      <c r="BD78" s="23" t="n"/>
      <c r="BE78" s="23">
        <f>IF(C78="","",IF(AND(ISNUMBER(P78),P78&gt;MAX_PRICE),"Price too high",IF(AND(ISNUMBER(AB78),AB78&lt;=2),"Quality risk",IF(AND(ISNUMBER(U78),U78&lt;=2),"Aesthetic mismatch",IF(AY78="High","Too fragile",IF(AND(ISNUMBER(R78),R78&lt;LOW_PROFIT_PCT),"Low profit",IF(AND(ISNUMBER(AT78),AT78&gt;MOQ_WARNING),"MOQ too high",IF(OR(AD78="Maybe",AD78="Price Review"),"Needs partner review",IF(AD78="Buy","Good candidate","")))))))))</f>
        <v/>
      </c>
      <c r="BF78" s="23" t="n"/>
      <c r="BG78" s="23" t="n"/>
      <c r="BH78" s="23" t="n"/>
      <c r="BI78" s="23" t="n"/>
      <c r="BJ78" s="23" t="n"/>
      <c r="BK78" s="23" t="n"/>
      <c r="BL78" s="23">
        <f>IF(C78="","",IF(AND(BG78="Yes",BH78="Yes",BI78="Yes",BJ78="Yes",BK78="Yes"),"Yes","No"))</f>
        <v/>
      </c>
      <c r="BM78" s="25" t="n"/>
      <c r="BN78" s="25" t="n"/>
      <c r="BO78" s="25">
        <f>IF(OR(BM78="",BN78=""),"",BM78+BN78)</f>
        <v/>
      </c>
      <c r="BP78" s="25" t="n"/>
      <c r="BQ78" s="25">
        <f>IF(OR(BP78="",BO78=""),"",BP78-BO78)</f>
        <v/>
      </c>
      <c r="BR78" s="26">
        <f>IF(OR(BP78="",BP78=0,BQ78=""),"",BQ78/BP78)</f>
        <v/>
      </c>
      <c r="BS78" s="24" t="n"/>
      <c r="BT78" s="29" t="n"/>
      <c r="BU78" s="29" t="n"/>
      <c r="BV78" s="23" t="n"/>
      <c r="BW78" s="23" t="n"/>
      <c r="BX78" s="29">
        <f>IF(OR(BT78="",BU78=""),"",BT78-BU78)</f>
        <v/>
      </c>
      <c r="BY78" s="23" t="n"/>
      <c r="BZ78" s="24" t="n"/>
      <c r="CA78" s="23" t="n"/>
      <c r="CB78" s="23" t="n"/>
    </row>
    <row r="79">
      <c r="A79" s="16">
        <f>IF(C79="","","AYN-"&amp;IFERROR(VLOOKUP(E79,CATEGORY_PREFIX_TABLE,2,FALSE),"OTH")&amp;"-"&amp;TEXT(ROW()-2,"0000"))</f>
        <v/>
      </c>
      <c r="B79" s="17" t="n"/>
      <c r="C79" s="16" t="n"/>
      <c r="D79" s="16" t="n"/>
      <c r="E79" s="16" t="n"/>
      <c r="F79" s="16" t="n"/>
      <c r="G79" s="16" t="n"/>
      <c r="H79" s="16" t="n"/>
      <c r="I79" s="16" t="n"/>
      <c r="J79" s="16" t="n"/>
      <c r="K79" s="18">
        <f>IF(I79="","",IF(J79="BDT",I79,IF(J79="USD",I79*USD_BDT,IF(J79="RMB",I79*RMB_BDT,""))))</f>
        <v/>
      </c>
      <c r="L79" s="18" t="n"/>
      <c r="M79" s="19" t="n"/>
      <c r="N79" s="18" t="n"/>
      <c r="O79" s="18">
        <f>IF(K79="","",K79+IFERROR(L79,0)+(K79*IF(M79="",CUSTOMS_PCT,M79))+IF(N79="",MISC_FEE,N79))</f>
        <v/>
      </c>
      <c r="P79" s="18">
        <f>IF(O79="","",ROUND(O79*(1+MARKUP_PCT),-1)-1)</f>
        <v/>
      </c>
      <c r="Q79" s="18">
        <f>IF(P79="","",P79-O79)</f>
        <v/>
      </c>
      <c r="R79" s="19">
        <f>IF(OR(P79="",P79=0),"",Q79/P79)</f>
        <v/>
      </c>
      <c r="S79" s="16" t="n"/>
      <c r="T79" s="16" t="n"/>
      <c r="U79" s="16" t="n"/>
      <c r="V79" s="16" t="n"/>
      <c r="W79" s="16" t="n"/>
      <c r="X79" s="16" t="n"/>
      <c r="Y79" s="16" t="n"/>
      <c r="Z79" s="16" t="n"/>
      <c r="AA79" s="16" t="n"/>
      <c r="AB79" s="16" t="n"/>
      <c r="AC79" s="20">
        <f>IF(COUNT(S79:AB79)&lt;10,"",(S79*W_FEMININE+T79*W_TREND+U79*W_AESTHETIC+V79*W_STYLE+W79*W_LIGHT+X79*W_REELS+Y79*W_GIFT+Z79*W_PRICEFIT+AA79*W_DEMAND+AB79*W_QUALITY)/5*100)</f>
        <v/>
      </c>
      <c r="AD79" s="16">
        <f>IF(P79="","",IF(P79&gt;HARD_REJECT_PRICE,"Reject",IF(P79&gt;MAX_PRICE,"Price Review",IF(AC79="","",IF(AND(AC79&gt;=BUY_THRESHOLD,OR(AB79&lt;=2,U79&lt;=2)),"Maybe",IF(AC79&gt;=BUY_THRESHOLD,"Buy",IF(AC79&gt;=MAYBE_THRESHOLD,"Maybe","Reject")))))))</f>
        <v/>
      </c>
      <c r="AE79" s="16" t="n"/>
      <c r="AF79" s="16" t="n"/>
      <c r="AG79" s="16" t="n"/>
      <c r="AH79" s="16" t="n"/>
      <c r="AI79" s="17" t="n"/>
      <c r="AJ79">
        <f>IF(AC79="",-9999-ROW()*0.0000001,AC79-ROW()*0.0000001)</f>
        <v/>
      </c>
      <c r="AK79">
        <f>IF(OR(AC79="",P79="",P79&gt;MAX_PRICE),-9999-ROW()*0.0000001,AC79-ROW()*0.0000001)</f>
        <v/>
      </c>
      <c r="AL79">
        <f>IF(AC79="",-9999-ROW()*0.0000001,X79*1000+AC79-ROW()*0.0000001)</f>
        <v/>
      </c>
      <c r="AM79">
        <f>IF(AC79="",-9999-ROW()*0.0000001,Y79*1000+AC79-ROW()*0.0000001)</f>
        <v/>
      </c>
      <c r="AN79">
        <f>IF(AND(OR(AD79="Maybe",AD79="Price Review"),AG79&lt;&gt;"Approved",AG79&lt;&gt;"Rejected"),IF(AC79="",0,AC79)-ROW()*0.0000001,-9999-ROW()*0.0000001)</f>
        <v/>
      </c>
      <c r="AO79" s="21" t="n"/>
      <c r="AP79" s="21" t="n"/>
      <c r="AQ79" s="22" t="n"/>
      <c r="AR79" s="22" t="n"/>
      <c r="AS79" s="16" t="n"/>
      <c r="AT79" s="22" t="n"/>
      <c r="AU79" s="22" t="n"/>
      <c r="AV79" s="22" t="n"/>
      <c r="AW79" s="18">
        <f>IF(OR(O79="",AV79=""),"",O79*AV79)</f>
        <v/>
      </c>
      <c r="AX79" s="16" t="n"/>
      <c r="AY79" s="16" t="n"/>
      <c r="AZ79" s="16" t="n"/>
      <c r="BA79" s="16" t="n"/>
      <c r="BB79" s="16" t="n"/>
      <c r="BC79" s="18" t="n"/>
      <c r="BD79" s="16" t="n"/>
      <c r="BE79" s="16">
        <f>IF(C79="","",IF(AND(ISNUMBER(P79),P79&gt;MAX_PRICE),"Price too high",IF(AND(ISNUMBER(AB79),AB79&lt;=2),"Quality risk",IF(AND(ISNUMBER(U79),U79&lt;=2),"Aesthetic mismatch",IF(AY79="High","Too fragile",IF(AND(ISNUMBER(R79),R79&lt;LOW_PROFIT_PCT),"Low profit",IF(AND(ISNUMBER(AT79),AT79&gt;MOQ_WARNING),"MOQ too high",IF(OR(AD79="Maybe",AD79="Price Review"),"Needs partner review",IF(AD79="Buy","Good candidate","")))))))))</f>
        <v/>
      </c>
      <c r="BF79" s="16" t="n"/>
      <c r="BG79" s="16" t="n"/>
      <c r="BH79" s="16" t="n"/>
      <c r="BI79" s="16" t="n"/>
      <c r="BJ79" s="16" t="n"/>
      <c r="BK79" s="16" t="n"/>
      <c r="BL79" s="16">
        <f>IF(C79="","",IF(AND(BG79="Yes",BH79="Yes",BI79="Yes",BJ79="Yes",BK79="Yes"),"Yes","No"))</f>
        <v/>
      </c>
      <c r="BM79" s="18" t="n"/>
      <c r="BN79" s="18" t="n"/>
      <c r="BO79" s="18">
        <f>IF(OR(BM79="",BN79=""),"",BM79+BN79)</f>
        <v/>
      </c>
      <c r="BP79" s="18" t="n"/>
      <c r="BQ79" s="18">
        <f>IF(OR(BP79="",BO79=""),"",BP79-BO79)</f>
        <v/>
      </c>
      <c r="BR79" s="19">
        <f>IF(OR(BP79="",BP79=0,BQ79=""),"",BQ79/BP79)</f>
        <v/>
      </c>
      <c r="BS79" s="17" t="n"/>
      <c r="BT79" s="22" t="n"/>
      <c r="BU79" s="22" t="n"/>
      <c r="BV79" s="16" t="n"/>
      <c r="BW79" s="16" t="n"/>
      <c r="BX79" s="22">
        <f>IF(OR(BT79="",BU79=""),"",BT79-BU79)</f>
        <v/>
      </c>
      <c r="BY79" s="16" t="n"/>
      <c r="BZ79" s="17" t="n"/>
      <c r="CA79" s="16" t="n"/>
      <c r="CB79" s="16" t="n"/>
    </row>
    <row r="80">
      <c r="A80" s="23">
        <f>IF(C80="","","AYN-"&amp;IFERROR(VLOOKUP(E80,CATEGORY_PREFIX_TABLE,2,FALSE),"OTH")&amp;"-"&amp;TEXT(ROW()-2,"0000"))</f>
        <v/>
      </c>
      <c r="B80" s="24" t="n"/>
      <c r="C80" s="23" t="n"/>
      <c r="D80" s="23" t="n"/>
      <c r="E80" s="23" t="n"/>
      <c r="F80" s="23" t="n"/>
      <c r="G80" s="23" t="n"/>
      <c r="H80" s="23" t="n"/>
      <c r="I80" s="23" t="n"/>
      <c r="J80" s="23" t="n"/>
      <c r="K80" s="25">
        <f>IF(I80="","",IF(J80="BDT",I80,IF(J80="USD",I80*USD_BDT,IF(J80="RMB",I80*RMB_BDT,""))))</f>
        <v/>
      </c>
      <c r="L80" s="25" t="n"/>
      <c r="M80" s="26" t="n"/>
      <c r="N80" s="25" t="n"/>
      <c r="O80" s="25">
        <f>IF(K80="","",K80+IFERROR(L80,0)+(K80*IF(M80="",CUSTOMS_PCT,M80))+IF(N80="",MISC_FEE,N80))</f>
        <v/>
      </c>
      <c r="P80" s="25">
        <f>IF(O80="","",ROUND(O80*(1+MARKUP_PCT),-1)-1)</f>
        <v/>
      </c>
      <c r="Q80" s="25">
        <f>IF(P80="","",P80-O80)</f>
        <v/>
      </c>
      <c r="R80" s="26">
        <f>IF(OR(P80="",P80=0),"",Q80/P80)</f>
        <v/>
      </c>
      <c r="S80" s="23" t="n"/>
      <c r="T80" s="23" t="n"/>
      <c r="U80" s="23" t="n"/>
      <c r="V80" s="23" t="n"/>
      <c r="W80" s="23" t="n"/>
      <c r="X80" s="23" t="n"/>
      <c r="Y80" s="23" t="n"/>
      <c r="Z80" s="23" t="n"/>
      <c r="AA80" s="23" t="n"/>
      <c r="AB80" s="23" t="n"/>
      <c r="AC80" s="27">
        <f>IF(COUNT(S80:AB80)&lt;10,"",(S80*W_FEMININE+T80*W_TREND+U80*W_AESTHETIC+V80*W_STYLE+W80*W_LIGHT+X80*W_REELS+Y80*W_GIFT+Z80*W_PRICEFIT+AA80*W_DEMAND+AB80*W_QUALITY)/5*100)</f>
        <v/>
      </c>
      <c r="AD80" s="23">
        <f>IF(P80="","",IF(P80&gt;HARD_REJECT_PRICE,"Reject",IF(P80&gt;MAX_PRICE,"Price Review",IF(AC80="","",IF(AND(AC80&gt;=BUY_THRESHOLD,OR(AB80&lt;=2,U80&lt;=2)),"Maybe",IF(AC80&gt;=BUY_THRESHOLD,"Buy",IF(AC80&gt;=MAYBE_THRESHOLD,"Maybe","Reject")))))))</f>
        <v/>
      </c>
      <c r="AE80" s="23" t="n"/>
      <c r="AF80" s="23" t="n"/>
      <c r="AG80" s="23" t="n"/>
      <c r="AH80" s="23" t="n"/>
      <c r="AI80" s="24" t="n"/>
      <c r="AJ80">
        <f>IF(AC80="",-9999-ROW()*0.0000001,AC80-ROW()*0.0000001)</f>
        <v/>
      </c>
      <c r="AK80">
        <f>IF(OR(AC80="",P80="",P80&gt;MAX_PRICE),-9999-ROW()*0.0000001,AC80-ROW()*0.0000001)</f>
        <v/>
      </c>
      <c r="AL80">
        <f>IF(AC80="",-9999-ROW()*0.0000001,X80*1000+AC80-ROW()*0.0000001)</f>
        <v/>
      </c>
      <c r="AM80">
        <f>IF(AC80="",-9999-ROW()*0.0000001,Y80*1000+AC80-ROW()*0.0000001)</f>
        <v/>
      </c>
      <c r="AN80">
        <f>IF(AND(OR(AD80="Maybe",AD80="Price Review"),AG80&lt;&gt;"Approved",AG80&lt;&gt;"Rejected"),IF(AC80="",0,AC80)-ROW()*0.0000001,-9999-ROW()*0.0000001)</f>
        <v/>
      </c>
      <c r="AO80" s="28" t="n"/>
      <c r="AP80" s="28" t="n"/>
      <c r="AQ80" s="29" t="n"/>
      <c r="AR80" s="29" t="n"/>
      <c r="AS80" s="23" t="n"/>
      <c r="AT80" s="29" t="n"/>
      <c r="AU80" s="29" t="n"/>
      <c r="AV80" s="29" t="n"/>
      <c r="AW80" s="25">
        <f>IF(OR(O80="",AV80=""),"",O80*AV80)</f>
        <v/>
      </c>
      <c r="AX80" s="23" t="n"/>
      <c r="AY80" s="23" t="n"/>
      <c r="AZ80" s="23" t="n"/>
      <c r="BA80" s="23" t="n"/>
      <c r="BB80" s="23" t="n"/>
      <c r="BC80" s="25" t="n"/>
      <c r="BD80" s="23" t="n"/>
      <c r="BE80" s="23">
        <f>IF(C80="","",IF(AND(ISNUMBER(P80),P80&gt;MAX_PRICE),"Price too high",IF(AND(ISNUMBER(AB80),AB80&lt;=2),"Quality risk",IF(AND(ISNUMBER(U80),U80&lt;=2),"Aesthetic mismatch",IF(AY80="High","Too fragile",IF(AND(ISNUMBER(R80),R80&lt;LOW_PROFIT_PCT),"Low profit",IF(AND(ISNUMBER(AT80),AT80&gt;MOQ_WARNING),"MOQ too high",IF(OR(AD80="Maybe",AD80="Price Review"),"Needs partner review",IF(AD80="Buy","Good candidate","")))))))))</f>
        <v/>
      </c>
      <c r="BF80" s="23" t="n"/>
      <c r="BG80" s="23" t="n"/>
      <c r="BH80" s="23" t="n"/>
      <c r="BI80" s="23" t="n"/>
      <c r="BJ80" s="23" t="n"/>
      <c r="BK80" s="23" t="n"/>
      <c r="BL80" s="23">
        <f>IF(C80="","",IF(AND(BG80="Yes",BH80="Yes",BI80="Yes",BJ80="Yes",BK80="Yes"),"Yes","No"))</f>
        <v/>
      </c>
      <c r="BM80" s="25" t="n"/>
      <c r="BN80" s="25" t="n"/>
      <c r="BO80" s="25">
        <f>IF(OR(BM80="",BN80=""),"",BM80+BN80)</f>
        <v/>
      </c>
      <c r="BP80" s="25" t="n"/>
      <c r="BQ80" s="25">
        <f>IF(OR(BP80="",BO80=""),"",BP80-BO80)</f>
        <v/>
      </c>
      <c r="BR80" s="26">
        <f>IF(OR(BP80="",BP80=0,BQ80=""),"",BQ80/BP80)</f>
        <v/>
      </c>
      <c r="BS80" s="24" t="n"/>
      <c r="BT80" s="29" t="n"/>
      <c r="BU80" s="29" t="n"/>
      <c r="BV80" s="23" t="n"/>
      <c r="BW80" s="23" t="n"/>
      <c r="BX80" s="29">
        <f>IF(OR(BT80="",BU80=""),"",BT80-BU80)</f>
        <v/>
      </c>
      <c r="BY80" s="23" t="n"/>
      <c r="BZ80" s="24" t="n"/>
      <c r="CA80" s="23" t="n"/>
      <c r="CB80" s="23" t="n"/>
    </row>
    <row r="81">
      <c r="A81" s="16">
        <f>IF(C81="","","AYN-"&amp;IFERROR(VLOOKUP(E81,CATEGORY_PREFIX_TABLE,2,FALSE),"OTH")&amp;"-"&amp;TEXT(ROW()-2,"0000"))</f>
        <v/>
      </c>
      <c r="B81" s="17" t="n"/>
      <c r="C81" s="16" t="n"/>
      <c r="D81" s="16" t="n"/>
      <c r="E81" s="16" t="n"/>
      <c r="F81" s="16" t="n"/>
      <c r="G81" s="16" t="n"/>
      <c r="H81" s="16" t="n"/>
      <c r="I81" s="16" t="n"/>
      <c r="J81" s="16" t="n"/>
      <c r="K81" s="18">
        <f>IF(I81="","",IF(J81="BDT",I81,IF(J81="USD",I81*USD_BDT,IF(J81="RMB",I81*RMB_BDT,""))))</f>
        <v/>
      </c>
      <c r="L81" s="18" t="n"/>
      <c r="M81" s="19" t="n"/>
      <c r="N81" s="18" t="n"/>
      <c r="O81" s="18">
        <f>IF(K81="","",K81+IFERROR(L81,0)+(K81*IF(M81="",CUSTOMS_PCT,M81))+IF(N81="",MISC_FEE,N81))</f>
        <v/>
      </c>
      <c r="P81" s="18">
        <f>IF(O81="","",ROUND(O81*(1+MARKUP_PCT),-1)-1)</f>
        <v/>
      </c>
      <c r="Q81" s="18">
        <f>IF(P81="","",P81-O81)</f>
        <v/>
      </c>
      <c r="R81" s="19">
        <f>IF(OR(P81="",P81=0),"",Q81/P81)</f>
        <v/>
      </c>
      <c r="S81" s="16" t="n"/>
      <c r="T81" s="16" t="n"/>
      <c r="U81" s="16" t="n"/>
      <c r="V81" s="16" t="n"/>
      <c r="W81" s="16" t="n"/>
      <c r="X81" s="16" t="n"/>
      <c r="Y81" s="16" t="n"/>
      <c r="Z81" s="16" t="n"/>
      <c r="AA81" s="16" t="n"/>
      <c r="AB81" s="16" t="n"/>
      <c r="AC81" s="20">
        <f>IF(COUNT(S81:AB81)&lt;10,"",(S81*W_FEMININE+T81*W_TREND+U81*W_AESTHETIC+V81*W_STYLE+W81*W_LIGHT+X81*W_REELS+Y81*W_GIFT+Z81*W_PRICEFIT+AA81*W_DEMAND+AB81*W_QUALITY)/5*100)</f>
        <v/>
      </c>
      <c r="AD81" s="16">
        <f>IF(P81="","",IF(P81&gt;HARD_REJECT_PRICE,"Reject",IF(P81&gt;MAX_PRICE,"Price Review",IF(AC81="","",IF(AND(AC81&gt;=BUY_THRESHOLD,OR(AB81&lt;=2,U81&lt;=2)),"Maybe",IF(AC81&gt;=BUY_THRESHOLD,"Buy",IF(AC81&gt;=MAYBE_THRESHOLD,"Maybe","Reject")))))))</f>
        <v/>
      </c>
      <c r="AE81" s="16" t="n"/>
      <c r="AF81" s="16" t="n"/>
      <c r="AG81" s="16" t="n"/>
      <c r="AH81" s="16" t="n"/>
      <c r="AI81" s="17" t="n"/>
      <c r="AJ81">
        <f>IF(AC81="",-9999-ROW()*0.0000001,AC81-ROW()*0.0000001)</f>
        <v/>
      </c>
      <c r="AK81">
        <f>IF(OR(AC81="",P81="",P81&gt;MAX_PRICE),-9999-ROW()*0.0000001,AC81-ROW()*0.0000001)</f>
        <v/>
      </c>
      <c r="AL81">
        <f>IF(AC81="",-9999-ROW()*0.0000001,X81*1000+AC81-ROW()*0.0000001)</f>
        <v/>
      </c>
      <c r="AM81">
        <f>IF(AC81="",-9999-ROW()*0.0000001,Y81*1000+AC81-ROW()*0.0000001)</f>
        <v/>
      </c>
      <c r="AN81">
        <f>IF(AND(OR(AD81="Maybe",AD81="Price Review"),AG81&lt;&gt;"Approved",AG81&lt;&gt;"Rejected"),IF(AC81="",0,AC81)-ROW()*0.0000001,-9999-ROW()*0.0000001)</f>
        <v/>
      </c>
      <c r="AO81" s="21" t="n"/>
      <c r="AP81" s="21" t="n"/>
      <c r="AQ81" s="22" t="n"/>
      <c r="AR81" s="22" t="n"/>
      <c r="AS81" s="16" t="n"/>
      <c r="AT81" s="22" t="n"/>
      <c r="AU81" s="22" t="n"/>
      <c r="AV81" s="22" t="n"/>
      <c r="AW81" s="18">
        <f>IF(OR(O81="",AV81=""),"",O81*AV81)</f>
        <v/>
      </c>
      <c r="AX81" s="16" t="n"/>
      <c r="AY81" s="16" t="n"/>
      <c r="AZ81" s="16" t="n"/>
      <c r="BA81" s="16" t="n"/>
      <c r="BB81" s="16" t="n"/>
      <c r="BC81" s="18" t="n"/>
      <c r="BD81" s="16" t="n"/>
      <c r="BE81" s="16">
        <f>IF(C81="","",IF(AND(ISNUMBER(P81),P81&gt;MAX_PRICE),"Price too high",IF(AND(ISNUMBER(AB81),AB81&lt;=2),"Quality risk",IF(AND(ISNUMBER(U81),U81&lt;=2),"Aesthetic mismatch",IF(AY81="High","Too fragile",IF(AND(ISNUMBER(R81),R81&lt;LOW_PROFIT_PCT),"Low profit",IF(AND(ISNUMBER(AT81),AT81&gt;MOQ_WARNING),"MOQ too high",IF(OR(AD81="Maybe",AD81="Price Review"),"Needs partner review",IF(AD81="Buy","Good candidate","")))))))))</f>
        <v/>
      </c>
      <c r="BF81" s="16" t="n"/>
      <c r="BG81" s="16" t="n"/>
      <c r="BH81" s="16" t="n"/>
      <c r="BI81" s="16" t="n"/>
      <c r="BJ81" s="16" t="n"/>
      <c r="BK81" s="16" t="n"/>
      <c r="BL81" s="16">
        <f>IF(C81="","",IF(AND(BG81="Yes",BH81="Yes",BI81="Yes",BJ81="Yes",BK81="Yes"),"Yes","No"))</f>
        <v/>
      </c>
      <c r="BM81" s="18" t="n"/>
      <c r="BN81" s="18" t="n"/>
      <c r="BO81" s="18">
        <f>IF(OR(BM81="",BN81=""),"",BM81+BN81)</f>
        <v/>
      </c>
      <c r="BP81" s="18" t="n"/>
      <c r="BQ81" s="18">
        <f>IF(OR(BP81="",BO81=""),"",BP81-BO81)</f>
        <v/>
      </c>
      <c r="BR81" s="19">
        <f>IF(OR(BP81="",BP81=0,BQ81=""),"",BQ81/BP81)</f>
        <v/>
      </c>
      <c r="BS81" s="17" t="n"/>
      <c r="BT81" s="22" t="n"/>
      <c r="BU81" s="22" t="n"/>
      <c r="BV81" s="16" t="n"/>
      <c r="BW81" s="16" t="n"/>
      <c r="BX81" s="22">
        <f>IF(OR(BT81="",BU81=""),"",BT81-BU81)</f>
        <v/>
      </c>
      <c r="BY81" s="16" t="n"/>
      <c r="BZ81" s="17" t="n"/>
      <c r="CA81" s="16" t="n"/>
      <c r="CB81" s="16" t="n"/>
    </row>
    <row r="82">
      <c r="A82" s="23">
        <f>IF(C82="","","AYN-"&amp;IFERROR(VLOOKUP(E82,CATEGORY_PREFIX_TABLE,2,FALSE),"OTH")&amp;"-"&amp;TEXT(ROW()-2,"0000"))</f>
        <v/>
      </c>
      <c r="B82" s="24" t="n"/>
      <c r="C82" s="23" t="n"/>
      <c r="D82" s="23" t="n"/>
      <c r="E82" s="23" t="n"/>
      <c r="F82" s="23" t="n"/>
      <c r="G82" s="23" t="n"/>
      <c r="H82" s="23" t="n"/>
      <c r="I82" s="23" t="n"/>
      <c r="J82" s="23" t="n"/>
      <c r="K82" s="25">
        <f>IF(I82="","",IF(J82="BDT",I82,IF(J82="USD",I82*USD_BDT,IF(J82="RMB",I82*RMB_BDT,""))))</f>
        <v/>
      </c>
      <c r="L82" s="25" t="n"/>
      <c r="M82" s="26" t="n"/>
      <c r="N82" s="25" t="n"/>
      <c r="O82" s="25">
        <f>IF(K82="","",K82+IFERROR(L82,0)+(K82*IF(M82="",CUSTOMS_PCT,M82))+IF(N82="",MISC_FEE,N82))</f>
        <v/>
      </c>
      <c r="P82" s="25">
        <f>IF(O82="","",ROUND(O82*(1+MARKUP_PCT),-1)-1)</f>
        <v/>
      </c>
      <c r="Q82" s="25">
        <f>IF(P82="","",P82-O82)</f>
        <v/>
      </c>
      <c r="R82" s="26">
        <f>IF(OR(P82="",P82=0),"",Q82/P82)</f>
        <v/>
      </c>
      <c r="S82" s="23" t="n"/>
      <c r="T82" s="23" t="n"/>
      <c r="U82" s="23" t="n"/>
      <c r="V82" s="23" t="n"/>
      <c r="W82" s="23" t="n"/>
      <c r="X82" s="23" t="n"/>
      <c r="Y82" s="23" t="n"/>
      <c r="Z82" s="23" t="n"/>
      <c r="AA82" s="23" t="n"/>
      <c r="AB82" s="23" t="n"/>
      <c r="AC82" s="27">
        <f>IF(COUNT(S82:AB82)&lt;10,"",(S82*W_FEMININE+T82*W_TREND+U82*W_AESTHETIC+V82*W_STYLE+W82*W_LIGHT+X82*W_REELS+Y82*W_GIFT+Z82*W_PRICEFIT+AA82*W_DEMAND+AB82*W_QUALITY)/5*100)</f>
        <v/>
      </c>
      <c r="AD82" s="23">
        <f>IF(P82="","",IF(P82&gt;HARD_REJECT_PRICE,"Reject",IF(P82&gt;MAX_PRICE,"Price Review",IF(AC82="","",IF(AND(AC82&gt;=BUY_THRESHOLD,OR(AB82&lt;=2,U82&lt;=2)),"Maybe",IF(AC82&gt;=BUY_THRESHOLD,"Buy",IF(AC82&gt;=MAYBE_THRESHOLD,"Maybe","Reject")))))))</f>
        <v/>
      </c>
      <c r="AE82" s="23" t="n"/>
      <c r="AF82" s="23" t="n"/>
      <c r="AG82" s="23" t="n"/>
      <c r="AH82" s="23" t="n"/>
      <c r="AI82" s="24" t="n"/>
      <c r="AJ82">
        <f>IF(AC82="",-9999-ROW()*0.0000001,AC82-ROW()*0.0000001)</f>
        <v/>
      </c>
      <c r="AK82">
        <f>IF(OR(AC82="",P82="",P82&gt;MAX_PRICE),-9999-ROW()*0.0000001,AC82-ROW()*0.0000001)</f>
        <v/>
      </c>
      <c r="AL82">
        <f>IF(AC82="",-9999-ROW()*0.0000001,X82*1000+AC82-ROW()*0.0000001)</f>
        <v/>
      </c>
      <c r="AM82">
        <f>IF(AC82="",-9999-ROW()*0.0000001,Y82*1000+AC82-ROW()*0.0000001)</f>
        <v/>
      </c>
      <c r="AN82">
        <f>IF(AND(OR(AD82="Maybe",AD82="Price Review"),AG82&lt;&gt;"Approved",AG82&lt;&gt;"Rejected"),IF(AC82="",0,AC82)-ROW()*0.0000001,-9999-ROW()*0.0000001)</f>
        <v/>
      </c>
      <c r="AO82" s="28" t="n"/>
      <c r="AP82" s="28" t="n"/>
      <c r="AQ82" s="29" t="n"/>
      <c r="AR82" s="29" t="n"/>
      <c r="AS82" s="23" t="n"/>
      <c r="AT82" s="29" t="n"/>
      <c r="AU82" s="29" t="n"/>
      <c r="AV82" s="29" t="n"/>
      <c r="AW82" s="25">
        <f>IF(OR(O82="",AV82=""),"",O82*AV82)</f>
        <v/>
      </c>
      <c r="AX82" s="23" t="n"/>
      <c r="AY82" s="23" t="n"/>
      <c r="AZ82" s="23" t="n"/>
      <c r="BA82" s="23" t="n"/>
      <c r="BB82" s="23" t="n"/>
      <c r="BC82" s="25" t="n"/>
      <c r="BD82" s="23" t="n"/>
      <c r="BE82" s="23">
        <f>IF(C82="","",IF(AND(ISNUMBER(P82),P82&gt;MAX_PRICE),"Price too high",IF(AND(ISNUMBER(AB82),AB82&lt;=2),"Quality risk",IF(AND(ISNUMBER(U82),U82&lt;=2),"Aesthetic mismatch",IF(AY82="High","Too fragile",IF(AND(ISNUMBER(R82),R82&lt;LOW_PROFIT_PCT),"Low profit",IF(AND(ISNUMBER(AT82),AT82&gt;MOQ_WARNING),"MOQ too high",IF(OR(AD82="Maybe",AD82="Price Review"),"Needs partner review",IF(AD82="Buy","Good candidate","")))))))))</f>
        <v/>
      </c>
      <c r="BF82" s="23" t="n"/>
      <c r="BG82" s="23" t="n"/>
      <c r="BH82" s="23" t="n"/>
      <c r="BI82" s="23" t="n"/>
      <c r="BJ82" s="23" t="n"/>
      <c r="BK82" s="23" t="n"/>
      <c r="BL82" s="23">
        <f>IF(C82="","",IF(AND(BG82="Yes",BH82="Yes",BI82="Yes",BJ82="Yes",BK82="Yes"),"Yes","No"))</f>
        <v/>
      </c>
      <c r="BM82" s="25" t="n"/>
      <c r="BN82" s="25" t="n"/>
      <c r="BO82" s="25">
        <f>IF(OR(BM82="",BN82=""),"",BM82+BN82)</f>
        <v/>
      </c>
      <c r="BP82" s="25" t="n"/>
      <c r="BQ82" s="25">
        <f>IF(OR(BP82="",BO82=""),"",BP82-BO82)</f>
        <v/>
      </c>
      <c r="BR82" s="26">
        <f>IF(OR(BP82="",BP82=0,BQ82=""),"",BQ82/BP82)</f>
        <v/>
      </c>
      <c r="BS82" s="24" t="n"/>
      <c r="BT82" s="29" t="n"/>
      <c r="BU82" s="29" t="n"/>
      <c r="BV82" s="23" t="n"/>
      <c r="BW82" s="23" t="n"/>
      <c r="BX82" s="29">
        <f>IF(OR(BT82="",BU82=""),"",BT82-BU82)</f>
        <v/>
      </c>
      <c r="BY82" s="23" t="n"/>
      <c r="BZ82" s="24" t="n"/>
      <c r="CA82" s="23" t="n"/>
      <c r="CB82" s="23" t="n"/>
    </row>
    <row r="83">
      <c r="A83" s="16">
        <f>IF(C83="","","AYN-"&amp;IFERROR(VLOOKUP(E83,CATEGORY_PREFIX_TABLE,2,FALSE),"OTH")&amp;"-"&amp;TEXT(ROW()-2,"0000"))</f>
        <v/>
      </c>
      <c r="B83" s="17" t="n"/>
      <c r="C83" s="16" t="n"/>
      <c r="D83" s="16" t="n"/>
      <c r="E83" s="16" t="n"/>
      <c r="F83" s="16" t="n"/>
      <c r="G83" s="16" t="n"/>
      <c r="H83" s="16" t="n"/>
      <c r="I83" s="16" t="n"/>
      <c r="J83" s="16" t="n"/>
      <c r="K83" s="18">
        <f>IF(I83="","",IF(J83="BDT",I83,IF(J83="USD",I83*USD_BDT,IF(J83="RMB",I83*RMB_BDT,""))))</f>
        <v/>
      </c>
      <c r="L83" s="18" t="n"/>
      <c r="M83" s="19" t="n"/>
      <c r="N83" s="18" t="n"/>
      <c r="O83" s="18">
        <f>IF(K83="","",K83+IFERROR(L83,0)+(K83*IF(M83="",CUSTOMS_PCT,M83))+IF(N83="",MISC_FEE,N83))</f>
        <v/>
      </c>
      <c r="P83" s="18">
        <f>IF(O83="","",ROUND(O83*(1+MARKUP_PCT),-1)-1)</f>
        <v/>
      </c>
      <c r="Q83" s="18">
        <f>IF(P83="","",P83-O83)</f>
        <v/>
      </c>
      <c r="R83" s="19">
        <f>IF(OR(P83="",P83=0),"",Q83/P83)</f>
        <v/>
      </c>
      <c r="S83" s="16" t="n"/>
      <c r="T83" s="16" t="n"/>
      <c r="U83" s="16" t="n"/>
      <c r="V83" s="16" t="n"/>
      <c r="W83" s="16" t="n"/>
      <c r="X83" s="16" t="n"/>
      <c r="Y83" s="16" t="n"/>
      <c r="Z83" s="16" t="n"/>
      <c r="AA83" s="16" t="n"/>
      <c r="AB83" s="16" t="n"/>
      <c r="AC83" s="20">
        <f>IF(COUNT(S83:AB83)&lt;10,"",(S83*W_FEMININE+T83*W_TREND+U83*W_AESTHETIC+V83*W_STYLE+W83*W_LIGHT+X83*W_REELS+Y83*W_GIFT+Z83*W_PRICEFIT+AA83*W_DEMAND+AB83*W_QUALITY)/5*100)</f>
        <v/>
      </c>
      <c r="AD83" s="16">
        <f>IF(P83="","",IF(P83&gt;HARD_REJECT_PRICE,"Reject",IF(P83&gt;MAX_PRICE,"Price Review",IF(AC83="","",IF(AND(AC83&gt;=BUY_THRESHOLD,OR(AB83&lt;=2,U83&lt;=2)),"Maybe",IF(AC83&gt;=BUY_THRESHOLD,"Buy",IF(AC83&gt;=MAYBE_THRESHOLD,"Maybe","Reject")))))))</f>
        <v/>
      </c>
      <c r="AE83" s="16" t="n"/>
      <c r="AF83" s="16" t="n"/>
      <c r="AG83" s="16" t="n"/>
      <c r="AH83" s="16" t="n"/>
      <c r="AI83" s="17" t="n"/>
      <c r="AJ83">
        <f>IF(AC83="",-9999-ROW()*0.0000001,AC83-ROW()*0.0000001)</f>
        <v/>
      </c>
      <c r="AK83">
        <f>IF(OR(AC83="",P83="",P83&gt;MAX_PRICE),-9999-ROW()*0.0000001,AC83-ROW()*0.0000001)</f>
        <v/>
      </c>
      <c r="AL83">
        <f>IF(AC83="",-9999-ROW()*0.0000001,X83*1000+AC83-ROW()*0.0000001)</f>
        <v/>
      </c>
      <c r="AM83">
        <f>IF(AC83="",-9999-ROW()*0.0000001,Y83*1000+AC83-ROW()*0.0000001)</f>
        <v/>
      </c>
      <c r="AN83">
        <f>IF(AND(OR(AD83="Maybe",AD83="Price Review"),AG83&lt;&gt;"Approved",AG83&lt;&gt;"Rejected"),IF(AC83="",0,AC83)-ROW()*0.0000001,-9999-ROW()*0.0000001)</f>
        <v/>
      </c>
      <c r="AO83" s="21" t="n"/>
      <c r="AP83" s="21" t="n"/>
      <c r="AQ83" s="22" t="n"/>
      <c r="AR83" s="22" t="n"/>
      <c r="AS83" s="16" t="n"/>
      <c r="AT83" s="22" t="n"/>
      <c r="AU83" s="22" t="n"/>
      <c r="AV83" s="22" t="n"/>
      <c r="AW83" s="18">
        <f>IF(OR(O83="",AV83=""),"",O83*AV83)</f>
        <v/>
      </c>
      <c r="AX83" s="16" t="n"/>
      <c r="AY83" s="16" t="n"/>
      <c r="AZ83" s="16" t="n"/>
      <c r="BA83" s="16" t="n"/>
      <c r="BB83" s="16" t="n"/>
      <c r="BC83" s="18" t="n"/>
      <c r="BD83" s="16" t="n"/>
      <c r="BE83" s="16">
        <f>IF(C83="","",IF(AND(ISNUMBER(P83),P83&gt;MAX_PRICE),"Price too high",IF(AND(ISNUMBER(AB83),AB83&lt;=2),"Quality risk",IF(AND(ISNUMBER(U83),U83&lt;=2),"Aesthetic mismatch",IF(AY83="High","Too fragile",IF(AND(ISNUMBER(R83),R83&lt;LOW_PROFIT_PCT),"Low profit",IF(AND(ISNUMBER(AT83),AT83&gt;MOQ_WARNING),"MOQ too high",IF(OR(AD83="Maybe",AD83="Price Review"),"Needs partner review",IF(AD83="Buy","Good candidate","")))))))))</f>
        <v/>
      </c>
      <c r="BF83" s="16" t="n"/>
      <c r="BG83" s="16" t="n"/>
      <c r="BH83" s="16" t="n"/>
      <c r="BI83" s="16" t="n"/>
      <c r="BJ83" s="16" t="n"/>
      <c r="BK83" s="16" t="n"/>
      <c r="BL83" s="16">
        <f>IF(C83="","",IF(AND(BG83="Yes",BH83="Yes",BI83="Yes",BJ83="Yes",BK83="Yes"),"Yes","No"))</f>
        <v/>
      </c>
      <c r="BM83" s="18" t="n"/>
      <c r="BN83" s="18" t="n"/>
      <c r="BO83" s="18">
        <f>IF(OR(BM83="",BN83=""),"",BM83+BN83)</f>
        <v/>
      </c>
      <c r="BP83" s="18" t="n"/>
      <c r="BQ83" s="18">
        <f>IF(OR(BP83="",BO83=""),"",BP83-BO83)</f>
        <v/>
      </c>
      <c r="BR83" s="19">
        <f>IF(OR(BP83="",BP83=0,BQ83=""),"",BQ83/BP83)</f>
        <v/>
      </c>
      <c r="BS83" s="17" t="n"/>
      <c r="BT83" s="22" t="n"/>
      <c r="BU83" s="22" t="n"/>
      <c r="BV83" s="16" t="n"/>
      <c r="BW83" s="16" t="n"/>
      <c r="BX83" s="22">
        <f>IF(OR(BT83="",BU83=""),"",BT83-BU83)</f>
        <v/>
      </c>
      <c r="BY83" s="16" t="n"/>
      <c r="BZ83" s="17" t="n"/>
      <c r="CA83" s="16" t="n"/>
      <c r="CB83" s="16" t="n"/>
    </row>
    <row r="84">
      <c r="A84" s="23">
        <f>IF(C84="","","AYN-"&amp;IFERROR(VLOOKUP(E84,CATEGORY_PREFIX_TABLE,2,FALSE),"OTH")&amp;"-"&amp;TEXT(ROW()-2,"0000"))</f>
        <v/>
      </c>
      <c r="B84" s="24" t="n"/>
      <c r="C84" s="23" t="n"/>
      <c r="D84" s="23" t="n"/>
      <c r="E84" s="23" t="n"/>
      <c r="F84" s="23" t="n"/>
      <c r="G84" s="23" t="n"/>
      <c r="H84" s="23" t="n"/>
      <c r="I84" s="23" t="n"/>
      <c r="J84" s="23" t="n"/>
      <c r="K84" s="25">
        <f>IF(I84="","",IF(J84="BDT",I84,IF(J84="USD",I84*USD_BDT,IF(J84="RMB",I84*RMB_BDT,""))))</f>
        <v/>
      </c>
      <c r="L84" s="25" t="n"/>
      <c r="M84" s="26" t="n"/>
      <c r="N84" s="25" t="n"/>
      <c r="O84" s="25">
        <f>IF(K84="","",K84+IFERROR(L84,0)+(K84*IF(M84="",CUSTOMS_PCT,M84))+IF(N84="",MISC_FEE,N84))</f>
        <v/>
      </c>
      <c r="P84" s="25">
        <f>IF(O84="","",ROUND(O84*(1+MARKUP_PCT),-1)-1)</f>
        <v/>
      </c>
      <c r="Q84" s="25">
        <f>IF(P84="","",P84-O84)</f>
        <v/>
      </c>
      <c r="R84" s="26">
        <f>IF(OR(P84="",P84=0),"",Q84/P84)</f>
        <v/>
      </c>
      <c r="S84" s="23" t="n"/>
      <c r="T84" s="23" t="n"/>
      <c r="U84" s="23" t="n"/>
      <c r="V84" s="23" t="n"/>
      <c r="W84" s="23" t="n"/>
      <c r="X84" s="23" t="n"/>
      <c r="Y84" s="23" t="n"/>
      <c r="Z84" s="23" t="n"/>
      <c r="AA84" s="23" t="n"/>
      <c r="AB84" s="23" t="n"/>
      <c r="AC84" s="27">
        <f>IF(COUNT(S84:AB84)&lt;10,"",(S84*W_FEMININE+T84*W_TREND+U84*W_AESTHETIC+V84*W_STYLE+W84*W_LIGHT+X84*W_REELS+Y84*W_GIFT+Z84*W_PRICEFIT+AA84*W_DEMAND+AB84*W_QUALITY)/5*100)</f>
        <v/>
      </c>
      <c r="AD84" s="23">
        <f>IF(P84="","",IF(P84&gt;HARD_REJECT_PRICE,"Reject",IF(P84&gt;MAX_PRICE,"Price Review",IF(AC84="","",IF(AND(AC84&gt;=BUY_THRESHOLD,OR(AB84&lt;=2,U84&lt;=2)),"Maybe",IF(AC84&gt;=BUY_THRESHOLD,"Buy",IF(AC84&gt;=MAYBE_THRESHOLD,"Maybe","Reject")))))))</f>
        <v/>
      </c>
      <c r="AE84" s="23" t="n"/>
      <c r="AF84" s="23" t="n"/>
      <c r="AG84" s="23" t="n"/>
      <c r="AH84" s="23" t="n"/>
      <c r="AI84" s="24" t="n"/>
      <c r="AJ84">
        <f>IF(AC84="",-9999-ROW()*0.0000001,AC84-ROW()*0.0000001)</f>
        <v/>
      </c>
      <c r="AK84">
        <f>IF(OR(AC84="",P84="",P84&gt;MAX_PRICE),-9999-ROW()*0.0000001,AC84-ROW()*0.0000001)</f>
        <v/>
      </c>
      <c r="AL84">
        <f>IF(AC84="",-9999-ROW()*0.0000001,X84*1000+AC84-ROW()*0.0000001)</f>
        <v/>
      </c>
      <c r="AM84">
        <f>IF(AC84="",-9999-ROW()*0.0000001,Y84*1000+AC84-ROW()*0.0000001)</f>
        <v/>
      </c>
      <c r="AN84">
        <f>IF(AND(OR(AD84="Maybe",AD84="Price Review"),AG84&lt;&gt;"Approved",AG84&lt;&gt;"Rejected"),IF(AC84="",0,AC84)-ROW()*0.0000001,-9999-ROW()*0.0000001)</f>
        <v/>
      </c>
      <c r="AO84" s="28" t="n"/>
      <c r="AP84" s="28" t="n"/>
      <c r="AQ84" s="29" t="n"/>
      <c r="AR84" s="29" t="n"/>
      <c r="AS84" s="23" t="n"/>
      <c r="AT84" s="29" t="n"/>
      <c r="AU84" s="29" t="n"/>
      <c r="AV84" s="29" t="n"/>
      <c r="AW84" s="25">
        <f>IF(OR(O84="",AV84=""),"",O84*AV84)</f>
        <v/>
      </c>
      <c r="AX84" s="23" t="n"/>
      <c r="AY84" s="23" t="n"/>
      <c r="AZ84" s="23" t="n"/>
      <c r="BA84" s="23" t="n"/>
      <c r="BB84" s="23" t="n"/>
      <c r="BC84" s="25" t="n"/>
      <c r="BD84" s="23" t="n"/>
      <c r="BE84" s="23">
        <f>IF(C84="","",IF(AND(ISNUMBER(P84),P84&gt;MAX_PRICE),"Price too high",IF(AND(ISNUMBER(AB84),AB84&lt;=2),"Quality risk",IF(AND(ISNUMBER(U84),U84&lt;=2),"Aesthetic mismatch",IF(AY84="High","Too fragile",IF(AND(ISNUMBER(R84),R84&lt;LOW_PROFIT_PCT),"Low profit",IF(AND(ISNUMBER(AT84),AT84&gt;MOQ_WARNING),"MOQ too high",IF(OR(AD84="Maybe",AD84="Price Review"),"Needs partner review",IF(AD84="Buy","Good candidate","")))))))))</f>
        <v/>
      </c>
      <c r="BF84" s="23" t="n"/>
      <c r="BG84" s="23" t="n"/>
      <c r="BH84" s="23" t="n"/>
      <c r="BI84" s="23" t="n"/>
      <c r="BJ84" s="23" t="n"/>
      <c r="BK84" s="23" t="n"/>
      <c r="BL84" s="23">
        <f>IF(C84="","",IF(AND(BG84="Yes",BH84="Yes",BI84="Yes",BJ84="Yes",BK84="Yes"),"Yes","No"))</f>
        <v/>
      </c>
      <c r="BM84" s="25" t="n"/>
      <c r="BN84" s="25" t="n"/>
      <c r="BO84" s="25">
        <f>IF(OR(BM84="",BN84=""),"",BM84+BN84)</f>
        <v/>
      </c>
      <c r="BP84" s="25" t="n"/>
      <c r="BQ84" s="25">
        <f>IF(OR(BP84="",BO84=""),"",BP84-BO84)</f>
        <v/>
      </c>
      <c r="BR84" s="26">
        <f>IF(OR(BP84="",BP84=0,BQ84=""),"",BQ84/BP84)</f>
        <v/>
      </c>
      <c r="BS84" s="24" t="n"/>
      <c r="BT84" s="29" t="n"/>
      <c r="BU84" s="29" t="n"/>
      <c r="BV84" s="23" t="n"/>
      <c r="BW84" s="23" t="n"/>
      <c r="BX84" s="29">
        <f>IF(OR(BT84="",BU84=""),"",BT84-BU84)</f>
        <v/>
      </c>
      <c r="BY84" s="23" t="n"/>
      <c r="BZ84" s="24" t="n"/>
      <c r="CA84" s="23" t="n"/>
      <c r="CB84" s="23" t="n"/>
    </row>
    <row r="85">
      <c r="A85" s="16">
        <f>IF(C85="","","AYN-"&amp;IFERROR(VLOOKUP(E85,CATEGORY_PREFIX_TABLE,2,FALSE),"OTH")&amp;"-"&amp;TEXT(ROW()-2,"0000"))</f>
        <v/>
      </c>
      <c r="B85" s="17" t="n"/>
      <c r="C85" s="16" t="n"/>
      <c r="D85" s="16" t="n"/>
      <c r="E85" s="16" t="n"/>
      <c r="F85" s="16" t="n"/>
      <c r="G85" s="16" t="n"/>
      <c r="H85" s="16" t="n"/>
      <c r="I85" s="16" t="n"/>
      <c r="J85" s="16" t="n"/>
      <c r="K85" s="18">
        <f>IF(I85="","",IF(J85="BDT",I85,IF(J85="USD",I85*USD_BDT,IF(J85="RMB",I85*RMB_BDT,""))))</f>
        <v/>
      </c>
      <c r="L85" s="18" t="n"/>
      <c r="M85" s="19" t="n"/>
      <c r="N85" s="18" t="n"/>
      <c r="O85" s="18">
        <f>IF(K85="","",K85+IFERROR(L85,0)+(K85*IF(M85="",CUSTOMS_PCT,M85))+IF(N85="",MISC_FEE,N85))</f>
        <v/>
      </c>
      <c r="P85" s="18">
        <f>IF(O85="","",ROUND(O85*(1+MARKUP_PCT),-1)-1)</f>
        <v/>
      </c>
      <c r="Q85" s="18">
        <f>IF(P85="","",P85-O85)</f>
        <v/>
      </c>
      <c r="R85" s="19">
        <f>IF(OR(P85="",P85=0),"",Q85/P85)</f>
        <v/>
      </c>
      <c r="S85" s="16" t="n"/>
      <c r="T85" s="16" t="n"/>
      <c r="U85" s="16" t="n"/>
      <c r="V85" s="16" t="n"/>
      <c r="W85" s="16" t="n"/>
      <c r="X85" s="16" t="n"/>
      <c r="Y85" s="16" t="n"/>
      <c r="Z85" s="16" t="n"/>
      <c r="AA85" s="16" t="n"/>
      <c r="AB85" s="16" t="n"/>
      <c r="AC85" s="20">
        <f>IF(COUNT(S85:AB85)&lt;10,"",(S85*W_FEMININE+T85*W_TREND+U85*W_AESTHETIC+V85*W_STYLE+W85*W_LIGHT+X85*W_REELS+Y85*W_GIFT+Z85*W_PRICEFIT+AA85*W_DEMAND+AB85*W_QUALITY)/5*100)</f>
        <v/>
      </c>
      <c r="AD85" s="16">
        <f>IF(P85="","",IF(P85&gt;HARD_REJECT_PRICE,"Reject",IF(P85&gt;MAX_PRICE,"Price Review",IF(AC85="","",IF(AND(AC85&gt;=BUY_THRESHOLD,OR(AB85&lt;=2,U85&lt;=2)),"Maybe",IF(AC85&gt;=BUY_THRESHOLD,"Buy",IF(AC85&gt;=MAYBE_THRESHOLD,"Maybe","Reject")))))))</f>
        <v/>
      </c>
      <c r="AE85" s="16" t="n"/>
      <c r="AF85" s="16" t="n"/>
      <c r="AG85" s="16" t="n"/>
      <c r="AH85" s="16" t="n"/>
      <c r="AI85" s="17" t="n"/>
      <c r="AJ85">
        <f>IF(AC85="",-9999-ROW()*0.0000001,AC85-ROW()*0.0000001)</f>
        <v/>
      </c>
      <c r="AK85">
        <f>IF(OR(AC85="",P85="",P85&gt;MAX_PRICE),-9999-ROW()*0.0000001,AC85-ROW()*0.0000001)</f>
        <v/>
      </c>
      <c r="AL85">
        <f>IF(AC85="",-9999-ROW()*0.0000001,X85*1000+AC85-ROW()*0.0000001)</f>
        <v/>
      </c>
      <c r="AM85">
        <f>IF(AC85="",-9999-ROW()*0.0000001,Y85*1000+AC85-ROW()*0.0000001)</f>
        <v/>
      </c>
      <c r="AN85">
        <f>IF(AND(OR(AD85="Maybe",AD85="Price Review"),AG85&lt;&gt;"Approved",AG85&lt;&gt;"Rejected"),IF(AC85="",0,AC85)-ROW()*0.0000001,-9999-ROW()*0.0000001)</f>
        <v/>
      </c>
      <c r="AO85" s="21" t="n"/>
      <c r="AP85" s="21" t="n"/>
      <c r="AQ85" s="22" t="n"/>
      <c r="AR85" s="22" t="n"/>
      <c r="AS85" s="16" t="n"/>
      <c r="AT85" s="22" t="n"/>
      <c r="AU85" s="22" t="n"/>
      <c r="AV85" s="22" t="n"/>
      <c r="AW85" s="18">
        <f>IF(OR(O85="",AV85=""),"",O85*AV85)</f>
        <v/>
      </c>
      <c r="AX85" s="16" t="n"/>
      <c r="AY85" s="16" t="n"/>
      <c r="AZ85" s="16" t="n"/>
      <c r="BA85" s="16" t="n"/>
      <c r="BB85" s="16" t="n"/>
      <c r="BC85" s="18" t="n"/>
      <c r="BD85" s="16" t="n"/>
      <c r="BE85" s="16">
        <f>IF(C85="","",IF(AND(ISNUMBER(P85),P85&gt;MAX_PRICE),"Price too high",IF(AND(ISNUMBER(AB85),AB85&lt;=2),"Quality risk",IF(AND(ISNUMBER(U85),U85&lt;=2),"Aesthetic mismatch",IF(AY85="High","Too fragile",IF(AND(ISNUMBER(R85),R85&lt;LOW_PROFIT_PCT),"Low profit",IF(AND(ISNUMBER(AT85),AT85&gt;MOQ_WARNING),"MOQ too high",IF(OR(AD85="Maybe",AD85="Price Review"),"Needs partner review",IF(AD85="Buy","Good candidate","")))))))))</f>
        <v/>
      </c>
      <c r="BF85" s="16" t="n"/>
      <c r="BG85" s="16" t="n"/>
      <c r="BH85" s="16" t="n"/>
      <c r="BI85" s="16" t="n"/>
      <c r="BJ85" s="16" t="n"/>
      <c r="BK85" s="16" t="n"/>
      <c r="BL85" s="16">
        <f>IF(C85="","",IF(AND(BG85="Yes",BH85="Yes",BI85="Yes",BJ85="Yes",BK85="Yes"),"Yes","No"))</f>
        <v/>
      </c>
      <c r="BM85" s="18" t="n"/>
      <c r="BN85" s="18" t="n"/>
      <c r="BO85" s="18">
        <f>IF(OR(BM85="",BN85=""),"",BM85+BN85)</f>
        <v/>
      </c>
      <c r="BP85" s="18" t="n"/>
      <c r="BQ85" s="18">
        <f>IF(OR(BP85="",BO85=""),"",BP85-BO85)</f>
        <v/>
      </c>
      <c r="BR85" s="19">
        <f>IF(OR(BP85="",BP85=0,BQ85=""),"",BQ85/BP85)</f>
        <v/>
      </c>
      <c r="BS85" s="17" t="n"/>
      <c r="BT85" s="22" t="n"/>
      <c r="BU85" s="22" t="n"/>
      <c r="BV85" s="16" t="n"/>
      <c r="BW85" s="16" t="n"/>
      <c r="BX85" s="22">
        <f>IF(OR(BT85="",BU85=""),"",BT85-BU85)</f>
        <v/>
      </c>
      <c r="BY85" s="16" t="n"/>
      <c r="BZ85" s="17" t="n"/>
      <c r="CA85" s="16" t="n"/>
      <c r="CB85" s="16" t="n"/>
    </row>
    <row r="86">
      <c r="A86" s="23">
        <f>IF(C86="","","AYN-"&amp;IFERROR(VLOOKUP(E86,CATEGORY_PREFIX_TABLE,2,FALSE),"OTH")&amp;"-"&amp;TEXT(ROW()-2,"0000"))</f>
        <v/>
      </c>
      <c r="B86" s="24" t="n"/>
      <c r="C86" s="23" t="n"/>
      <c r="D86" s="23" t="n"/>
      <c r="E86" s="23" t="n"/>
      <c r="F86" s="23" t="n"/>
      <c r="G86" s="23" t="n"/>
      <c r="H86" s="23" t="n"/>
      <c r="I86" s="23" t="n"/>
      <c r="J86" s="23" t="n"/>
      <c r="K86" s="25">
        <f>IF(I86="","",IF(J86="BDT",I86,IF(J86="USD",I86*USD_BDT,IF(J86="RMB",I86*RMB_BDT,""))))</f>
        <v/>
      </c>
      <c r="L86" s="25" t="n"/>
      <c r="M86" s="26" t="n"/>
      <c r="N86" s="25" t="n"/>
      <c r="O86" s="25">
        <f>IF(K86="","",K86+IFERROR(L86,0)+(K86*IF(M86="",CUSTOMS_PCT,M86))+IF(N86="",MISC_FEE,N86))</f>
        <v/>
      </c>
      <c r="P86" s="25">
        <f>IF(O86="","",ROUND(O86*(1+MARKUP_PCT),-1)-1)</f>
        <v/>
      </c>
      <c r="Q86" s="25">
        <f>IF(P86="","",P86-O86)</f>
        <v/>
      </c>
      <c r="R86" s="26">
        <f>IF(OR(P86="",P86=0),"",Q86/P86)</f>
        <v/>
      </c>
      <c r="S86" s="23" t="n"/>
      <c r="T86" s="23" t="n"/>
      <c r="U86" s="23" t="n"/>
      <c r="V86" s="23" t="n"/>
      <c r="W86" s="23" t="n"/>
      <c r="X86" s="23" t="n"/>
      <c r="Y86" s="23" t="n"/>
      <c r="Z86" s="23" t="n"/>
      <c r="AA86" s="23" t="n"/>
      <c r="AB86" s="23" t="n"/>
      <c r="AC86" s="27">
        <f>IF(COUNT(S86:AB86)&lt;10,"",(S86*W_FEMININE+T86*W_TREND+U86*W_AESTHETIC+V86*W_STYLE+W86*W_LIGHT+X86*W_REELS+Y86*W_GIFT+Z86*W_PRICEFIT+AA86*W_DEMAND+AB86*W_QUALITY)/5*100)</f>
        <v/>
      </c>
      <c r="AD86" s="23">
        <f>IF(P86="","",IF(P86&gt;HARD_REJECT_PRICE,"Reject",IF(P86&gt;MAX_PRICE,"Price Review",IF(AC86="","",IF(AND(AC86&gt;=BUY_THRESHOLD,OR(AB86&lt;=2,U86&lt;=2)),"Maybe",IF(AC86&gt;=BUY_THRESHOLD,"Buy",IF(AC86&gt;=MAYBE_THRESHOLD,"Maybe","Reject")))))))</f>
        <v/>
      </c>
      <c r="AE86" s="23" t="n"/>
      <c r="AF86" s="23" t="n"/>
      <c r="AG86" s="23" t="n"/>
      <c r="AH86" s="23" t="n"/>
      <c r="AI86" s="24" t="n"/>
      <c r="AJ86">
        <f>IF(AC86="",-9999-ROW()*0.0000001,AC86-ROW()*0.0000001)</f>
        <v/>
      </c>
      <c r="AK86">
        <f>IF(OR(AC86="",P86="",P86&gt;MAX_PRICE),-9999-ROW()*0.0000001,AC86-ROW()*0.0000001)</f>
        <v/>
      </c>
      <c r="AL86">
        <f>IF(AC86="",-9999-ROW()*0.0000001,X86*1000+AC86-ROW()*0.0000001)</f>
        <v/>
      </c>
      <c r="AM86">
        <f>IF(AC86="",-9999-ROW()*0.0000001,Y86*1000+AC86-ROW()*0.0000001)</f>
        <v/>
      </c>
      <c r="AN86">
        <f>IF(AND(OR(AD86="Maybe",AD86="Price Review"),AG86&lt;&gt;"Approved",AG86&lt;&gt;"Rejected"),IF(AC86="",0,AC86)-ROW()*0.0000001,-9999-ROW()*0.0000001)</f>
        <v/>
      </c>
      <c r="AO86" s="28" t="n"/>
      <c r="AP86" s="28" t="n"/>
      <c r="AQ86" s="29" t="n"/>
      <c r="AR86" s="29" t="n"/>
      <c r="AS86" s="23" t="n"/>
      <c r="AT86" s="29" t="n"/>
      <c r="AU86" s="29" t="n"/>
      <c r="AV86" s="29" t="n"/>
      <c r="AW86" s="25">
        <f>IF(OR(O86="",AV86=""),"",O86*AV86)</f>
        <v/>
      </c>
      <c r="AX86" s="23" t="n"/>
      <c r="AY86" s="23" t="n"/>
      <c r="AZ86" s="23" t="n"/>
      <c r="BA86" s="23" t="n"/>
      <c r="BB86" s="23" t="n"/>
      <c r="BC86" s="25" t="n"/>
      <c r="BD86" s="23" t="n"/>
      <c r="BE86" s="23">
        <f>IF(C86="","",IF(AND(ISNUMBER(P86),P86&gt;MAX_PRICE),"Price too high",IF(AND(ISNUMBER(AB86),AB86&lt;=2),"Quality risk",IF(AND(ISNUMBER(U86),U86&lt;=2),"Aesthetic mismatch",IF(AY86="High","Too fragile",IF(AND(ISNUMBER(R86),R86&lt;LOW_PROFIT_PCT),"Low profit",IF(AND(ISNUMBER(AT86),AT86&gt;MOQ_WARNING),"MOQ too high",IF(OR(AD86="Maybe",AD86="Price Review"),"Needs partner review",IF(AD86="Buy","Good candidate","")))))))))</f>
        <v/>
      </c>
      <c r="BF86" s="23" t="n"/>
      <c r="BG86" s="23" t="n"/>
      <c r="BH86" s="23" t="n"/>
      <c r="BI86" s="23" t="n"/>
      <c r="BJ86" s="23" t="n"/>
      <c r="BK86" s="23" t="n"/>
      <c r="BL86" s="23">
        <f>IF(C86="","",IF(AND(BG86="Yes",BH86="Yes",BI86="Yes",BJ86="Yes",BK86="Yes"),"Yes","No"))</f>
        <v/>
      </c>
      <c r="BM86" s="25" t="n"/>
      <c r="BN86" s="25" t="n"/>
      <c r="BO86" s="25">
        <f>IF(OR(BM86="",BN86=""),"",BM86+BN86)</f>
        <v/>
      </c>
      <c r="BP86" s="25" t="n"/>
      <c r="BQ86" s="25">
        <f>IF(OR(BP86="",BO86=""),"",BP86-BO86)</f>
        <v/>
      </c>
      <c r="BR86" s="26">
        <f>IF(OR(BP86="",BP86=0,BQ86=""),"",BQ86/BP86)</f>
        <v/>
      </c>
      <c r="BS86" s="24" t="n"/>
      <c r="BT86" s="29" t="n"/>
      <c r="BU86" s="29" t="n"/>
      <c r="BV86" s="23" t="n"/>
      <c r="BW86" s="23" t="n"/>
      <c r="BX86" s="29">
        <f>IF(OR(BT86="",BU86=""),"",BT86-BU86)</f>
        <v/>
      </c>
      <c r="BY86" s="23" t="n"/>
      <c r="BZ86" s="24" t="n"/>
      <c r="CA86" s="23" t="n"/>
      <c r="CB86" s="23" t="n"/>
    </row>
    <row r="87">
      <c r="A87" s="16">
        <f>IF(C87="","","AYN-"&amp;IFERROR(VLOOKUP(E87,CATEGORY_PREFIX_TABLE,2,FALSE),"OTH")&amp;"-"&amp;TEXT(ROW()-2,"0000"))</f>
        <v/>
      </c>
      <c r="B87" s="17" t="n"/>
      <c r="C87" s="16" t="n"/>
      <c r="D87" s="16" t="n"/>
      <c r="E87" s="16" t="n"/>
      <c r="F87" s="16" t="n"/>
      <c r="G87" s="16" t="n"/>
      <c r="H87" s="16" t="n"/>
      <c r="I87" s="16" t="n"/>
      <c r="J87" s="16" t="n"/>
      <c r="K87" s="18">
        <f>IF(I87="","",IF(J87="BDT",I87,IF(J87="USD",I87*USD_BDT,IF(J87="RMB",I87*RMB_BDT,""))))</f>
        <v/>
      </c>
      <c r="L87" s="18" t="n"/>
      <c r="M87" s="19" t="n"/>
      <c r="N87" s="18" t="n"/>
      <c r="O87" s="18">
        <f>IF(K87="","",K87+IFERROR(L87,0)+(K87*IF(M87="",CUSTOMS_PCT,M87))+IF(N87="",MISC_FEE,N87))</f>
        <v/>
      </c>
      <c r="P87" s="18">
        <f>IF(O87="","",ROUND(O87*(1+MARKUP_PCT),-1)-1)</f>
        <v/>
      </c>
      <c r="Q87" s="18">
        <f>IF(P87="","",P87-O87)</f>
        <v/>
      </c>
      <c r="R87" s="19">
        <f>IF(OR(P87="",P87=0),"",Q87/P87)</f>
        <v/>
      </c>
      <c r="S87" s="16" t="n"/>
      <c r="T87" s="16" t="n"/>
      <c r="U87" s="16" t="n"/>
      <c r="V87" s="16" t="n"/>
      <c r="W87" s="16" t="n"/>
      <c r="X87" s="16" t="n"/>
      <c r="Y87" s="16" t="n"/>
      <c r="Z87" s="16" t="n"/>
      <c r="AA87" s="16" t="n"/>
      <c r="AB87" s="16" t="n"/>
      <c r="AC87" s="20">
        <f>IF(COUNT(S87:AB87)&lt;10,"",(S87*W_FEMININE+T87*W_TREND+U87*W_AESTHETIC+V87*W_STYLE+W87*W_LIGHT+X87*W_REELS+Y87*W_GIFT+Z87*W_PRICEFIT+AA87*W_DEMAND+AB87*W_QUALITY)/5*100)</f>
        <v/>
      </c>
      <c r="AD87" s="16">
        <f>IF(P87="","",IF(P87&gt;HARD_REJECT_PRICE,"Reject",IF(P87&gt;MAX_PRICE,"Price Review",IF(AC87="","",IF(AND(AC87&gt;=BUY_THRESHOLD,OR(AB87&lt;=2,U87&lt;=2)),"Maybe",IF(AC87&gt;=BUY_THRESHOLD,"Buy",IF(AC87&gt;=MAYBE_THRESHOLD,"Maybe","Reject")))))))</f>
        <v/>
      </c>
      <c r="AE87" s="16" t="n"/>
      <c r="AF87" s="16" t="n"/>
      <c r="AG87" s="16" t="n"/>
      <c r="AH87" s="16" t="n"/>
      <c r="AI87" s="17" t="n"/>
      <c r="AJ87">
        <f>IF(AC87="",-9999-ROW()*0.0000001,AC87-ROW()*0.0000001)</f>
        <v/>
      </c>
      <c r="AK87">
        <f>IF(OR(AC87="",P87="",P87&gt;MAX_PRICE),-9999-ROW()*0.0000001,AC87-ROW()*0.0000001)</f>
        <v/>
      </c>
      <c r="AL87">
        <f>IF(AC87="",-9999-ROW()*0.0000001,X87*1000+AC87-ROW()*0.0000001)</f>
        <v/>
      </c>
      <c r="AM87">
        <f>IF(AC87="",-9999-ROW()*0.0000001,Y87*1000+AC87-ROW()*0.0000001)</f>
        <v/>
      </c>
      <c r="AN87">
        <f>IF(AND(OR(AD87="Maybe",AD87="Price Review"),AG87&lt;&gt;"Approved",AG87&lt;&gt;"Rejected"),IF(AC87="",0,AC87)-ROW()*0.0000001,-9999-ROW()*0.0000001)</f>
        <v/>
      </c>
      <c r="AO87" s="21" t="n"/>
      <c r="AP87" s="21" t="n"/>
      <c r="AQ87" s="22" t="n"/>
      <c r="AR87" s="22" t="n"/>
      <c r="AS87" s="16" t="n"/>
      <c r="AT87" s="22" t="n"/>
      <c r="AU87" s="22" t="n"/>
      <c r="AV87" s="22" t="n"/>
      <c r="AW87" s="18">
        <f>IF(OR(O87="",AV87=""),"",O87*AV87)</f>
        <v/>
      </c>
      <c r="AX87" s="16" t="n"/>
      <c r="AY87" s="16" t="n"/>
      <c r="AZ87" s="16" t="n"/>
      <c r="BA87" s="16" t="n"/>
      <c r="BB87" s="16" t="n"/>
      <c r="BC87" s="18" t="n"/>
      <c r="BD87" s="16" t="n"/>
      <c r="BE87" s="16">
        <f>IF(C87="","",IF(AND(ISNUMBER(P87),P87&gt;MAX_PRICE),"Price too high",IF(AND(ISNUMBER(AB87),AB87&lt;=2),"Quality risk",IF(AND(ISNUMBER(U87),U87&lt;=2),"Aesthetic mismatch",IF(AY87="High","Too fragile",IF(AND(ISNUMBER(R87),R87&lt;LOW_PROFIT_PCT),"Low profit",IF(AND(ISNUMBER(AT87),AT87&gt;MOQ_WARNING),"MOQ too high",IF(OR(AD87="Maybe",AD87="Price Review"),"Needs partner review",IF(AD87="Buy","Good candidate","")))))))))</f>
        <v/>
      </c>
      <c r="BF87" s="16" t="n"/>
      <c r="BG87" s="16" t="n"/>
      <c r="BH87" s="16" t="n"/>
      <c r="BI87" s="16" t="n"/>
      <c r="BJ87" s="16" t="n"/>
      <c r="BK87" s="16" t="n"/>
      <c r="BL87" s="16">
        <f>IF(C87="","",IF(AND(BG87="Yes",BH87="Yes",BI87="Yes",BJ87="Yes",BK87="Yes"),"Yes","No"))</f>
        <v/>
      </c>
      <c r="BM87" s="18" t="n"/>
      <c r="BN87" s="18" t="n"/>
      <c r="BO87" s="18">
        <f>IF(OR(BM87="",BN87=""),"",BM87+BN87)</f>
        <v/>
      </c>
      <c r="BP87" s="18" t="n"/>
      <c r="BQ87" s="18">
        <f>IF(OR(BP87="",BO87=""),"",BP87-BO87)</f>
        <v/>
      </c>
      <c r="BR87" s="19">
        <f>IF(OR(BP87="",BP87=0,BQ87=""),"",BQ87/BP87)</f>
        <v/>
      </c>
      <c r="BS87" s="17" t="n"/>
      <c r="BT87" s="22" t="n"/>
      <c r="BU87" s="22" t="n"/>
      <c r="BV87" s="16" t="n"/>
      <c r="BW87" s="16" t="n"/>
      <c r="BX87" s="22">
        <f>IF(OR(BT87="",BU87=""),"",BT87-BU87)</f>
        <v/>
      </c>
      <c r="BY87" s="16" t="n"/>
      <c r="BZ87" s="17" t="n"/>
      <c r="CA87" s="16" t="n"/>
      <c r="CB87" s="16" t="n"/>
    </row>
    <row r="88">
      <c r="A88" s="23">
        <f>IF(C88="","","AYN-"&amp;IFERROR(VLOOKUP(E88,CATEGORY_PREFIX_TABLE,2,FALSE),"OTH")&amp;"-"&amp;TEXT(ROW()-2,"0000"))</f>
        <v/>
      </c>
      <c r="B88" s="24" t="n"/>
      <c r="C88" s="23" t="n"/>
      <c r="D88" s="23" t="n"/>
      <c r="E88" s="23" t="n"/>
      <c r="F88" s="23" t="n"/>
      <c r="G88" s="23" t="n"/>
      <c r="H88" s="23" t="n"/>
      <c r="I88" s="23" t="n"/>
      <c r="J88" s="23" t="n"/>
      <c r="K88" s="25">
        <f>IF(I88="","",IF(J88="BDT",I88,IF(J88="USD",I88*USD_BDT,IF(J88="RMB",I88*RMB_BDT,""))))</f>
        <v/>
      </c>
      <c r="L88" s="25" t="n"/>
      <c r="M88" s="26" t="n"/>
      <c r="N88" s="25" t="n"/>
      <c r="O88" s="25">
        <f>IF(K88="","",K88+IFERROR(L88,0)+(K88*IF(M88="",CUSTOMS_PCT,M88))+IF(N88="",MISC_FEE,N88))</f>
        <v/>
      </c>
      <c r="P88" s="25">
        <f>IF(O88="","",ROUND(O88*(1+MARKUP_PCT),-1)-1)</f>
        <v/>
      </c>
      <c r="Q88" s="25">
        <f>IF(P88="","",P88-O88)</f>
        <v/>
      </c>
      <c r="R88" s="26">
        <f>IF(OR(P88="",P88=0),"",Q88/P88)</f>
        <v/>
      </c>
      <c r="S88" s="23" t="n"/>
      <c r="T88" s="23" t="n"/>
      <c r="U88" s="23" t="n"/>
      <c r="V88" s="23" t="n"/>
      <c r="W88" s="23" t="n"/>
      <c r="X88" s="23" t="n"/>
      <c r="Y88" s="23" t="n"/>
      <c r="Z88" s="23" t="n"/>
      <c r="AA88" s="23" t="n"/>
      <c r="AB88" s="23" t="n"/>
      <c r="AC88" s="27">
        <f>IF(COUNT(S88:AB88)&lt;10,"",(S88*W_FEMININE+T88*W_TREND+U88*W_AESTHETIC+V88*W_STYLE+W88*W_LIGHT+X88*W_REELS+Y88*W_GIFT+Z88*W_PRICEFIT+AA88*W_DEMAND+AB88*W_QUALITY)/5*100)</f>
        <v/>
      </c>
      <c r="AD88" s="23">
        <f>IF(P88="","",IF(P88&gt;HARD_REJECT_PRICE,"Reject",IF(P88&gt;MAX_PRICE,"Price Review",IF(AC88="","",IF(AND(AC88&gt;=BUY_THRESHOLD,OR(AB88&lt;=2,U88&lt;=2)),"Maybe",IF(AC88&gt;=BUY_THRESHOLD,"Buy",IF(AC88&gt;=MAYBE_THRESHOLD,"Maybe","Reject")))))))</f>
        <v/>
      </c>
      <c r="AE88" s="23" t="n"/>
      <c r="AF88" s="23" t="n"/>
      <c r="AG88" s="23" t="n"/>
      <c r="AH88" s="23" t="n"/>
      <c r="AI88" s="24" t="n"/>
      <c r="AJ88">
        <f>IF(AC88="",-9999-ROW()*0.0000001,AC88-ROW()*0.0000001)</f>
        <v/>
      </c>
      <c r="AK88">
        <f>IF(OR(AC88="",P88="",P88&gt;MAX_PRICE),-9999-ROW()*0.0000001,AC88-ROW()*0.0000001)</f>
        <v/>
      </c>
      <c r="AL88">
        <f>IF(AC88="",-9999-ROW()*0.0000001,X88*1000+AC88-ROW()*0.0000001)</f>
        <v/>
      </c>
      <c r="AM88">
        <f>IF(AC88="",-9999-ROW()*0.0000001,Y88*1000+AC88-ROW()*0.0000001)</f>
        <v/>
      </c>
      <c r="AN88">
        <f>IF(AND(OR(AD88="Maybe",AD88="Price Review"),AG88&lt;&gt;"Approved",AG88&lt;&gt;"Rejected"),IF(AC88="",0,AC88)-ROW()*0.0000001,-9999-ROW()*0.0000001)</f>
        <v/>
      </c>
      <c r="AO88" s="28" t="n"/>
      <c r="AP88" s="28" t="n"/>
      <c r="AQ88" s="29" t="n"/>
      <c r="AR88" s="29" t="n"/>
      <c r="AS88" s="23" t="n"/>
      <c r="AT88" s="29" t="n"/>
      <c r="AU88" s="29" t="n"/>
      <c r="AV88" s="29" t="n"/>
      <c r="AW88" s="25">
        <f>IF(OR(O88="",AV88=""),"",O88*AV88)</f>
        <v/>
      </c>
      <c r="AX88" s="23" t="n"/>
      <c r="AY88" s="23" t="n"/>
      <c r="AZ88" s="23" t="n"/>
      <c r="BA88" s="23" t="n"/>
      <c r="BB88" s="23" t="n"/>
      <c r="BC88" s="25" t="n"/>
      <c r="BD88" s="23" t="n"/>
      <c r="BE88" s="23">
        <f>IF(C88="","",IF(AND(ISNUMBER(P88),P88&gt;MAX_PRICE),"Price too high",IF(AND(ISNUMBER(AB88),AB88&lt;=2),"Quality risk",IF(AND(ISNUMBER(U88),U88&lt;=2),"Aesthetic mismatch",IF(AY88="High","Too fragile",IF(AND(ISNUMBER(R88),R88&lt;LOW_PROFIT_PCT),"Low profit",IF(AND(ISNUMBER(AT88),AT88&gt;MOQ_WARNING),"MOQ too high",IF(OR(AD88="Maybe",AD88="Price Review"),"Needs partner review",IF(AD88="Buy","Good candidate","")))))))))</f>
        <v/>
      </c>
      <c r="BF88" s="23" t="n"/>
      <c r="BG88" s="23" t="n"/>
      <c r="BH88" s="23" t="n"/>
      <c r="BI88" s="23" t="n"/>
      <c r="BJ88" s="23" t="n"/>
      <c r="BK88" s="23" t="n"/>
      <c r="BL88" s="23">
        <f>IF(C88="","",IF(AND(BG88="Yes",BH88="Yes",BI88="Yes",BJ88="Yes",BK88="Yes"),"Yes","No"))</f>
        <v/>
      </c>
      <c r="BM88" s="25" t="n"/>
      <c r="BN88" s="25" t="n"/>
      <c r="BO88" s="25">
        <f>IF(OR(BM88="",BN88=""),"",BM88+BN88)</f>
        <v/>
      </c>
      <c r="BP88" s="25" t="n"/>
      <c r="BQ88" s="25">
        <f>IF(OR(BP88="",BO88=""),"",BP88-BO88)</f>
        <v/>
      </c>
      <c r="BR88" s="26">
        <f>IF(OR(BP88="",BP88=0,BQ88=""),"",BQ88/BP88)</f>
        <v/>
      </c>
      <c r="BS88" s="24" t="n"/>
      <c r="BT88" s="29" t="n"/>
      <c r="BU88" s="29" t="n"/>
      <c r="BV88" s="23" t="n"/>
      <c r="BW88" s="23" t="n"/>
      <c r="BX88" s="29">
        <f>IF(OR(BT88="",BU88=""),"",BT88-BU88)</f>
        <v/>
      </c>
      <c r="BY88" s="23" t="n"/>
      <c r="BZ88" s="24" t="n"/>
      <c r="CA88" s="23" t="n"/>
      <c r="CB88" s="23" t="n"/>
    </row>
    <row r="89">
      <c r="A89" s="16">
        <f>IF(C89="","","AYN-"&amp;IFERROR(VLOOKUP(E89,CATEGORY_PREFIX_TABLE,2,FALSE),"OTH")&amp;"-"&amp;TEXT(ROW()-2,"0000"))</f>
        <v/>
      </c>
      <c r="B89" s="17" t="n"/>
      <c r="C89" s="16" t="n"/>
      <c r="D89" s="16" t="n"/>
      <c r="E89" s="16" t="n"/>
      <c r="F89" s="16" t="n"/>
      <c r="G89" s="16" t="n"/>
      <c r="H89" s="16" t="n"/>
      <c r="I89" s="16" t="n"/>
      <c r="J89" s="16" t="n"/>
      <c r="K89" s="18">
        <f>IF(I89="","",IF(J89="BDT",I89,IF(J89="USD",I89*USD_BDT,IF(J89="RMB",I89*RMB_BDT,""))))</f>
        <v/>
      </c>
      <c r="L89" s="18" t="n"/>
      <c r="M89" s="19" t="n"/>
      <c r="N89" s="18" t="n"/>
      <c r="O89" s="18">
        <f>IF(K89="","",K89+IFERROR(L89,0)+(K89*IF(M89="",CUSTOMS_PCT,M89))+IF(N89="",MISC_FEE,N89))</f>
        <v/>
      </c>
      <c r="P89" s="18">
        <f>IF(O89="","",ROUND(O89*(1+MARKUP_PCT),-1)-1)</f>
        <v/>
      </c>
      <c r="Q89" s="18">
        <f>IF(P89="","",P89-O89)</f>
        <v/>
      </c>
      <c r="R89" s="19">
        <f>IF(OR(P89="",P89=0),"",Q89/P89)</f>
        <v/>
      </c>
      <c r="S89" s="16" t="n"/>
      <c r="T89" s="16" t="n"/>
      <c r="U89" s="16" t="n"/>
      <c r="V89" s="16" t="n"/>
      <c r="W89" s="16" t="n"/>
      <c r="X89" s="16" t="n"/>
      <c r="Y89" s="16" t="n"/>
      <c r="Z89" s="16" t="n"/>
      <c r="AA89" s="16" t="n"/>
      <c r="AB89" s="16" t="n"/>
      <c r="AC89" s="20">
        <f>IF(COUNT(S89:AB89)&lt;10,"",(S89*W_FEMININE+T89*W_TREND+U89*W_AESTHETIC+V89*W_STYLE+W89*W_LIGHT+X89*W_REELS+Y89*W_GIFT+Z89*W_PRICEFIT+AA89*W_DEMAND+AB89*W_QUALITY)/5*100)</f>
        <v/>
      </c>
      <c r="AD89" s="16">
        <f>IF(P89="","",IF(P89&gt;HARD_REJECT_PRICE,"Reject",IF(P89&gt;MAX_PRICE,"Price Review",IF(AC89="","",IF(AND(AC89&gt;=BUY_THRESHOLD,OR(AB89&lt;=2,U89&lt;=2)),"Maybe",IF(AC89&gt;=BUY_THRESHOLD,"Buy",IF(AC89&gt;=MAYBE_THRESHOLD,"Maybe","Reject")))))))</f>
        <v/>
      </c>
      <c r="AE89" s="16" t="n"/>
      <c r="AF89" s="16" t="n"/>
      <c r="AG89" s="16" t="n"/>
      <c r="AH89" s="16" t="n"/>
      <c r="AI89" s="17" t="n"/>
      <c r="AJ89">
        <f>IF(AC89="",-9999-ROW()*0.0000001,AC89-ROW()*0.0000001)</f>
        <v/>
      </c>
      <c r="AK89">
        <f>IF(OR(AC89="",P89="",P89&gt;MAX_PRICE),-9999-ROW()*0.0000001,AC89-ROW()*0.0000001)</f>
        <v/>
      </c>
      <c r="AL89">
        <f>IF(AC89="",-9999-ROW()*0.0000001,X89*1000+AC89-ROW()*0.0000001)</f>
        <v/>
      </c>
      <c r="AM89">
        <f>IF(AC89="",-9999-ROW()*0.0000001,Y89*1000+AC89-ROW()*0.0000001)</f>
        <v/>
      </c>
      <c r="AN89">
        <f>IF(AND(OR(AD89="Maybe",AD89="Price Review"),AG89&lt;&gt;"Approved",AG89&lt;&gt;"Rejected"),IF(AC89="",0,AC89)-ROW()*0.0000001,-9999-ROW()*0.0000001)</f>
        <v/>
      </c>
      <c r="AO89" s="21" t="n"/>
      <c r="AP89" s="21" t="n"/>
      <c r="AQ89" s="22" t="n"/>
      <c r="AR89" s="22" t="n"/>
      <c r="AS89" s="16" t="n"/>
      <c r="AT89" s="22" t="n"/>
      <c r="AU89" s="22" t="n"/>
      <c r="AV89" s="22" t="n"/>
      <c r="AW89" s="18">
        <f>IF(OR(O89="",AV89=""),"",O89*AV89)</f>
        <v/>
      </c>
      <c r="AX89" s="16" t="n"/>
      <c r="AY89" s="16" t="n"/>
      <c r="AZ89" s="16" t="n"/>
      <c r="BA89" s="16" t="n"/>
      <c r="BB89" s="16" t="n"/>
      <c r="BC89" s="18" t="n"/>
      <c r="BD89" s="16" t="n"/>
      <c r="BE89" s="16">
        <f>IF(C89="","",IF(AND(ISNUMBER(P89),P89&gt;MAX_PRICE),"Price too high",IF(AND(ISNUMBER(AB89),AB89&lt;=2),"Quality risk",IF(AND(ISNUMBER(U89),U89&lt;=2),"Aesthetic mismatch",IF(AY89="High","Too fragile",IF(AND(ISNUMBER(R89),R89&lt;LOW_PROFIT_PCT),"Low profit",IF(AND(ISNUMBER(AT89),AT89&gt;MOQ_WARNING),"MOQ too high",IF(OR(AD89="Maybe",AD89="Price Review"),"Needs partner review",IF(AD89="Buy","Good candidate","")))))))))</f>
        <v/>
      </c>
      <c r="BF89" s="16" t="n"/>
      <c r="BG89" s="16" t="n"/>
      <c r="BH89" s="16" t="n"/>
      <c r="BI89" s="16" t="n"/>
      <c r="BJ89" s="16" t="n"/>
      <c r="BK89" s="16" t="n"/>
      <c r="BL89" s="16">
        <f>IF(C89="","",IF(AND(BG89="Yes",BH89="Yes",BI89="Yes",BJ89="Yes",BK89="Yes"),"Yes","No"))</f>
        <v/>
      </c>
      <c r="BM89" s="18" t="n"/>
      <c r="BN89" s="18" t="n"/>
      <c r="BO89" s="18">
        <f>IF(OR(BM89="",BN89=""),"",BM89+BN89)</f>
        <v/>
      </c>
      <c r="BP89" s="18" t="n"/>
      <c r="BQ89" s="18">
        <f>IF(OR(BP89="",BO89=""),"",BP89-BO89)</f>
        <v/>
      </c>
      <c r="BR89" s="19">
        <f>IF(OR(BP89="",BP89=0,BQ89=""),"",BQ89/BP89)</f>
        <v/>
      </c>
      <c r="BS89" s="17" t="n"/>
      <c r="BT89" s="22" t="n"/>
      <c r="BU89" s="22" t="n"/>
      <c r="BV89" s="16" t="n"/>
      <c r="BW89" s="16" t="n"/>
      <c r="BX89" s="22">
        <f>IF(OR(BT89="",BU89=""),"",BT89-BU89)</f>
        <v/>
      </c>
      <c r="BY89" s="16" t="n"/>
      <c r="BZ89" s="17" t="n"/>
      <c r="CA89" s="16" t="n"/>
      <c r="CB89" s="16" t="n"/>
    </row>
    <row r="90">
      <c r="A90" s="23">
        <f>IF(C90="","","AYN-"&amp;IFERROR(VLOOKUP(E90,CATEGORY_PREFIX_TABLE,2,FALSE),"OTH")&amp;"-"&amp;TEXT(ROW()-2,"0000"))</f>
        <v/>
      </c>
      <c r="B90" s="24" t="n"/>
      <c r="C90" s="23" t="n"/>
      <c r="D90" s="23" t="n"/>
      <c r="E90" s="23" t="n"/>
      <c r="F90" s="23" t="n"/>
      <c r="G90" s="23" t="n"/>
      <c r="H90" s="23" t="n"/>
      <c r="I90" s="23" t="n"/>
      <c r="J90" s="23" t="n"/>
      <c r="K90" s="25">
        <f>IF(I90="","",IF(J90="BDT",I90,IF(J90="USD",I90*USD_BDT,IF(J90="RMB",I90*RMB_BDT,""))))</f>
        <v/>
      </c>
      <c r="L90" s="25" t="n"/>
      <c r="M90" s="26" t="n"/>
      <c r="N90" s="25" t="n"/>
      <c r="O90" s="25">
        <f>IF(K90="","",K90+IFERROR(L90,0)+(K90*IF(M90="",CUSTOMS_PCT,M90))+IF(N90="",MISC_FEE,N90))</f>
        <v/>
      </c>
      <c r="P90" s="25">
        <f>IF(O90="","",ROUND(O90*(1+MARKUP_PCT),-1)-1)</f>
        <v/>
      </c>
      <c r="Q90" s="25">
        <f>IF(P90="","",P90-O90)</f>
        <v/>
      </c>
      <c r="R90" s="26">
        <f>IF(OR(P90="",P90=0),"",Q90/P90)</f>
        <v/>
      </c>
      <c r="S90" s="23" t="n"/>
      <c r="T90" s="23" t="n"/>
      <c r="U90" s="23" t="n"/>
      <c r="V90" s="23" t="n"/>
      <c r="W90" s="23" t="n"/>
      <c r="X90" s="23" t="n"/>
      <c r="Y90" s="23" t="n"/>
      <c r="Z90" s="23" t="n"/>
      <c r="AA90" s="23" t="n"/>
      <c r="AB90" s="23" t="n"/>
      <c r="AC90" s="27">
        <f>IF(COUNT(S90:AB90)&lt;10,"",(S90*W_FEMININE+T90*W_TREND+U90*W_AESTHETIC+V90*W_STYLE+W90*W_LIGHT+X90*W_REELS+Y90*W_GIFT+Z90*W_PRICEFIT+AA90*W_DEMAND+AB90*W_QUALITY)/5*100)</f>
        <v/>
      </c>
      <c r="AD90" s="23">
        <f>IF(P90="","",IF(P90&gt;HARD_REJECT_PRICE,"Reject",IF(P90&gt;MAX_PRICE,"Price Review",IF(AC90="","",IF(AND(AC90&gt;=BUY_THRESHOLD,OR(AB90&lt;=2,U90&lt;=2)),"Maybe",IF(AC90&gt;=BUY_THRESHOLD,"Buy",IF(AC90&gt;=MAYBE_THRESHOLD,"Maybe","Reject")))))))</f>
        <v/>
      </c>
      <c r="AE90" s="23" t="n"/>
      <c r="AF90" s="23" t="n"/>
      <c r="AG90" s="23" t="n"/>
      <c r="AH90" s="23" t="n"/>
      <c r="AI90" s="24" t="n"/>
      <c r="AJ90">
        <f>IF(AC90="",-9999-ROW()*0.0000001,AC90-ROW()*0.0000001)</f>
        <v/>
      </c>
      <c r="AK90">
        <f>IF(OR(AC90="",P90="",P90&gt;MAX_PRICE),-9999-ROW()*0.0000001,AC90-ROW()*0.0000001)</f>
        <v/>
      </c>
      <c r="AL90">
        <f>IF(AC90="",-9999-ROW()*0.0000001,X90*1000+AC90-ROW()*0.0000001)</f>
        <v/>
      </c>
      <c r="AM90">
        <f>IF(AC90="",-9999-ROW()*0.0000001,Y90*1000+AC90-ROW()*0.0000001)</f>
        <v/>
      </c>
      <c r="AN90">
        <f>IF(AND(OR(AD90="Maybe",AD90="Price Review"),AG90&lt;&gt;"Approved",AG90&lt;&gt;"Rejected"),IF(AC90="",0,AC90)-ROW()*0.0000001,-9999-ROW()*0.0000001)</f>
        <v/>
      </c>
      <c r="AO90" s="28" t="n"/>
      <c r="AP90" s="28" t="n"/>
      <c r="AQ90" s="29" t="n"/>
      <c r="AR90" s="29" t="n"/>
      <c r="AS90" s="23" t="n"/>
      <c r="AT90" s="29" t="n"/>
      <c r="AU90" s="29" t="n"/>
      <c r="AV90" s="29" t="n"/>
      <c r="AW90" s="25">
        <f>IF(OR(O90="",AV90=""),"",O90*AV90)</f>
        <v/>
      </c>
      <c r="AX90" s="23" t="n"/>
      <c r="AY90" s="23" t="n"/>
      <c r="AZ90" s="23" t="n"/>
      <c r="BA90" s="23" t="n"/>
      <c r="BB90" s="23" t="n"/>
      <c r="BC90" s="25" t="n"/>
      <c r="BD90" s="23" t="n"/>
      <c r="BE90" s="23">
        <f>IF(C90="","",IF(AND(ISNUMBER(P90),P90&gt;MAX_PRICE),"Price too high",IF(AND(ISNUMBER(AB90),AB90&lt;=2),"Quality risk",IF(AND(ISNUMBER(U90),U90&lt;=2),"Aesthetic mismatch",IF(AY90="High","Too fragile",IF(AND(ISNUMBER(R90),R90&lt;LOW_PROFIT_PCT),"Low profit",IF(AND(ISNUMBER(AT90),AT90&gt;MOQ_WARNING),"MOQ too high",IF(OR(AD90="Maybe",AD90="Price Review"),"Needs partner review",IF(AD90="Buy","Good candidate","")))))))))</f>
        <v/>
      </c>
      <c r="BF90" s="23" t="n"/>
      <c r="BG90" s="23" t="n"/>
      <c r="BH90" s="23" t="n"/>
      <c r="BI90" s="23" t="n"/>
      <c r="BJ90" s="23" t="n"/>
      <c r="BK90" s="23" t="n"/>
      <c r="BL90" s="23">
        <f>IF(C90="","",IF(AND(BG90="Yes",BH90="Yes",BI90="Yes",BJ90="Yes",BK90="Yes"),"Yes","No"))</f>
        <v/>
      </c>
      <c r="BM90" s="25" t="n"/>
      <c r="BN90" s="25" t="n"/>
      <c r="BO90" s="25">
        <f>IF(OR(BM90="",BN90=""),"",BM90+BN90)</f>
        <v/>
      </c>
      <c r="BP90" s="25" t="n"/>
      <c r="BQ90" s="25">
        <f>IF(OR(BP90="",BO90=""),"",BP90-BO90)</f>
        <v/>
      </c>
      <c r="BR90" s="26">
        <f>IF(OR(BP90="",BP90=0,BQ90=""),"",BQ90/BP90)</f>
        <v/>
      </c>
      <c r="BS90" s="24" t="n"/>
      <c r="BT90" s="29" t="n"/>
      <c r="BU90" s="29" t="n"/>
      <c r="BV90" s="23" t="n"/>
      <c r="BW90" s="23" t="n"/>
      <c r="BX90" s="29">
        <f>IF(OR(BT90="",BU90=""),"",BT90-BU90)</f>
        <v/>
      </c>
      <c r="BY90" s="23" t="n"/>
      <c r="BZ90" s="24" t="n"/>
      <c r="CA90" s="23" t="n"/>
      <c r="CB90" s="23" t="n"/>
    </row>
    <row r="91">
      <c r="A91" s="16">
        <f>IF(C91="","","AYN-"&amp;IFERROR(VLOOKUP(E91,CATEGORY_PREFIX_TABLE,2,FALSE),"OTH")&amp;"-"&amp;TEXT(ROW()-2,"0000"))</f>
        <v/>
      </c>
      <c r="B91" s="17" t="n"/>
      <c r="C91" s="16" t="n"/>
      <c r="D91" s="16" t="n"/>
      <c r="E91" s="16" t="n"/>
      <c r="F91" s="16" t="n"/>
      <c r="G91" s="16" t="n"/>
      <c r="H91" s="16" t="n"/>
      <c r="I91" s="16" t="n"/>
      <c r="J91" s="16" t="n"/>
      <c r="K91" s="18">
        <f>IF(I91="","",IF(J91="BDT",I91,IF(J91="USD",I91*USD_BDT,IF(J91="RMB",I91*RMB_BDT,""))))</f>
        <v/>
      </c>
      <c r="L91" s="18" t="n"/>
      <c r="M91" s="19" t="n"/>
      <c r="N91" s="18" t="n"/>
      <c r="O91" s="18">
        <f>IF(K91="","",K91+IFERROR(L91,0)+(K91*IF(M91="",CUSTOMS_PCT,M91))+IF(N91="",MISC_FEE,N91))</f>
        <v/>
      </c>
      <c r="P91" s="18">
        <f>IF(O91="","",ROUND(O91*(1+MARKUP_PCT),-1)-1)</f>
        <v/>
      </c>
      <c r="Q91" s="18">
        <f>IF(P91="","",P91-O91)</f>
        <v/>
      </c>
      <c r="R91" s="19">
        <f>IF(OR(P91="",P91=0),"",Q91/P91)</f>
        <v/>
      </c>
      <c r="S91" s="16" t="n"/>
      <c r="T91" s="16" t="n"/>
      <c r="U91" s="16" t="n"/>
      <c r="V91" s="16" t="n"/>
      <c r="W91" s="16" t="n"/>
      <c r="X91" s="16" t="n"/>
      <c r="Y91" s="16" t="n"/>
      <c r="Z91" s="16" t="n"/>
      <c r="AA91" s="16" t="n"/>
      <c r="AB91" s="16" t="n"/>
      <c r="AC91" s="20">
        <f>IF(COUNT(S91:AB91)&lt;10,"",(S91*W_FEMININE+T91*W_TREND+U91*W_AESTHETIC+V91*W_STYLE+W91*W_LIGHT+X91*W_REELS+Y91*W_GIFT+Z91*W_PRICEFIT+AA91*W_DEMAND+AB91*W_QUALITY)/5*100)</f>
        <v/>
      </c>
      <c r="AD91" s="16">
        <f>IF(P91="","",IF(P91&gt;HARD_REJECT_PRICE,"Reject",IF(P91&gt;MAX_PRICE,"Price Review",IF(AC91="","",IF(AND(AC91&gt;=BUY_THRESHOLD,OR(AB91&lt;=2,U91&lt;=2)),"Maybe",IF(AC91&gt;=BUY_THRESHOLD,"Buy",IF(AC91&gt;=MAYBE_THRESHOLD,"Maybe","Reject")))))))</f>
        <v/>
      </c>
      <c r="AE91" s="16" t="n"/>
      <c r="AF91" s="16" t="n"/>
      <c r="AG91" s="16" t="n"/>
      <c r="AH91" s="16" t="n"/>
      <c r="AI91" s="17" t="n"/>
      <c r="AJ91">
        <f>IF(AC91="",-9999-ROW()*0.0000001,AC91-ROW()*0.0000001)</f>
        <v/>
      </c>
      <c r="AK91">
        <f>IF(OR(AC91="",P91="",P91&gt;MAX_PRICE),-9999-ROW()*0.0000001,AC91-ROW()*0.0000001)</f>
        <v/>
      </c>
      <c r="AL91">
        <f>IF(AC91="",-9999-ROW()*0.0000001,X91*1000+AC91-ROW()*0.0000001)</f>
        <v/>
      </c>
      <c r="AM91">
        <f>IF(AC91="",-9999-ROW()*0.0000001,Y91*1000+AC91-ROW()*0.0000001)</f>
        <v/>
      </c>
      <c r="AN91">
        <f>IF(AND(OR(AD91="Maybe",AD91="Price Review"),AG91&lt;&gt;"Approved",AG91&lt;&gt;"Rejected"),IF(AC91="",0,AC91)-ROW()*0.0000001,-9999-ROW()*0.0000001)</f>
        <v/>
      </c>
      <c r="AO91" s="21" t="n"/>
      <c r="AP91" s="21" t="n"/>
      <c r="AQ91" s="22" t="n"/>
      <c r="AR91" s="22" t="n"/>
      <c r="AS91" s="16" t="n"/>
      <c r="AT91" s="22" t="n"/>
      <c r="AU91" s="22" t="n"/>
      <c r="AV91" s="22" t="n"/>
      <c r="AW91" s="18">
        <f>IF(OR(O91="",AV91=""),"",O91*AV91)</f>
        <v/>
      </c>
      <c r="AX91" s="16" t="n"/>
      <c r="AY91" s="16" t="n"/>
      <c r="AZ91" s="16" t="n"/>
      <c r="BA91" s="16" t="n"/>
      <c r="BB91" s="16" t="n"/>
      <c r="BC91" s="18" t="n"/>
      <c r="BD91" s="16" t="n"/>
      <c r="BE91" s="16">
        <f>IF(C91="","",IF(AND(ISNUMBER(P91),P91&gt;MAX_PRICE),"Price too high",IF(AND(ISNUMBER(AB91),AB91&lt;=2),"Quality risk",IF(AND(ISNUMBER(U91),U91&lt;=2),"Aesthetic mismatch",IF(AY91="High","Too fragile",IF(AND(ISNUMBER(R91),R91&lt;LOW_PROFIT_PCT),"Low profit",IF(AND(ISNUMBER(AT91),AT91&gt;MOQ_WARNING),"MOQ too high",IF(OR(AD91="Maybe",AD91="Price Review"),"Needs partner review",IF(AD91="Buy","Good candidate","")))))))))</f>
        <v/>
      </c>
      <c r="BF91" s="16" t="n"/>
      <c r="BG91" s="16" t="n"/>
      <c r="BH91" s="16" t="n"/>
      <c r="BI91" s="16" t="n"/>
      <c r="BJ91" s="16" t="n"/>
      <c r="BK91" s="16" t="n"/>
      <c r="BL91" s="16">
        <f>IF(C91="","",IF(AND(BG91="Yes",BH91="Yes",BI91="Yes",BJ91="Yes",BK91="Yes"),"Yes","No"))</f>
        <v/>
      </c>
      <c r="BM91" s="18" t="n"/>
      <c r="BN91" s="18" t="n"/>
      <c r="BO91" s="18">
        <f>IF(OR(BM91="",BN91=""),"",BM91+BN91)</f>
        <v/>
      </c>
      <c r="BP91" s="18" t="n"/>
      <c r="BQ91" s="18">
        <f>IF(OR(BP91="",BO91=""),"",BP91-BO91)</f>
        <v/>
      </c>
      <c r="BR91" s="19">
        <f>IF(OR(BP91="",BP91=0,BQ91=""),"",BQ91/BP91)</f>
        <v/>
      </c>
      <c r="BS91" s="17" t="n"/>
      <c r="BT91" s="22" t="n"/>
      <c r="BU91" s="22" t="n"/>
      <c r="BV91" s="16" t="n"/>
      <c r="BW91" s="16" t="n"/>
      <c r="BX91" s="22">
        <f>IF(OR(BT91="",BU91=""),"",BT91-BU91)</f>
        <v/>
      </c>
      <c r="BY91" s="16" t="n"/>
      <c r="BZ91" s="17" t="n"/>
      <c r="CA91" s="16" t="n"/>
      <c r="CB91" s="16" t="n"/>
    </row>
    <row r="92">
      <c r="A92" s="23">
        <f>IF(C92="","","AYN-"&amp;IFERROR(VLOOKUP(E92,CATEGORY_PREFIX_TABLE,2,FALSE),"OTH")&amp;"-"&amp;TEXT(ROW()-2,"0000"))</f>
        <v/>
      </c>
      <c r="B92" s="24" t="n"/>
      <c r="C92" s="23" t="n"/>
      <c r="D92" s="23" t="n"/>
      <c r="E92" s="23" t="n"/>
      <c r="F92" s="23" t="n"/>
      <c r="G92" s="23" t="n"/>
      <c r="H92" s="23" t="n"/>
      <c r="I92" s="23" t="n"/>
      <c r="J92" s="23" t="n"/>
      <c r="K92" s="25">
        <f>IF(I92="","",IF(J92="BDT",I92,IF(J92="USD",I92*USD_BDT,IF(J92="RMB",I92*RMB_BDT,""))))</f>
        <v/>
      </c>
      <c r="L92" s="25" t="n"/>
      <c r="M92" s="26" t="n"/>
      <c r="N92" s="25" t="n"/>
      <c r="O92" s="25">
        <f>IF(K92="","",K92+IFERROR(L92,0)+(K92*IF(M92="",CUSTOMS_PCT,M92))+IF(N92="",MISC_FEE,N92))</f>
        <v/>
      </c>
      <c r="P92" s="25">
        <f>IF(O92="","",ROUND(O92*(1+MARKUP_PCT),-1)-1)</f>
        <v/>
      </c>
      <c r="Q92" s="25">
        <f>IF(P92="","",P92-O92)</f>
        <v/>
      </c>
      <c r="R92" s="26">
        <f>IF(OR(P92="",P92=0),"",Q92/P92)</f>
        <v/>
      </c>
      <c r="S92" s="23" t="n"/>
      <c r="T92" s="23" t="n"/>
      <c r="U92" s="23" t="n"/>
      <c r="V92" s="23" t="n"/>
      <c r="W92" s="23" t="n"/>
      <c r="X92" s="23" t="n"/>
      <c r="Y92" s="23" t="n"/>
      <c r="Z92" s="23" t="n"/>
      <c r="AA92" s="23" t="n"/>
      <c r="AB92" s="23" t="n"/>
      <c r="AC92" s="27">
        <f>IF(COUNT(S92:AB92)&lt;10,"",(S92*W_FEMININE+T92*W_TREND+U92*W_AESTHETIC+V92*W_STYLE+W92*W_LIGHT+X92*W_REELS+Y92*W_GIFT+Z92*W_PRICEFIT+AA92*W_DEMAND+AB92*W_QUALITY)/5*100)</f>
        <v/>
      </c>
      <c r="AD92" s="23">
        <f>IF(P92="","",IF(P92&gt;HARD_REJECT_PRICE,"Reject",IF(P92&gt;MAX_PRICE,"Price Review",IF(AC92="","",IF(AND(AC92&gt;=BUY_THRESHOLD,OR(AB92&lt;=2,U92&lt;=2)),"Maybe",IF(AC92&gt;=BUY_THRESHOLD,"Buy",IF(AC92&gt;=MAYBE_THRESHOLD,"Maybe","Reject")))))))</f>
        <v/>
      </c>
      <c r="AE92" s="23" t="n"/>
      <c r="AF92" s="23" t="n"/>
      <c r="AG92" s="23" t="n"/>
      <c r="AH92" s="23" t="n"/>
      <c r="AI92" s="24" t="n"/>
      <c r="AJ92">
        <f>IF(AC92="",-9999-ROW()*0.0000001,AC92-ROW()*0.0000001)</f>
        <v/>
      </c>
      <c r="AK92">
        <f>IF(OR(AC92="",P92="",P92&gt;MAX_PRICE),-9999-ROW()*0.0000001,AC92-ROW()*0.0000001)</f>
        <v/>
      </c>
      <c r="AL92">
        <f>IF(AC92="",-9999-ROW()*0.0000001,X92*1000+AC92-ROW()*0.0000001)</f>
        <v/>
      </c>
      <c r="AM92">
        <f>IF(AC92="",-9999-ROW()*0.0000001,Y92*1000+AC92-ROW()*0.0000001)</f>
        <v/>
      </c>
      <c r="AN92">
        <f>IF(AND(OR(AD92="Maybe",AD92="Price Review"),AG92&lt;&gt;"Approved",AG92&lt;&gt;"Rejected"),IF(AC92="",0,AC92)-ROW()*0.0000001,-9999-ROW()*0.0000001)</f>
        <v/>
      </c>
      <c r="AO92" s="28" t="n"/>
      <c r="AP92" s="28" t="n"/>
      <c r="AQ92" s="29" t="n"/>
      <c r="AR92" s="29" t="n"/>
      <c r="AS92" s="23" t="n"/>
      <c r="AT92" s="29" t="n"/>
      <c r="AU92" s="29" t="n"/>
      <c r="AV92" s="29" t="n"/>
      <c r="AW92" s="25">
        <f>IF(OR(O92="",AV92=""),"",O92*AV92)</f>
        <v/>
      </c>
      <c r="AX92" s="23" t="n"/>
      <c r="AY92" s="23" t="n"/>
      <c r="AZ92" s="23" t="n"/>
      <c r="BA92" s="23" t="n"/>
      <c r="BB92" s="23" t="n"/>
      <c r="BC92" s="25" t="n"/>
      <c r="BD92" s="23" t="n"/>
      <c r="BE92" s="23">
        <f>IF(C92="","",IF(AND(ISNUMBER(P92),P92&gt;MAX_PRICE),"Price too high",IF(AND(ISNUMBER(AB92),AB92&lt;=2),"Quality risk",IF(AND(ISNUMBER(U92),U92&lt;=2),"Aesthetic mismatch",IF(AY92="High","Too fragile",IF(AND(ISNUMBER(R92),R92&lt;LOW_PROFIT_PCT),"Low profit",IF(AND(ISNUMBER(AT92),AT92&gt;MOQ_WARNING),"MOQ too high",IF(OR(AD92="Maybe",AD92="Price Review"),"Needs partner review",IF(AD92="Buy","Good candidate","")))))))))</f>
        <v/>
      </c>
      <c r="BF92" s="23" t="n"/>
      <c r="BG92" s="23" t="n"/>
      <c r="BH92" s="23" t="n"/>
      <c r="BI92" s="23" t="n"/>
      <c r="BJ92" s="23" t="n"/>
      <c r="BK92" s="23" t="n"/>
      <c r="BL92" s="23">
        <f>IF(C92="","",IF(AND(BG92="Yes",BH92="Yes",BI92="Yes",BJ92="Yes",BK92="Yes"),"Yes","No"))</f>
        <v/>
      </c>
      <c r="BM92" s="25" t="n"/>
      <c r="BN92" s="25" t="n"/>
      <c r="BO92" s="25">
        <f>IF(OR(BM92="",BN92=""),"",BM92+BN92)</f>
        <v/>
      </c>
      <c r="BP92" s="25" t="n"/>
      <c r="BQ92" s="25">
        <f>IF(OR(BP92="",BO92=""),"",BP92-BO92)</f>
        <v/>
      </c>
      <c r="BR92" s="26">
        <f>IF(OR(BP92="",BP92=0,BQ92=""),"",BQ92/BP92)</f>
        <v/>
      </c>
      <c r="BS92" s="24" t="n"/>
      <c r="BT92" s="29" t="n"/>
      <c r="BU92" s="29" t="n"/>
      <c r="BV92" s="23" t="n"/>
      <c r="BW92" s="23" t="n"/>
      <c r="BX92" s="29">
        <f>IF(OR(BT92="",BU92=""),"",BT92-BU92)</f>
        <v/>
      </c>
      <c r="BY92" s="23" t="n"/>
      <c r="BZ92" s="24" t="n"/>
      <c r="CA92" s="23" t="n"/>
      <c r="CB92" s="23" t="n"/>
    </row>
    <row r="93">
      <c r="A93" s="16">
        <f>IF(C93="","","AYN-"&amp;IFERROR(VLOOKUP(E93,CATEGORY_PREFIX_TABLE,2,FALSE),"OTH")&amp;"-"&amp;TEXT(ROW()-2,"0000"))</f>
        <v/>
      </c>
      <c r="B93" s="17" t="n"/>
      <c r="C93" s="16" t="n"/>
      <c r="D93" s="16" t="n"/>
      <c r="E93" s="16" t="n"/>
      <c r="F93" s="16" t="n"/>
      <c r="G93" s="16" t="n"/>
      <c r="H93" s="16" t="n"/>
      <c r="I93" s="16" t="n"/>
      <c r="J93" s="16" t="n"/>
      <c r="K93" s="18">
        <f>IF(I93="","",IF(J93="BDT",I93,IF(J93="USD",I93*USD_BDT,IF(J93="RMB",I93*RMB_BDT,""))))</f>
        <v/>
      </c>
      <c r="L93" s="18" t="n"/>
      <c r="M93" s="19" t="n"/>
      <c r="N93" s="18" t="n"/>
      <c r="O93" s="18">
        <f>IF(K93="","",K93+IFERROR(L93,0)+(K93*IF(M93="",CUSTOMS_PCT,M93))+IF(N93="",MISC_FEE,N93))</f>
        <v/>
      </c>
      <c r="P93" s="18">
        <f>IF(O93="","",ROUND(O93*(1+MARKUP_PCT),-1)-1)</f>
        <v/>
      </c>
      <c r="Q93" s="18">
        <f>IF(P93="","",P93-O93)</f>
        <v/>
      </c>
      <c r="R93" s="19">
        <f>IF(OR(P93="",P93=0),"",Q93/P93)</f>
        <v/>
      </c>
      <c r="S93" s="16" t="n"/>
      <c r="T93" s="16" t="n"/>
      <c r="U93" s="16" t="n"/>
      <c r="V93" s="16" t="n"/>
      <c r="W93" s="16" t="n"/>
      <c r="X93" s="16" t="n"/>
      <c r="Y93" s="16" t="n"/>
      <c r="Z93" s="16" t="n"/>
      <c r="AA93" s="16" t="n"/>
      <c r="AB93" s="16" t="n"/>
      <c r="AC93" s="20">
        <f>IF(COUNT(S93:AB93)&lt;10,"",(S93*W_FEMININE+T93*W_TREND+U93*W_AESTHETIC+V93*W_STYLE+W93*W_LIGHT+X93*W_REELS+Y93*W_GIFT+Z93*W_PRICEFIT+AA93*W_DEMAND+AB93*W_QUALITY)/5*100)</f>
        <v/>
      </c>
      <c r="AD93" s="16">
        <f>IF(P93="","",IF(P93&gt;HARD_REJECT_PRICE,"Reject",IF(P93&gt;MAX_PRICE,"Price Review",IF(AC93="","",IF(AND(AC93&gt;=BUY_THRESHOLD,OR(AB93&lt;=2,U93&lt;=2)),"Maybe",IF(AC93&gt;=BUY_THRESHOLD,"Buy",IF(AC93&gt;=MAYBE_THRESHOLD,"Maybe","Reject")))))))</f>
        <v/>
      </c>
      <c r="AE93" s="16" t="n"/>
      <c r="AF93" s="16" t="n"/>
      <c r="AG93" s="16" t="n"/>
      <c r="AH93" s="16" t="n"/>
      <c r="AI93" s="17" t="n"/>
      <c r="AJ93">
        <f>IF(AC93="",-9999-ROW()*0.0000001,AC93-ROW()*0.0000001)</f>
        <v/>
      </c>
      <c r="AK93">
        <f>IF(OR(AC93="",P93="",P93&gt;MAX_PRICE),-9999-ROW()*0.0000001,AC93-ROW()*0.0000001)</f>
        <v/>
      </c>
      <c r="AL93">
        <f>IF(AC93="",-9999-ROW()*0.0000001,X93*1000+AC93-ROW()*0.0000001)</f>
        <v/>
      </c>
      <c r="AM93">
        <f>IF(AC93="",-9999-ROW()*0.0000001,Y93*1000+AC93-ROW()*0.0000001)</f>
        <v/>
      </c>
      <c r="AN93">
        <f>IF(AND(OR(AD93="Maybe",AD93="Price Review"),AG93&lt;&gt;"Approved",AG93&lt;&gt;"Rejected"),IF(AC93="",0,AC93)-ROW()*0.0000001,-9999-ROW()*0.0000001)</f>
        <v/>
      </c>
      <c r="AO93" s="21" t="n"/>
      <c r="AP93" s="21" t="n"/>
      <c r="AQ93" s="22" t="n"/>
      <c r="AR93" s="22" t="n"/>
      <c r="AS93" s="16" t="n"/>
      <c r="AT93" s="22" t="n"/>
      <c r="AU93" s="22" t="n"/>
      <c r="AV93" s="22" t="n"/>
      <c r="AW93" s="18">
        <f>IF(OR(O93="",AV93=""),"",O93*AV93)</f>
        <v/>
      </c>
      <c r="AX93" s="16" t="n"/>
      <c r="AY93" s="16" t="n"/>
      <c r="AZ93" s="16" t="n"/>
      <c r="BA93" s="16" t="n"/>
      <c r="BB93" s="16" t="n"/>
      <c r="BC93" s="18" t="n"/>
      <c r="BD93" s="16" t="n"/>
      <c r="BE93" s="16">
        <f>IF(C93="","",IF(AND(ISNUMBER(P93),P93&gt;MAX_PRICE),"Price too high",IF(AND(ISNUMBER(AB93),AB93&lt;=2),"Quality risk",IF(AND(ISNUMBER(U93),U93&lt;=2),"Aesthetic mismatch",IF(AY93="High","Too fragile",IF(AND(ISNUMBER(R93),R93&lt;LOW_PROFIT_PCT),"Low profit",IF(AND(ISNUMBER(AT93),AT93&gt;MOQ_WARNING),"MOQ too high",IF(OR(AD93="Maybe",AD93="Price Review"),"Needs partner review",IF(AD93="Buy","Good candidate","")))))))))</f>
        <v/>
      </c>
      <c r="BF93" s="16" t="n"/>
      <c r="BG93" s="16" t="n"/>
      <c r="BH93" s="16" t="n"/>
      <c r="BI93" s="16" t="n"/>
      <c r="BJ93" s="16" t="n"/>
      <c r="BK93" s="16" t="n"/>
      <c r="BL93" s="16">
        <f>IF(C93="","",IF(AND(BG93="Yes",BH93="Yes",BI93="Yes",BJ93="Yes",BK93="Yes"),"Yes","No"))</f>
        <v/>
      </c>
      <c r="BM93" s="18" t="n"/>
      <c r="BN93" s="18" t="n"/>
      <c r="BO93" s="18">
        <f>IF(OR(BM93="",BN93=""),"",BM93+BN93)</f>
        <v/>
      </c>
      <c r="BP93" s="18" t="n"/>
      <c r="BQ93" s="18">
        <f>IF(OR(BP93="",BO93=""),"",BP93-BO93)</f>
        <v/>
      </c>
      <c r="BR93" s="19">
        <f>IF(OR(BP93="",BP93=0,BQ93=""),"",BQ93/BP93)</f>
        <v/>
      </c>
      <c r="BS93" s="17" t="n"/>
      <c r="BT93" s="22" t="n"/>
      <c r="BU93" s="22" t="n"/>
      <c r="BV93" s="16" t="n"/>
      <c r="BW93" s="16" t="n"/>
      <c r="BX93" s="22">
        <f>IF(OR(BT93="",BU93=""),"",BT93-BU93)</f>
        <v/>
      </c>
      <c r="BY93" s="16" t="n"/>
      <c r="BZ93" s="17" t="n"/>
      <c r="CA93" s="16" t="n"/>
      <c r="CB93" s="16" t="n"/>
    </row>
    <row r="94">
      <c r="A94" s="23">
        <f>IF(C94="","","AYN-"&amp;IFERROR(VLOOKUP(E94,CATEGORY_PREFIX_TABLE,2,FALSE),"OTH")&amp;"-"&amp;TEXT(ROW()-2,"0000"))</f>
        <v/>
      </c>
      <c r="B94" s="24" t="n"/>
      <c r="C94" s="23" t="n"/>
      <c r="D94" s="23" t="n"/>
      <c r="E94" s="23" t="n"/>
      <c r="F94" s="23" t="n"/>
      <c r="G94" s="23" t="n"/>
      <c r="H94" s="23" t="n"/>
      <c r="I94" s="23" t="n"/>
      <c r="J94" s="23" t="n"/>
      <c r="K94" s="25">
        <f>IF(I94="","",IF(J94="BDT",I94,IF(J94="USD",I94*USD_BDT,IF(J94="RMB",I94*RMB_BDT,""))))</f>
        <v/>
      </c>
      <c r="L94" s="25" t="n"/>
      <c r="M94" s="26" t="n"/>
      <c r="N94" s="25" t="n"/>
      <c r="O94" s="25">
        <f>IF(K94="","",K94+IFERROR(L94,0)+(K94*IF(M94="",CUSTOMS_PCT,M94))+IF(N94="",MISC_FEE,N94))</f>
        <v/>
      </c>
      <c r="P94" s="25">
        <f>IF(O94="","",ROUND(O94*(1+MARKUP_PCT),-1)-1)</f>
        <v/>
      </c>
      <c r="Q94" s="25">
        <f>IF(P94="","",P94-O94)</f>
        <v/>
      </c>
      <c r="R94" s="26">
        <f>IF(OR(P94="",P94=0),"",Q94/P94)</f>
        <v/>
      </c>
      <c r="S94" s="23" t="n"/>
      <c r="T94" s="23" t="n"/>
      <c r="U94" s="23" t="n"/>
      <c r="V94" s="23" t="n"/>
      <c r="W94" s="23" t="n"/>
      <c r="X94" s="23" t="n"/>
      <c r="Y94" s="23" t="n"/>
      <c r="Z94" s="23" t="n"/>
      <c r="AA94" s="23" t="n"/>
      <c r="AB94" s="23" t="n"/>
      <c r="AC94" s="27">
        <f>IF(COUNT(S94:AB94)&lt;10,"",(S94*W_FEMININE+T94*W_TREND+U94*W_AESTHETIC+V94*W_STYLE+W94*W_LIGHT+X94*W_REELS+Y94*W_GIFT+Z94*W_PRICEFIT+AA94*W_DEMAND+AB94*W_QUALITY)/5*100)</f>
        <v/>
      </c>
      <c r="AD94" s="23">
        <f>IF(P94="","",IF(P94&gt;HARD_REJECT_PRICE,"Reject",IF(P94&gt;MAX_PRICE,"Price Review",IF(AC94="","",IF(AND(AC94&gt;=BUY_THRESHOLD,OR(AB94&lt;=2,U94&lt;=2)),"Maybe",IF(AC94&gt;=BUY_THRESHOLD,"Buy",IF(AC94&gt;=MAYBE_THRESHOLD,"Maybe","Reject")))))))</f>
        <v/>
      </c>
      <c r="AE94" s="23" t="n"/>
      <c r="AF94" s="23" t="n"/>
      <c r="AG94" s="23" t="n"/>
      <c r="AH94" s="23" t="n"/>
      <c r="AI94" s="24" t="n"/>
      <c r="AJ94">
        <f>IF(AC94="",-9999-ROW()*0.0000001,AC94-ROW()*0.0000001)</f>
        <v/>
      </c>
      <c r="AK94">
        <f>IF(OR(AC94="",P94="",P94&gt;MAX_PRICE),-9999-ROW()*0.0000001,AC94-ROW()*0.0000001)</f>
        <v/>
      </c>
      <c r="AL94">
        <f>IF(AC94="",-9999-ROW()*0.0000001,X94*1000+AC94-ROW()*0.0000001)</f>
        <v/>
      </c>
      <c r="AM94">
        <f>IF(AC94="",-9999-ROW()*0.0000001,Y94*1000+AC94-ROW()*0.0000001)</f>
        <v/>
      </c>
      <c r="AN94">
        <f>IF(AND(OR(AD94="Maybe",AD94="Price Review"),AG94&lt;&gt;"Approved",AG94&lt;&gt;"Rejected"),IF(AC94="",0,AC94)-ROW()*0.0000001,-9999-ROW()*0.0000001)</f>
        <v/>
      </c>
      <c r="AO94" s="28" t="n"/>
      <c r="AP94" s="28" t="n"/>
      <c r="AQ94" s="29" t="n"/>
      <c r="AR94" s="29" t="n"/>
      <c r="AS94" s="23" t="n"/>
      <c r="AT94" s="29" t="n"/>
      <c r="AU94" s="29" t="n"/>
      <c r="AV94" s="29" t="n"/>
      <c r="AW94" s="25">
        <f>IF(OR(O94="",AV94=""),"",O94*AV94)</f>
        <v/>
      </c>
      <c r="AX94" s="23" t="n"/>
      <c r="AY94" s="23" t="n"/>
      <c r="AZ94" s="23" t="n"/>
      <c r="BA94" s="23" t="n"/>
      <c r="BB94" s="23" t="n"/>
      <c r="BC94" s="25" t="n"/>
      <c r="BD94" s="23" t="n"/>
      <c r="BE94" s="23">
        <f>IF(C94="","",IF(AND(ISNUMBER(P94),P94&gt;MAX_PRICE),"Price too high",IF(AND(ISNUMBER(AB94),AB94&lt;=2),"Quality risk",IF(AND(ISNUMBER(U94),U94&lt;=2),"Aesthetic mismatch",IF(AY94="High","Too fragile",IF(AND(ISNUMBER(R94),R94&lt;LOW_PROFIT_PCT),"Low profit",IF(AND(ISNUMBER(AT94),AT94&gt;MOQ_WARNING),"MOQ too high",IF(OR(AD94="Maybe",AD94="Price Review"),"Needs partner review",IF(AD94="Buy","Good candidate","")))))))))</f>
        <v/>
      </c>
      <c r="BF94" s="23" t="n"/>
      <c r="BG94" s="23" t="n"/>
      <c r="BH94" s="23" t="n"/>
      <c r="BI94" s="23" t="n"/>
      <c r="BJ94" s="23" t="n"/>
      <c r="BK94" s="23" t="n"/>
      <c r="BL94" s="23">
        <f>IF(C94="","",IF(AND(BG94="Yes",BH94="Yes",BI94="Yes",BJ94="Yes",BK94="Yes"),"Yes","No"))</f>
        <v/>
      </c>
      <c r="BM94" s="25" t="n"/>
      <c r="BN94" s="25" t="n"/>
      <c r="BO94" s="25">
        <f>IF(OR(BM94="",BN94=""),"",BM94+BN94)</f>
        <v/>
      </c>
      <c r="BP94" s="25" t="n"/>
      <c r="BQ94" s="25">
        <f>IF(OR(BP94="",BO94=""),"",BP94-BO94)</f>
        <v/>
      </c>
      <c r="BR94" s="26">
        <f>IF(OR(BP94="",BP94=0,BQ94=""),"",BQ94/BP94)</f>
        <v/>
      </c>
      <c r="BS94" s="24" t="n"/>
      <c r="BT94" s="29" t="n"/>
      <c r="BU94" s="29" t="n"/>
      <c r="BV94" s="23" t="n"/>
      <c r="BW94" s="23" t="n"/>
      <c r="BX94" s="29">
        <f>IF(OR(BT94="",BU94=""),"",BT94-BU94)</f>
        <v/>
      </c>
      <c r="BY94" s="23" t="n"/>
      <c r="BZ94" s="24" t="n"/>
      <c r="CA94" s="23" t="n"/>
      <c r="CB94" s="23" t="n"/>
    </row>
    <row r="95">
      <c r="A95" s="16">
        <f>IF(C95="","","AYN-"&amp;IFERROR(VLOOKUP(E95,CATEGORY_PREFIX_TABLE,2,FALSE),"OTH")&amp;"-"&amp;TEXT(ROW()-2,"0000"))</f>
        <v/>
      </c>
      <c r="B95" s="17" t="n"/>
      <c r="C95" s="16" t="n"/>
      <c r="D95" s="16" t="n"/>
      <c r="E95" s="16" t="n"/>
      <c r="F95" s="16" t="n"/>
      <c r="G95" s="16" t="n"/>
      <c r="H95" s="16" t="n"/>
      <c r="I95" s="16" t="n"/>
      <c r="J95" s="16" t="n"/>
      <c r="K95" s="18">
        <f>IF(I95="","",IF(J95="BDT",I95,IF(J95="USD",I95*USD_BDT,IF(J95="RMB",I95*RMB_BDT,""))))</f>
        <v/>
      </c>
      <c r="L95" s="18" t="n"/>
      <c r="M95" s="19" t="n"/>
      <c r="N95" s="18" t="n"/>
      <c r="O95" s="18">
        <f>IF(K95="","",K95+IFERROR(L95,0)+(K95*IF(M95="",CUSTOMS_PCT,M95))+IF(N95="",MISC_FEE,N95))</f>
        <v/>
      </c>
      <c r="P95" s="18">
        <f>IF(O95="","",ROUND(O95*(1+MARKUP_PCT),-1)-1)</f>
        <v/>
      </c>
      <c r="Q95" s="18">
        <f>IF(P95="","",P95-O95)</f>
        <v/>
      </c>
      <c r="R95" s="19">
        <f>IF(OR(P95="",P95=0),"",Q95/P95)</f>
        <v/>
      </c>
      <c r="S95" s="16" t="n"/>
      <c r="T95" s="16" t="n"/>
      <c r="U95" s="16" t="n"/>
      <c r="V95" s="16" t="n"/>
      <c r="W95" s="16" t="n"/>
      <c r="X95" s="16" t="n"/>
      <c r="Y95" s="16" t="n"/>
      <c r="Z95" s="16" t="n"/>
      <c r="AA95" s="16" t="n"/>
      <c r="AB95" s="16" t="n"/>
      <c r="AC95" s="20">
        <f>IF(COUNT(S95:AB95)&lt;10,"",(S95*W_FEMININE+T95*W_TREND+U95*W_AESTHETIC+V95*W_STYLE+W95*W_LIGHT+X95*W_REELS+Y95*W_GIFT+Z95*W_PRICEFIT+AA95*W_DEMAND+AB95*W_QUALITY)/5*100)</f>
        <v/>
      </c>
      <c r="AD95" s="16">
        <f>IF(P95="","",IF(P95&gt;HARD_REJECT_PRICE,"Reject",IF(P95&gt;MAX_PRICE,"Price Review",IF(AC95="","",IF(AND(AC95&gt;=BUY_THRESHOLD,OR(AB95&lt;=2,U95&lt;=2)),"Maybe",IF(AC95&gt;=BUY_THRESHOLD,"Buy",IF(AC95&gt;=MAYBE_THRESHOLD,"Maybe","Reject")))))))</f>
        <v/>
      </c>
      <c r="AE95" s="16" t="n"/>
      <c r="AF95" s="16" t="n"/>
      <c r="AG95" s="16" t="n"/>
      <c r="AH95" s="16" t="n"/>
      <c r="AI95" s="17" t="n"/>
      <c r="AJ95">
        <f>IF(AC95="",-9999-ROW()*0.0000001,AC95-ROW()*0.0000001)</f>
        <v/>
      </c>
      <c r="AK95">
        <f>IF(OR(AC95="",P95="",P95&gt;MAX_PRICE),-9999-ROW()*0.0000001,AC95-ROW()*0.0000001)</f>
        <v/>
      </c>
      <c r="AL95">
        <f>IF(AC95="",-9999-ROW()*0.0000001,X95*1000+AC95-ROW()*0.0000001)</f>
        <v/>
      </c>
      <c r="AM95">
        <f>IF(AC95="",-9999-ROW()*0.0000001,Y95*1000+AC95-ROW()*0.0000001)</f>
        <v/>
      </c>
      <c r="AN95">
        <f>IF(AND(OR(AD95="Maybe",AD95="Price Review"),AG95&lt;&gt;"Approved",AG95&lt;&gt;"Rejected"),IF(AC95="",0,AC95)-ROW()*0.0000001,-9999-ROW()*0.0000001)</f>
        <v/>
      </c>
      <c r="AO95" s="21" t="n"/>
      <c r="AP95" s="21" t="n"/>
      <c r="AQ95" s="22" t="n"/>
      <c r="AR95" s="22" t="n"/>
      <c r="AS95" s="16" t="n"/>
      <c r="AT95" s="22" t="n"/>
      <c r="AU95" s="22" t="n"/>
      <c r="AV95" s="22" t="n"/>
      <c r="AW95" s="18">
        <f>IF(OR(O95="",AV95=""),"",O95*AV95)</f>
        <v/>
      </c>
      <c r="AX95" s="16" t="n"/>
      <c r="AY95" s="16" t="n"/>
      <c r="AZ95" s="16" t="n"/>
      <c r="BA95" s="16" t="n"/>
      <c r="BB95" s="16" t="n"/>
      <c r="BC95" s="18" t="n"/>
      <c r="BD95" s="16" t="n"/>
      <c r="BE95" s="16">
        <f>IF(C95="","",IF(AND(ISNUMBER(P95),P95&gt;MAX_PRICE),"Price too high",IF(AND(ISNUMBER(AB95),AB95&lt;=2),"Quality risk",IF(AND(ISNUMBER(U95),U95&lt;=2),"Aesthetic mismatch",IF(AY95="High","Too fragile",IF(AND(ISNUMBER(R95),R95&lt;LOW_PROFIT_PCT),"Low profit",IF(AND(ISNUMBER(AT95),AT95&gt;MOQ_WARNING),"MOQ too high",IF(OR(AD95="Maybe",AD95="Price Review"),"Needs partner review",IF(AD95="Buy","Good candidate","")))))))))</f>
        <v/>
      </c>
      <c r="BF95" s="16" t="n"/>
      <c r="BG95" s="16" t="n"/>
      <c r="BH95" s="16" t="n"/>
      <c r="BI95" s="16" t="n"/>
      <c r="BJ95" s="16" t="n"/>
      <c r="BK95" s="16" t="n"/>
      <c r="BL95" s="16">
        <f>IF(C95="","",IF(AND(BG95="Yes",BH95="Yes",BI95="Yes",BJ95="Yes",BK95="Yes"),"Yes","No"))</f>
        <v/>
      </c>
      <c r="BM95" s="18" t="n"/>
      <c r="BN95" s="18" t="n"/>
      <c r="BO95" s="18">
        <f>IF(OR(BM95="",BN95=""),"",BM95+BN95)</f>
        <v/>
      </c>
      <c r="BP95" s="18" t="n"/>
      <c r="BQ95" s="18">
        <f>IF(OR(BP95="",BO95=""),"",BP95-BO95)</f>
        <v/>
      </c>
      <c r="BR95" s="19">
        <f>IF(OR(BP95="",BP95=0,BQ95=""),"",BQ95/BP95)</f>
        <v/>
      </c>
      <c r="BS95" s="17" t="n"/>
      <c r="BT95" s="22" t="n"/>
      <c r="BU95" s="22" t="n"/>
      <c r="BV95" s="16" t="n"/>
      <c r="BW95" s="16" t="n"/>
      <c r="BX95" s="22">
        <f>IF(OR(BT95="",BU95=""),"",BT95-BU95)</f>
        <v/>
      </c>
      <c r="BY95" s="16" t="n"/>
      <c r="BZ95" s="17" t="n"/>
      <c r="CA95" s="16" t="n"/>
      <c r="CB95" s="16" t="n"/>
    </row>
    <row r="96">
      <c r="A96" s="23">
        <f>IF(C96="","","AYN-"&amp;IFERROR(VLOOKUP(E96,CATEGORY_PREFIX_TABLE,2,FALSE),"OTH")&amp;"-"&amp;TEXT(ROW()-2,"0000"))</f>
        <v/>
      </c>
      <c r="B96" s="24" t="n"/>
      <c r="C96" s="23" t="n"/>
      <c r="D96" s="23" t="n"/>
      <c r="E96" s="23" t="n"/>
      <c r="F96" s="23" t="n"/>
      <c r="G96" s="23" t="n"/>
      <c r="H96" s="23" t="n"/>
      <c r="I96" s="23" t="n"/>
      <c r="J96" s="23" t="n"/>
      <c r="K96" s="25">
        <f>IF(I96="","",IF(J96="BDT",I96,IF(J96="USD",I96*USD_BDT,IF(J96="RMB",I96*RMB_BDT,""))))</f>
        <v/>
      </c>
      <c r="L96" s="25" t="n"/>
      <c r="M96" s="26" t="n"/>
      <c r="N96" s="25" t="n"/>
      <c r="O96" s="25">
        <f>IF(K96="","",K96+IFERROR(L96,0)+(K96*IF(M96="",CUSTOMS_PCT,M96))+IF(N96="",MISC_FEE,N96))</f>
        <v/>
      </c>
      <c r="P96" s="25">
        <f>IF(O96="","",ROUND(O96*(1+MARKUP_PCT),-1)-1)</f>
        <v/>
      </c>
      <c r="Q96" s="25">
        <f>IF(P96="","",P96-O96)</f>
        <v/>
      </c>
      <c r="R96" s="26">
        <f>IF(OR(P96="",P96=0),"",Q96/P96)</f>
        <v/>
      </c>
      <c r="S96" s="23" t="n"/>
      <c r="T96" s="23" t="n"/>
      <c r="U96" s="23" t="n"/>
      <c r="V96" s="23" t="n"/>
      <c r="W96" s="23" t="n"/>
      <c r="X96" s="23" t="n"/>
      <c r="Y96" s="23" t="n"/>
      <c r="Z96" s="23" t="n"/>
      <c r="AA96" s="23" t="n"/>
      <c r="AB96" s="23" t="n"/>
      <c r="AC96" s="27">
        <f>IF(COUNT(S96:AB96)&lt;10,"",(S96*W_FEMININE+T96*W_TREND+U96*W_AESTHETIC+V96*W_STYLE+W96*W_LIGHT+X96*W_REELS+Y96*W_GIFT+Z96*W_PRICEFIT+AA96*W_DEMAND+AB96*W_QUALITY)/5*100)</f>
        <v/>
      </c>
      <c r="AD96" s="23">
        <f>IF(P96="","",IF(P96&gt;HARD_REJECT_PRICE,"Reject",IF(P96&gt;MAX_PRICE,"Price Review",IF(AC96="","",IF(AND(AC96&gt;=BUY_THRESHOLD,OR(AB96&lt;=2,U96&lt;=2)),"Maybe",IF(AC96&gt;=BUY_THRESHOLD,"Buy",IF(AC96&gt;=MAYBE_THRESHOLD,"Maybe","Reject")))))))</f>
        <v/>
      </c>
      <c r="AE96" s="23" t="n"/>
      <c r="AF96" s="23" t="n"/>
      <c r="AG96" s="23" t="n"/>
      <c r="AH96" s="23" t="n"/>
      <c r="AI96" s="24" t="n"/>
      <c r="AJ96">
        <f>IF(AC96="",-9999-ROW()*0.0000001,AC96-ROW()*0.0000001)</f>
        <v/>
      </c>
      <c r="AK96">
        <f>IF(OR(AC96="",P96="",P96&gt;MAX_PRICE),-9999-ROW()*0.0000001,AC96-ROW()*0.0000001)</f>
        <v/>
      </c>
      <c r="AL96">
        <f>IF(AC96="",-9999-ROW()*0.0000001,X96*1000+AC96-ROW()*0.0000001)</f>
        <v/>
      </c>
      <c r="AM96">
        <f>IF(AC96="",-9999-ROW()*0.0000001,Y96*1000+AC96-ROW()*0.0000001)</f>
        <v/>
      </c>
      <c r="AN96">
        <f>IF(AND(OR(AD96="Maybe",AD96="Price Review"),AG96&lt;&gt;"Approved",AG96&lt;&gt;"Rejected"),IF(AC96="",0,AC96)-ROW()*0.0000001,-9999-ROW()*0.0000001)</f>
        <v/>
      </c>
      <c r="AO96" s="28" t="n"/>
      <c r="AP96" s="28" t="n"/>
      <c r="AQ96" s="29" t="n"/>
      <c r="AR96" s="29" t="n"/>
      <c r="AS96" s="23" t="n"/>
      <c r="AT96" s="29" t="n"/>
      <c r="AU96" s="29" t="n"/>
      <c r="AV96" s="29" t="n"/>
      <c r="AW96" s="25">
        <f>IF(OR(O96="",AV96=""),"",O96*AV96)</f>
        <v/>
      </c>
      <c r="AX96" s="23" t="n"/>
      <c r="AY96" s="23" t="n"/>
      <c r="AZ96" s="23" t="n"/>
      <c r="BA96" s="23" t="n"/>
      <c r="BB96" s="23" t="n"/>
      <c r="BC96" s="25" t="n"/>
      <c r="BD96" s="23" t="n"/>
      <c r="BE96" s="23">
        <f>IF(C96="","",IF(AND(ISNUMBER(P96),P96&gt;MAX_PRICE),"Price too high",IF(AND(ISNUMBER(AB96),AB96&lt;=2),"Quality risk",IF(AND(ISNUMBER(U96),U96&lt;=2),"Aesthetic mismatch",IF(AY96="High","Too fragile",IF(AND(ISNUMBER(R96),R96&lt;LOW_PROFIT_PCT),"Low profit",IF(AND(ISNUMBER(AT96),AT96&gt;MOQ_WARNING),"MOQ too high",IF(OR(AD96="Maybe",AD96="Price Review"),"Needs partner review",IF(AD96="Buy","Good candidate","")))))))))</f>
        <v/>
      </c>
      <c r="BF96" s="23" t="n"/>
      <c r="BG96" s="23" t="n"/>
      <c r="BH96" s="23" t="n"/>
      <c r="BI96" s="23" t="n"/>
      <c r="BJ96" s="23" t="n"/>
      <c r="BK96" s="23" t="n"/>
      <c r="BL96" s="23">
        <f>IF(C96="","",IF(AND(BG96="Yes",BH96="Yes",BI96="Yes",BJ96="Yes",BK96="Yes"),"Yes","No"))</f>
        <v/>
      </c>
      <c r="BM96" s="25" t="n"/>
      <c r="BN96" s="25" t="n"/>
      <c r="BO96" s="25">
        <f>IF(OR(BM96="",BN96=""),"",BM96+BN96)</f>
        <v/>
      </c>
      <c r="BP96" s="25" t="n"/>
      <c r="BQ96" s="25">
        <f>IF(OR(BP96="",BO96=""),"",BP96-BO96)</f>
        <v/>
      </c>
      <c r="BR96" s="26">
        <f>IF(OR(BP96="",BP96=0,BQ96=""),"",BQ96/BP96)</f>
        <v/>
      </c>
      <c r="BS96" s="24" t="n"/>
      <c r="BT96" s="29" t="n"/>
      <c r="BU96" s="29" t="n"/>
      <c r="BV96" s="23" t="n"/>
      <c r="BW96" s="23" t="n"/>
      <c r="BX96" s="29">
        <f>IF(OR(BT96="",BU96=""),"",BT96-BU96)</f>
        <v/>
      </c>
      <c r="BY96" s="23" t="n"/>
      <c r="BZ96" s="24" t="n"/>
      <c r="CA96" s="23" t="n"/>
      <c r="CB96" s="23" t="n"/>
    </row>
    <row r="97">
      <c r="A97" s="16">
        <f>IF(C97="","","AYN-"&amp;IFERROR(VLOOKUP(E97,CATEGORY_PREFIX_TABLE,2,FALSE),"OTH")&amp;"-"&amp;TEXT(ROW()-2,"0000"))</f>
        <v/>
      </c>
      <c r="B97" s="17" t="n"/>
      <c r="C97" s="16" t="n"/>
      <c r="D97" s="16" t="n"/>
      <c r="E97" s="16" t="n"/>
      <c r="F97" s="16" t="n"/>
      <c r="G97" s="16" t="n"/>
      <c r="H97" s="16" t="n"/>
      <c r="I97" s="16" t="n"/>
      <c r="J97" s="16" t="n"/>
      <c r="K97" s="18">
        <f>IF(I97="","",IF(J97="BDT",I97,IF(J97="USD",I97*USD_BDT,IF(J97="RMB",I97*RMB_BDT,""))))</f>
        <v/>
      </c>
      <c r="L97" s="18" t="n"/>
      <c r="M97" s="19" t="n"/>
      <c r="N97" s="18" t="n"/>
      <c r="O97" s="18">
        <f>IF(K97="","",K97+IFERROR(L97,0)+(K97*IF(M97="",CUSTOMS_PCT,M97))+IF(N97="",MISC_FEE,N97))</f>
        <v/>
      </c>
      <c r="P97" s="18">
        <f>IF(O97="","",ROUND(O97*(1+MARKUP_PCT),-1)-1)</f>
        <v/>
      </c>
      <c r="Q97" s="18">
        <f>IF(P97="","",P97-O97)</f>
        <v/>
      </c>
      <c r="R97" s="19">
        <f>IF(OR(P97="",P97=0),"",Q97/P97)</f>
        <v/>
      </c>
      <c r="S97" s="16" t="n"/>
      <c r="T97" s="16" t="n"/>
      <c r="U97" s="16" t="n"/>
      <c r="V97" s="16" t="n"/>
      <c r="W97" s="16" t="n"/>
      <c r="X97" s="16" t="n"/>
      <c r="Y97" s="16" t="n"/>
      <c r="Z97" s="16" t="n"/>
      <c r="AA97" s="16" t="n"/>
      <c r="AB97" s="16" t="n"/>
      <c r="AC97" s="20">
        <f>IF(COUNT(S97:AB97)&lt;10,"",(S97*W_FEMININE+T97*W_TREND+U97*W_AESTHETIC+V97*W_STYLE+W97*W_LIGHT+X97*W_REELS+Y97*W_GIFT+Z97*W_PRICEFIT+AA97*W_DEMAND+AB97*W_QUALITY)/5*100)</f>
        <v/>
      </c>
      <c r="AD97" s="16">
        <f>IF(P97="","",IF(P97&gt;HARD_REJECT_PRICE,"Reject",IF(P97&gt;MAX_PRICE,"Price Review",IF(AC97="","",IF(AND(AC97&gt;=BUY_THRESHOLD,OR(AB97&lt;=2,U97&lt;=2)),"Maybe",IF(AC97&gt;=BUY_THRESHOLD,"Buy",IF(AC97&gt;=MAYBE_THRESHOLD,"Maybe","Reject")))))))</f>
        <v/>
      </c>
      <c r="AE97" s="16" t="n"/>
      <c r="AF97" s="16" t="n"/>
      <c r="AG97" s="16" t="n"/>
      <c r="AH97" s="16" t="n"/>
      <c r="AI97" s="17" t="n"/>
      <c r="AJ97">
        <f>IF(AC97="",-9999-ROW()*0.0000001,AC97-ROW()*0.0000001)</f>
        <v/>
      </c>
      <c r="AK97">
        <f>IF(OR(AC97="",P97="",P97&gt;MAX_PRICE),-9999-ROW()*0.0000001,AC97-ROW()*0.0000001)</f>
        <v/>
      </c>
      <c r="AL97">
        <f>IF(AC97="",-9999-ROW()*0.0000001,X97*1000+AC97-ROW()*0.0000001)</f>
        <v/>
      </c>
      <c r="AM97">
        <f>IF(AC97="",-9999-ROW()*0.0000001,Y97*1000+AC97-ROW()*0.0000001)</f>
        <v/>
      </c>
      <c r="AN97">
        <f>IF(AND(OR(AD97="Maybe",AD97="Price Review"),AG97&lt;&gt;"Approved",AG97&lt;&gt;"Rejected"),IF(AC97="",0,AC97)-ROW()*0.0000001,-9999-ROW()*0.0000001)</f>
        <v/>
      </c>
      <c r="AO97" s="21" t="n"/>
      <c r="AP97" s="21" t="n"/>
      <c r="AQ97" s="22" t="n"/>
      <c r="AR97" s="22" t="n"/>
      <c r="AS97" s="16" t="n"/>
      <c r="AT97" s="22" t="n"/>
      <c r="AU97" s="22" t="n"/>
      <c r="AV97" s="22" t="n"/>
      <c r="AW97" s="18">
        <f>IF(OR(O97="",AV97=""),"",O97*AV97)</f>
        <v/>
      </c>
      <c r="AX97" s="16" t="n"/>
      <c r="AY97" s="16" t="n"/>
      <c r="AZ97" s="16" t="n"/>
      <c r="BA97" s="16" t="n"/>
      <c r="BB97" s="16" t="n"/>
      <c r="BC97" s="18" t="n"/>
      <c r="BD97" s="16" t="n"/>
      <c r="BE97" s="16">
        <f>IF(C97="","",IF(AND(ISNUMBER(P97),P97&gt;MAX_PRICE),"Price too high",IF(AND(ISNUMBER(AB97),AB97&lt;=2),"Quality risk",IF(AND(ISNUMBER(U97),U97&lt;=2),"Aesthetic mismatch",IF(AY97="High","Too fragile",IF(AND(ISNUMBER(R97),R97&lt;LOW_PROFIT_PCT),"Low profit",IF(AND(ISNUMBER(AT97),AT97&gt;MOQ_WARNING),"MOQ too high",IF(OR(AD97="Maybe",AD97="Price Review"),"Needs partner review",IF(AD97="Buy","Good candidate","")))))))))</f>
        <v/>
      </c>
      <c r="BF97" s="16" t="n"/>
      <c r="BG97" s="16" t="n"/>
      <c r="BH97" s="16" t="n"/>
      <c r="BI97" s="16" t="n"/>
      <c r="BJ97" s="16" t="n"/>
      <c r="BK97" s="16" t="n"/>
      <c r="BL97" s="16">
        <f>IF(C97="","",IF(AND(BG97="Yes",BH97="Yes",BI97="Yes",BJ97="Yes",BK97="Yes"),"Yes","No"))</f>
        <v/>
      </c>
      <c r="BM97" s="18" t="n"/>
      <c r="BN97" s="18" t="n"/>
      <c r="BO97" s="18">
        <f>IF(OR(BM97="",BN97=""),"",BM97+BN97)</f>
        <v/>
      </c>
      <c r="BP97" s="18" t="n"/>
      <c r="BQ97" s="18">
        <f>IF(OR(BP97="",BO97=""),"",BP97-BO97)</f>
        <v/>
      </c>
      <c r="BR97" s="19">
        <f>IF(OR(BP97="",BP97=0,BQ97=""),"",BQ97/BP97)</f>
        <v/>
      </c>
      <c r="BS97" s="17" t="n"/>
      <c r="BT97" s="22" t="n"/>
      <c r="BU97" s="22" t="n"/>
      <c r="BV97" s="16" t="n"/>
      <c r="BW97" s="16" t="n"/>
      <c r="BX97" s="22">
        <f>IF(OR(BT97="",BU97=""),"",BT97-BU97)</f>
        <v/>
      </c>
      <c r="BY97" s="16" t="n"/>
      <c r="BZ97" s="17" t="n"/>
      <c r="CA97" s="16" t="n"/>
      <c r="CB97" s="16" t="n"/>
    </row>
    <row r="98">
      <c r="A98" s="23">
        <f>IF(C98="","","AYN-"&amp;IFERROR(VLOOKUP(E98,CATEGORY_PREFIX_TABLE,2,FALSE),"OTH")&amp;"-"&amp;TEXT(ROW()-2,"0000"))</f>
        <v/>
      </c>
      <c r="B98" s="24" t="n"/>
      <c r="C98" s="23" t="n"/>
      <c r="D98" s="23" t="n"/>
      <c r="E98" s="23" t="n"/>
      <c r="F98" s="23" t="n"/>
      <c r="G98" s="23" t="n"/>
      <c r="H98" s="23" t="n"/>
      <c r="I98" s="23" t="n"/>
      <c r="J98" s="23" t="n"/>
      <c r="K98" s="25">
        <f>IF(I98="","",IF(J98="BDT",I98,IF(J98="USD",I98*USD_BDT,IF(J98="RMB",I98*RMB_BDT,""))))</f>
        <v/>
      </c>
      <c r="L98" s="25" t="n"/>
      <c r="M98" s="26" t="n"/>
      <c r="N98" s="25" t="n"/>
      <c r="O98" s="25">
        <f>IF(K98="","",K98+IFERROR(L98,0)+(K98*IF(M98="",CUSTOMS_PCT,M98))+IF(N98="",MISC_FEE,N98))</f>
        <v/>
      </c>
      <c r="P98" s="25">
        <f>IF(O98="","",ROUND(O98*(1+MARKUP_PCT),-1)-1)</f>
        <v/>
      </c>
      <c r="Q98" s="25">
        <f>IF(P98="","",P98-O98)</f>
        <v/>
      </c>
      <c r="R98" s="26">
        <f>IF(OR(P98="",P98=0),"",Q98/P98)</f>
        <v/>
      </c>
      <c r="S98" s="23" t="n"/>
      <c r="T98" s="23" t="n"/>
      <c r="U98" s="23" t="n"/>
      <c r="V98" s="23" t="n"/>
      <c r="W98" s="23" t="n"/>
      <c r="X98" s="23" t="n"/>
      <c r="Y98" s="23" t="n"/>
      <c r="Z98" s="23" t="n"/>
      <c r="AA98" s="23" t="n"/>
      <c r="AB98" s="23" t="n"/>
      <c r="AC98" s="27">
        <f>IF(COUNT(S98:AB98)&lt;10,"",(S98*W_FEMININE+T98*W_TREND+U98*W_AESTHETIC+V98*W_STYLE+W98*W_LIGHT+X98*W_REELS+Y98*W_GIFT+Z98*W_PRICEFIT+AA98*W_DEMAND+AB98*W_QUALITY)/5*100)</f>
        <v/>
      </c>
      <c r="AD98" s="23">
        <f>IF(P98="","",IF(P98&gt;HARD_REJECT_PRICE,"Reject",IF(P98&gt;MAX_PRICE,"Price Review",IF(AC98="","",IF(AND(AC98&gt;=BUY_THRESHOLD,OR(AB98&lt;=2,U98&lt;=2)),"Maybe",IF(AC98&gt;=BUY_THRESHOLD,"Buy",IF(AC98&gt;=MAYBE_THRESHOLD,"Maybe","Reject")))))))</f>
        <v/>
      </c>
      <c r="AE98" s="23" t="n"/>
      <c r="AF98" s="23" t="n"/>
      <c r="AG98" s="23" t="n"/>
      <c r="AH98" s="23" t="n"/>
      <c r="AI98" s="24" t="n"/>
      <c r="AJ98">
        <f>IF(AC98="",-9999-ROW()*0.0000001,AC98-ROW()*0.0000001)</f>
        <v/>
      </c>
      <c r="AK98">
        <f>IF(OR(AC98="",P98="",P98&gt;MAX_PRICE),-9999-ROW()*0.0000001,AC98-ROW()*0.0000001)</f>
        <v/>
      </c>
      <c r="AL98">
        <f>IF(AC98="",-9999-ROW()*0.0000001,X98*1000+AC98-ROW()*0.0000001)</f>
        <v/>
      </c>
      <c r="AM98">
        <f>IF(AC98="",-9999-ROW()*0.0000001,Y98*1000+AC98-ROW()*0.0000001)</f>
        <v/>
      </c>
      <c r="AN98">
        <f>IF(AND(OR(AD98="Maybe",AD98="Price Review"),AG98&lt;&gt;"Approved",AG98&lt;&gt;"Rejected"),IF(AC98="",0,AC98)-ROW()*0.0000001,-9999-ROW()*0.0000001)</f>
        <v/>
      </c>
      <c r="AO98" s="28" t="n"/>
      <c r="AP98" s="28" t="n"/>
      <c r="AQ98" s="29" t="n"/>
      <c r="AR98" s="29" t="n"/>
      <c r="AS98" s="23" t="n"/>
      <c r="AT98" s="29" t="n"/>
      <c r="AU98" s="29" t="n"/>
      <c r="AV98" s="29" t="n"/>
      <c r="AW98" s="25">
        <f>IF(OR(O98="",AV98=""),"",O98*AV98)</f>
        <v/>
      </c>
      <c r="AX98" s="23" t="n"/>
      <c r="AY98" s="23" t="n"/>
      <c r="AZ98" s="23" t="n"/>
      <c r="BA98" s="23" t="n"/>
      <c r="BB98" s="23" t="n"/>
      <c r="BC98" s="25" t="n"/>
      <c r="BD98" s="23" t="n"/>
      <c r="BE98" s="23">
        <f>IF(C98="","",IF(AND(ISNUMBER(P98),P98&gt;MAX_PRICE),"Price too high",IF(AND(ISNUMBER(AB98),AB98&lt;=2),"Quality risk",IF(AND(ISNUMBER(U98),U98&lt;=2),"Aesthetic mismatch",IF(AY98="High","Too fragile",IF(AND(ISNUMBER(R98),R98&lt;LOW_PROFIT_PCT),"Low profit",IF(AND(ISNUMBER(AT98),AT98&gt;MOQ_WARNING),"MOQ too high",IF(OR(AD98="Maybe",AD98="Price Review"),"Needs partner review",IF(AD98="Buy","Good candidate","")))))))))</f>
        <v/>
      </c>
      <c r="BF98" s="23" t="n"/>
      <c r="BG98" s="23" t="n"/>
      <c r="BH98" s="23" t="n"/>
      <c r="BI98" s="23" t="n"/>
      <c r="BJ98" s="23" t="n"/>
      <c r="BK98" s="23" t="n"/>
      <c r="BL98" s="23">
        <f>IF(C98="","",IF(AND(BG98="Yes",BH98="Yes",BI98="Yes",BJ98="Yes",BK98="Yes"),"Yes","No"))</f>
        <v/>
      </c>
      <c r="BM98" s="25" t="n"/>
      <c r="BN98" s="25" t="n"/>
      <c r="BO98" s="25">
        <f>IF(OR(BM98="",BN98=""),"",BM98+BN98)</f>
        <v/>
      </c>
      <c r="BP98" s="25" t="n"/>
      <c r="BQ98" s="25">
        <f>IF(OR(BP98="",BO98=""),"",BP98-BO98)</f>
        <v/>
      </c>
      <c r="BR98" s="26">
        <f>IF(OR(BP98="",BP98=0,BQ98=""),"",BQ98/BP98)</f>
        <v/>
      </c>
      <c r="BS98" s="24" t="n"/>
      <c r="BT98" s="29" t="n"/>
      <c r="BU98" s="29" t="n"/>
      <c r="BV98" s="23" t="n"/>
      <c r="BW98" s="23" t="n"/>
      <c r="BX98" s="29">
        <f>IF(OR(BT98="",BU98=""),"",BT98-BU98)</f>
        <v/>
      </c>
      <c r="BY98" s="23" t="n"/>
      <c r="BZ98" s="24" t="n"/>
      <c r="CA98" s="23" t="n"/>
      <c r="CB98" s="23" t="n"/>
    </row>
    <row r="99">
      <c r="A99" s="16">
        <f>IF(C99="","","AYN-"&amp;IFERROR(VLOOKUP(E99,CATEGORY_PREFIX_TABLE,2,FALSE),"OTH")&amp;"-"&amp;TEXT(ROW()-2,"0000"))</f>
        <v/>
      </c>
      <c r="B99" s="17" t="n"/>
      <c r="C99" s="16" t="n"/>
      <c r="D99" s="16" t="n"/>
      <c r="E99" s="16" t="n"/>
      <c r="F99" s="16" t="n"/>
      <c r="G99" s="16" t="n"/>
      <c r="H99" s="16" t="n"/>
      <c r="I99" s="16" t="n"/>
      <c r="J99" s="16" t="n"/>
      <c r="K99" s="18">
        <f>IF(I99="","",IF(J99="BDT",I99,IF(J99="USD",I99*USD_BDT,IF(J99="RMB",I99*RMB_BDT,""))))</f>
        <v/>
      </c>
      <c r="L99" s="18" t="n"/>
      <c r="M99" s="19" t="n"/>
      <c r="N99" s="18" t="n"/>
      <c r="O99" s="18">
        <f>IF(K99="","",K99+IFERROR(L99,0)+(K99*IF(M99="",CUSTOMS_PCT,M99))+IF(N99="",MISC_FEE,N99))</f>
        <v/>
      </c>
      <c r="P99" s="18">
        <f>IF(O99="","",ROUND(O99*(1+MARKUP_PCT),-1)-1)</f>
        <v/>
      </c>
      <c r="Q99" s="18">
        <f>IF(P99="","",P99-O99)</f>
        <v/>
      </c>
      <c r="R99" s="19">
        <f>IF(OR(P99="",P99=0),"",Q99/P99)</f>
        <v/>
      </c>
      <c r="S99" s="16" t="n"/>
      <c r="T99" s="16" t="n"/>
      <c r="U99" s="16" t="n"/>
      <c r="V99" s="16" t="n"/>
      <c r="W99" s="16" t="n"/>
      <c r="X99" s="16" t="n"/>
      <c r="Y99" s="16" t="n"/>
      <c r="Z99" s="16" t="n"/>
      <c r="AA99" s="16" t="n"/>
      <c r="AB99" s="16" t="n"/>
      <c r="AC99" s="20">
        <f>IF(COUNT(S99:AB99)&lt;10,"",(S99*W_FEMININE+T99*W_TREND+U99*W_AESTHETIC+V99*W_STYLE+W99*W_LIGHT+X99*W_REELS+Y99*W_GIFT+Z99*W_PRICEFIT+AA99*W_DEMAND+AB99*W_QUALITY)/5*100)</f>
        <v/>
      </c>
      <c r="AD99" s="16">
        <f>IF(P99="","",IF(P99&gt;HARD_REJECT_PRICE,"Reject",IF(P99&gt;MAX_PRICE,"Price Review",IF(AC99="","",IF(AND(AC99&gt;=BUY_THRESHOLD,OR(AB99&lt;=2,U99&lt;=2)),"Maybe",IF(AC99&gt;=BUY_THRESHOLD,"Buy",IF(AC99&gt;=MAYBE_THRESHOLD,"Maybe","Reject")))))))</f>
        <v/>
      </c>
      <c r="AE99" s="16" t="n"/>
      <c r="AF99" s="16" t="n"/>
      <c r="AG99" s="16" t="n"/>
      <c r="AH99" s="16" t="n"/>
      <c r="AI99" s="17" t="n"/>
      <c r="AJ99">
        <f>IF(AC99="",-9999-ROW()*0.0000001,AC99-ROW()*0.0000001)</f>
        <v/>
      </c>
      <c r="AK99">
        <f>IF(OR(AC99="",P99="",P99&gt;MAX_PRICE),-9999-ROW()*0.0000001,AC99-ROW()*0.0000001)</f>
        <v/>
      </c>
      <c r="AL99">
        <f>IF(AC99="",-9999-ROW()*0.0000001,X99*1000+AC99-ROW()*0.0000001)</f>
        <v/>
      </c>
      <c r="AM99">
        <f>IF(AC99="",-9999-ROW()*0.0000001,Y99*1000+AC99-ROW()*0.0000001)</f>
        <v/>
      </c>
      <c r="AN99">
        <f>IF(AND(OR(AD99="Maybe",AD99="Price Review"),AG99&lt;&gt;"Approved",AG99&lt;&gt;"Rejected"),IF(AC99="",0,AC99)-ROW()*0.0000001,-9999-ROW()*0.0000001)</f>
        <v/>
      </c>
      <c r="AO99" s="21" t="n"/>
      <c r="AP99" s="21" t="n"/>
      <c r="AQ99" s="22" t="n"/>
      <c r="AR99" s="22" t="n"/>
      <c r="AS99" s="16" t="n"/>
      <c r="AT99" s="22" t="n"/>
      <c r="AU99" s="22" t="n"/>
      <c r="AV99" s="22" t="n"/>
      <c r="AW99" s="18">
        <f>IF(OR(O99="",AV99=""),"",O99*AV99)</f>
        <v/>
      </c>
      <c r="AX99" s="16" t="n"/>
      <c r="AY99" s="16" t="n"/>
      <c r="AZ99" s="16" t="n"/>
      <c r="BA99" s="16" t="n"/>
      <c r="BB99" s="16" t="n"/>
      <c r="BC99" s="18" t="n"/>
      <c r="BD99" s="16" t="n"/>
      <c r="BE99" s="16">
        <f>IF(C99="","",IF(AND(ISNUMBER(P99),P99&gt;MAX_PRICE),"Price too high",IF(AND(ISNUMBER(AB99),AB99&lt;=2),"Quality risk",IF(AND(ISNUMBER(U99),U99&lt;=2),"Aesthetic mismatch",IF(AY99="High","Too fragile",IF(AND(ISNUMBER(R99),R99&lt;LOW_PROFIT_PCT),"Low profit",IF(AND(ISNUMBER(AT99),AT99&gt;MOQ_WARNING),"MOQ too high",IF(OR(AD99="Maybe",AD99="Price Review"),"Needs partner review",IF(AD99="Buy","Good candidate","")))))))))</f>
        <v/>
      </c>
      <c r="BF99" s="16" t="n"/>
      <c r="BG99" s="16" t="n"/>
      <c r="BH99" s="16" t="n"/>
      <c r="BI99" s="16" t="n"/>
      <c r="BJ99" s="16" t="n"/>
      <c r="BK99" s="16" t="n"/>
      <c r="BL99" s="16">
        <f>IF(C99="","",IF(AND(BG99="Yes",BH99="Yes",BI99="Yes",BJ99="Yes",BK99="Yes"),"Yes","No"))</f>
        <v/>
      </c>
      <c r="BM99" s="18" t="n"/>
      <c r="BN99" s="18" t="n"/>
      <c r="BO99" s="18">
        <f>IF(OR(BM99="",BN99=""),"",BM99+BN99)</f>
        <v/>
      </c>
      <c r="BP99" s="18" t="n"/>
      <c r="BQ99" s="18">
        <f>IF(OR(BP99="",BO99=""),"",BP99-BO99)</f>
        <v/>
      </c>
      <c r="BR99" s="19">
        <f>IF(OR(BP99="",BP99=0,BQ99=""),"",BQ99/BP99)</f>
        <v/>
      </c>
      <c r="BS99" s="17" t="n"/>
      <c r="BT99" s="22" t="n"/>
      <c r="BU99" s="22" t="n"/>
      <c r="BV99" s="16" t="n"/>
      <c r="BW99" s="16" t="n"/>
      <c r="BX99" s="22">
        <f>IF(OR(BT99="",BU99=""),"",BT99-BU99)</f>
        <v/>
      </c>
      <c r="BY99" s="16" t="n"/>
      <c r="BZ99" s="17" t="n"/>
      <c r="CA99" s="16" t="n"/>
      <c r="CB99" s="16" t="n"/>
    </row>
    <row r="100">
      <c r="A100" s="23">
        <f>IF(C100="","","AYN-"&amp;IFERROR(VLOOKUP(E100,CATEGORY_PREFIX_TABLE,2,FALSE),"OTH")&amp;"-"&amp;TEXT(ROW()-2,"0000"))</f>
        <v/>
      </c>
      <c r="B100" s="24" t="n"/>
      <c r="C100" s="23" t="n"/>
      <c r="D100" s="23" t="n"/>
      <c r="E100" s="23" t="n"/>
      <c r="F100" s="23" t="n"/>
      <c r="G100" s="23" t="n"/>
      <c r="H100" s="23" t="n"/>
      <c r="I100" s="23" t="n"/>
      <c r="J100" s="23" t="n"/>
      <c r="K100" s="25">
        <f>IF(I100="","",IF(J100="BDT",I100,IF(J100="USD",I100*USD_BDT,IF(J100="RMB",I100*RMB_BDT,""))))</f>
        <v/>
      </c>
      <c r="L100" s="25" t="n"/>
      <c r="M100" s="26" t="n"/>
      <c r="N100" s="25" t="n"/>
      <c r="O100" s="25">
        <f>IF(K100="","",K100+IFERROR(L100,0)+(K100*IF(M100="",CUSTOMS_PCT,M100))+IF(N100="",MISC_FEE,N100))</f>
        <v/>
      </c>
      <c r="P100" s="25">
        <f>IF(O100="","",ROUND(O100*(1+MARKUP_PCT),-1)-1)</f>
        <v/>
      </c>
      <c r="Q100" s="25">
        <f>IF(P100="","",P100-O100)</f>
        <v/>
      </c>
      <c r="R100" s="26">
        <f>IF(OR(P100="",P100=0),"",Q100/P100)</f>
        <v/>
      </c>
      <c r="S100" s="23" t="n"/>
      <c r="T100" s="23" t="n"/>
      <c r="U100" s="23" t="n"/>
      <c r="V100" s="23" t="n"/>
      <c r="W100" s="23" t="n"/>
      <c r="X100" s="23" t="n"/>
      <c r="Y100" s="23" t="n"/>
      <c r="Z100" s="23" t="n"/>
      <c r="AA100" s="23" t="n"/>
      <c r="AB100" s="23" t="n"/>
      <c r="AC100" s="27">
        <f>IF(COUNT(S100:AB100)&lt;10,"",(S100*W_FEMININE+T100*W_TREND+U100*W_AESTHETIC+V100*W_STYLE+W100*W_LIGHT+X100*W_REELS+Y100*W_GIFT+Z100*W_PRICEFIT+AA100*W_DEMAND+AB100*W_QUALITY)/5*100)</f>
        <v/>
      </c>
      <c r="AD100" s="23">
        <f>IF(P100="","",IF(P100&gt;HARD_REJECT_PRICE,"Reject",IF(P100&gt;MAX_PRICE,"Price Review",IF(AC100="","",IF(AND(AC100&gt;=BUY_THRESHOLD,OR(AB100&lt;=2,U100&lt;=2)),"Maybe",IF(AC100&gt;=BUY_THRESHOLD,"Buy",IF(AC100&gt;=MAYBE_THRESHOLD,"Maybe","Reject")))))))</f>
        <v/>
      </c>
      <c r="AE100" s="23" t="n"/>
      <c r="AF100" s="23" t="n"/>
      <c r="AG100" s="23" t="n"/>
      <c r="AH100" s="23" t="n"/>
      <c r="AI100" s="24" t="n"/>
      <c r="AJ100">
        <f>IF(AC100="",-9999-ROW()*0.0000001,AC100-ROW()*0.0000001)</f>
        <v/>
      </c>
      <c r="AK100">
        <f>IF(OR(AC100="",P100="",P100&gt;MAX_PRICE),-9999-ROW()*0.0000001,AC100-ROW()*0.0000001)</f>
        <v/>
      </c>
      <c r="AL100">
        <f>IF(AC100="",-9999-ROW()*0.0000001,X100*1000+AC100-ROW()*0.0000001)</f>
        <v/>
      </c>
      <c r="AM100">
        <f>IF(AC100="",-9999-ROW()*0.0000001,Y100*1000+AC100-ROW()*0.0000001)</f>
        <v/>
      </c>
      <c r="AN100">
        <f>IF(AND(OR(AD100="Maybe",AD100="Price Review"),AG100&lt;&gt;"Approved",AG100&lt;&gt;"Rejected"),IF(AC100="",0,AC100)-ROW()*0.0000001,-9999-ROW()*0.0000001)</f>
        <v/>
      </c>
      <c r="AO100" s="28" t="n"/>
      <c r="AP100" s="28" t="n"/>
      <c r="AQ100" s="29" t="n"/>
      <c r="AR100" s="29" t="n"/>
      <c r="AS100" s="23" t="n"/>
      <c r="AT100" s="29" t="n"/>
      <c r="AU100" s="29" t="n"/>
      <c r="AV100" s="29" t="n"/>
      <c r="AW100" s="25">
        <f>IF(OR(O100="",AV100=""),"",O100*AV100)</f>
        <v/>
      </c>
      <c r="AX100" s="23" t="n"/>
      <c r="AY100" s="23" t="n"/>
      <c r="AZ100" s="23" t="n"/>
      <c r="BA100" s="23" t="n"/>
      <c r="BB100" s="23" t="n"/>
      <c r="BC100" s="25" t="n"/>
      <c r="BD100" s="23" t="n"/>
      <c r="BE100" s="23">
        <f>IF(C100="","",IF(AND(ISNUMBER(P100),P100&gt;MAX_PRICE),"Price too high",IF(AND(ISNUMBER(AB100),AB100&lt;=2),"Quality risk",IF(AND(ISNUMBER(U100),U100&lt;=2),"Aesthetic mismatch",IF(AY100="High","Too fragile",IF(AND(ISNUMBER(R100),R100&lt;LOW_PROFIT_PCT),"Low profit",IF(AND(ISNUMBER(AT100),AT100&gt;MOQ_WARNING),"MOQ too high",IF(OR(AD100="Maybe",AD100="Price Review"),"Needs partner review",IF(AD100="Buy","Good candidate","")))))))))</f>
        <v/>
      </c>
      <c r="BF100" s="23" t="n"/>
      <c r="BG100" s="23" t="n"/>
      <c r="BH100" s="23" t="n"/>
      <c r="BI100" s="23" t="n"/>
      <c r="BJ100" s="23" t="n"/>
      <c r="BK100" s="23" t="n"/>
      <c r="BL100" s="23">
        <f>IF(C100="","",IF(AND(BG100="Yes",BH100="Yes",BI100="Yes",BJ100="Yes",BK100="Yes"),"Yes","No"))</f>
        <v/>
      </c>
      <c r="BM100" s="25" t="n"/>
      <c r="BN100" s="25" t="n"/>
      <c r="BO100" s="25">
        <f>IF(OR(BM100="",BN100=""),"",BM100+BN100)</f>
        <v/>
      </c>
      <c r="BP100" s="25" t="n"/>
      <c r="BQ100" s="25">
        <f>IF(OR(BP100="",BO100=""),"",BP100-BO100)</f>
        <v/>
      </c>
      <c r="BR100" s="26">
        <f>IF(OR(BP100="",BP100=0,BQ100=""),"",BQ100/BP100)</f>
        <v/>
      </c>
      <c r="BS100" s="24" t="n"/>
      <c r="BT100" s="29" t="n"/>
      <c r="BU100" s="29" t="n"/>
      <c r="BV100" s="23" t="n"/>
      <c r="BW100" s="23" t="n"/>
      <c r="BX100" s="29">
        <f>IF(OR(BT100="",BU100=""),"",BT100-BU100)</f>
        <v/>
      </c>
      <c r="BY100" s="23" t="n"/>
      <c r="BZ100" s="24" t="n"/>
      <c r="CA100" s="23" t="n"/>
      <c r="CB100" s="23" t="n"/>
    </row>
    <row r="101">
      <c r="A101" s="16">
        <f>IF(C101="","","AYN-"&amp;IFERROR(VLOOKUP(E101,CATEGORY_PREFIX_TABLE,2,FALSE),"OTH")&amp;"-"&amp;TEXT(ROW()-2,"0000"))</f>
        <v/>
      </c>
      <c r="B101" s="17" t="n"/>
      <c r="C101" s="16" t="n"/>
      <c r="D101" s="16" t="n"/>
      <c r="E101" s="16" t="n"/>
      <c r="F101" s="16" t="n"/>
      <c r="G101" s="16" t="n"/>
      <c r="H101" s="16" t="n"/>
      <c r="I101" s="16" t="n"/>
      <c r="J101" s="16" t="n"/>
      <c r="K101" s="18">
        <f>IF(I101="","",IF(J101="BDT",I101,IF(J101="USD",I101*USD_BDT,IF(J101="RMB",I101*RMB_BDT,""))))</f>
        <v/>
      </c>
      <c r="L101" s="18" t="n"/>
      <c r="M101" s="19" t="n"/>
      <c r="N101" s="18" t="n"/>
      <c r="O101" s="18">
        <f>IF(K101="","",K101+IFERROR(L101,0)+(K101*IF(M101="",CUSTOMS_PCT,M101))+IF(N101="",MISC_FEE,N101))</f>
        <v/>
      </c>
      <c r="P101" s="18">
        <f>IF(O101="","",ROUND(O101*(1+MARKUP_PCT),-1)-1)</f>
        <v/>
      </c>
      <c r="Q101" s="18">
        <f>IF(P101="","",P101-O101)</f>
        <v/>
      </c>
      <c r="R101" s="19">
        <f>IF(OR(P101="",P101=0),"",Q101/P101)</f>
        <v/>
      </c>
      <c r="S101" s="16" t="n"/>
      <c r="T101" s="16" t="n"/>
      <c r="U101" s="16" t="n"/>
      <c r="V101" s="16" t="n"/>
      <c r="W101" s="16" t="n"/>
      <c r="X101" s="16" t="n"/>
      <c r="Y101" s="16" t="n"/>
      <c r="Z101" s="16" t="n"/>
      <c r="AA101" s="16" t="n"/>
      <c r="AB101" s="16" t="n"/>
      <c r="AC101" s="20">
        <f>IF(COUNT(S101:AB101)&lt;10,"",(S101*W_FEMININE+T101*W_TREND+U101*W_AESTHETIC+V101*W_STYLE+W101*W_LIGHT+X101*W_REELS+Y101*W_GIFT+Z101*W_PRICEFIT+AA101*W_DEMAND+AB101*W_QUALITY)/5*100)</f>
        <v/>
      </c>
      <c r="AD101" s="16">
        <f>IF(P101="","",IF(P101&gt;HARD_REJECT_PRICE,"Reject",IF(P101&gt;MAX_PRICE,"Price Review",IF(AC101="","",IF(AND(AC101&gt;=BUY_THRESHOLD,OR(AB101&lt;=2,U101&lt;=2)),"Maybe",IF(AC101&gt;=BUY_THRESHOLD,"Buy",IF(AC101&gt;=MAYBE_THRESHOLD,"Maybe","Reject")))))))</f>
        <v/>
      </c>
      <c r="AE101" s="16" t="n"/>
      <c r="AF101" s="16" t="n"/>
      <c r="AG101" s="16" t="n"/>
      <c r="AH101" s="16" t="n"/>
      <c r="AI101" s="17" t="n"/>
      <c r="AJ101">
        <f>IF(AC101="",-9999-ROW()*0.0000001,AC101-ROW()*0.0000001)</f>
        <v/>
      </c>
      <c r="AK101">
        <f>IF(OR(AC101="",P101="",P101&gt;MAX_PRICE),-9999-ROW()*0.0000001,AC101-ROW()*0.0000001)</f>
        <v/>
      </c>
      <c r="AL101">
        <f>IF(AC101="",-9999-ROW()*0.0000001,X101*1000+AC101-ROW()*0.0000001)</f>
        <v/>
      </c>
      <c r="AM101">
        <f>IF(AC101="",-9999-ROW()*0.0000001,Y101*1000+AC101-ROW()*0.0000001)</f>
        <v/>
      </c>
      <c r="AN101">
        <f>IF(AND(OR(AD101="Maybe",AD101="Price Review"),AG101&lt;&gt;"Approved",AG101&lt;&gt;"Rejected"),IF(AC101="",0,AC101)-ROW()*0.0000001,-9999-ROW()*0.0000001)</f>
        <v/>
      </c>
      <c r="AO101" s="21" t="n"/>
      <c r="AP101" s="21" t="n"/>
      <c r="AQ101" s="22" t="n"/>
      <c r="AR101" s="22" t="n"/>
      <c r="AS101" s="16" t="n"/>
      <c r="AT101" s="22" t="n"/>
      <c r="AU101" s="22" t="n"/>
      <c r="AV101" s="22" t="n"/>
      <c r="AW101" s="18">
        <f>IF(OR(O101="",AV101=""),"",O101*AV101)</f>
        <v/>
      </c>
      <c r="AX101" s="16" t="n"/>
      <c r="AY101" s="16" t="n"/>
      <c r="AZ101" s="16" t="n"/>
      <c r="BA101" s="16" t="n"/>
      <c r="BB101" s="16" t="n"/>
      <c r="BC101" s="18" t="n"/>
      <c r="BD101" s="16" t="n"/>
      <c r="BE101" s="16">
        <f>IF(C101="","",IF(AND(ISNUMBER(P101),P101&gt;MAX_PRICE),"Price too high",IF(AND(ISNUMBER(AB101),AB101&lt;=2),"Quality risk",IF(AND(ISNUMBER(U101),U101&lt;=2),"Aesthetic mismatch",IF(AY101="High","Too fragile",IF(AND(ISNUMBER(R101),R101&lt;LOW_PROFIT_PCT),"Low profit",IF(AND(ISNUMBER(AT101),AT101&gt;MOQ_WARNING),"MOQ too high",IF(OR(AD101="Maybe",AD101="Price Review"),"Needs partner review",IF(AD101="Buy","Good candidate","")))))))))</f>
        <v/>
      </c>
      <c r="BF101" s="16" t="n"/>
      <c r="BG101" s="16" t="n"/>
      <c r="BH101" s="16" t="n"/>
      <c r="BI101" s="16" t="n"/>
      <c r="BJ101" s="16" t="n"/>
      <c r="BK101" s="16" t="n"/>
      <c r="BL101" s="16">
        <f>IF(C101="","",IF(AND(BG101="Yes",BH101="Yes",BI101="Yes",BJ101="Yes",BK101="Yes"),"Yes","No"))</f>
        <v/>
      </c>
      <c r="BM101" s="18" t="n"/>
      <c r="BN101" s="18" t="n"/>
      <c r="BO101" s="18">
        <f>IF(OR(BM101="",BN101=""),"",BM101+BN101)</f>
        <v/>
      </c>
      <c r="BP101" s="18" t="n"/>
      <c r="BQ101" s="18">
        <f>IF(OR(BP101="",BO101=""),"",BP101-BO101)</f>
        <v/>
      </c>
      <c r="BR101" s="19">
        <f>IF(OR(BP101="",BP101=0,BQ101=""),"",BQ101/BP101)</f>
        <v/>
      </c>
      <c r="BS101" s="17" t="n"/>
      <c r="BT101" s="22" t="n"/>
      <c r="BU101" s="22" t="n"/>
      <c r="BV101" s="16" t="n"/>
      <c r="BW101" s="16" t="n"/>
      <c r="BX101" s="22">
        <f>IF(OR(BT101="",BU101=""),"",BT101-BU101)</f>
        <v/>
      </c>
      <c r="BY101" s="16" t="n"/>
      <c r="BZ101" s="17" t="n"/>
      <c r="CA101" s="16" t="n"/>
      <c r="CB101" s="16" t="n"/>
    </row>
    <row r="102">
      <c r="A102" s="23">
        <f>IF(C102="","","AYN-"&amp;IFERROR(VLOOKUP(E102,CATEGORY_PREFIX_TABLE,2,FALSE),"OTH")&amp;"-"&amp;TEXT(ROW()-2,"0000"))</f>
        <v/>
      </c>
      <c r="B102" s="24" t="n"/>
      <c r="C102" s="23" t="n"/>
      <c r="D102" s="23" t="n"/>
      <c r="E102" s="23" t="n"/>
      <c r="F102" s="23" t="n"/>
      <c r="G102" s="23" t="n"/>
      <c r="H102" s="23" t="n"/>
      <c r="I102" s="23" t="n"/>
      <c r="J102" s="23" t="n"/>
      <c r="K102" s="25">
        <f>IF(I102="","",IF(J102="BDT",I102,IF(J102="USD",I102*USD_BDT,IF(J102="RMB",I102*RMB_BDT,""))))</f>
        <v/>
      </c>
      <c r="L102" s="25" t="n"/>
      <c r="M102" s="26" t="n"/>
      <c r="N102" s="25" t="n"/>
      <c r="O102" s="25">
        <f>IF(K102="","",K102+IFERROR(L102,0)+(K102*IF(M102="",CUSTOMS_PCT,M102))+IF(N102="",MISC_FEE,N102))</f>
        <v/>
      </c>
      <c r="P102" s="25">
        <f>IF(O102="","",ROUND(O102*(1+MARKUP_PCT),-1)-1)</f>
        <v/>
      </c>
      <c r="Q102" s="25">
        <f>IF(P102="","",P102-O102)</f>
        <v/>
      </c>
      <c r="R102" s="26">
        <f>IF(OR(P102="",P102=0),"",Q102/P102)</f>
        <v/>
      </c>
      <c r="S102" s="23" t="n"/>
      <c r="T102" s="23" t="n"/>
      <c r="U102" s="23" t="n"/>
      <c r="V102" s="23" t="n"/>
      <c r="W102" s="23" t="n"/>
      <c r="X102" s="23" t="n"/>
      <c r="Y102" s="23" t="n"/>
      <c r="Z102" s="23" t="n"/>
      <c r="AA102" s="23" t="n"/>
      <c r="AB102" s="23" t="n"/>
      <c r="AC102" s="27">
        <f>IF(COUNT(S102:AB102)&lt;10,"",(S102*W_FEMININE+T102*W_TREND+U102*W_AESTHETIC+V102*W_STYLE+W102*W_LIGHT+X102*W_REELS+Y102*W_GIFT+Z102*W_PRICEFIT+AA102*W_DEMAND+AB102*W_QUALITY)/5*100)</f>
        <v/>
      </c>
      <c r="AD102" s="23">
        <f>IF(P102="","",IF(P102&gt;HARD_REJECT_PRICE,"Reject",IF(P102&gt;MAX_PRICE,"Price Review",IF(AC102="","",IF(AND(AC102&gt;=BUY_THRESHOLD,OR(AB102&lt;=2,U102&lt;=2)),"Maybe",IF(AC102&gt;=BUY_THRESHOLD,"Buy",IF(AC102&gt;=MAYBE_THRESHOLD,"Maybe","Reject")))))))</f>
        <v/>
      </c>
      <c r="AE102" s="23" t="n"/>
      <c r="AF102" s="23" t="n"/>
      <c r="AG102" s="23" t="n"/>
      <c r="AH102" s="23" t="n"/>
      <c r="AI102" s="24" t="n"/>
      <c r="AJ102">
        <f>IF(AC102="",-9999-ROW()*0.0000001,AC102-ROW()*0.0000001)</f>
        <v/>
      </c>
      <c r="AK102">
        <f>IF(OR(AC102="",P102="",P102&gt;MAX_PRICE),-9999-ROW()*0.0000001,AC102-ROW()*0.0000001)</f>
        <v/>
      </c>
      <c r="AL102">
        <f>IF(AC102="",-9999-ROW()*0.0000001,X102*1000+AC102-ROW()*0.0000001)</f>
        <v/>
      </c>
      <c r="AM102">
        <f>IF(AC102="",-9999-ROW()*0.0000001,Y102*1000+AC102-ROW()*0.0000001)</f>
        <v/>
      </c>
      <c r="AN102">
        <f>IF(AND(OR(AD102="Maybe",AD102="Price Review"),AG102&lt;&gt;"Approved",AG102&lt;&gt;"Rejected"),IF(AC102="",0,AC102)-ROW()*0.0000001,-9999-ROW()*0.0000001)</f>
        <v/>
      </c>
      <c r="AO102" s="28" t="n"/>
      <c r="AP102" s="28" t="n"/>
      <c r="AQ102" s="29" t="n"/>
      <c r="AR102" s="29" t="n"/>
      <c r="AS102" s="23" t="n"/>
      <c r="AT102" s="29" t="n"/>
      <c r="AU102" s="29" t="n"/>
      <c r="AV102" s="29" t="n"/>
      <c r="AW102" s="25">
        <f>IF(OR(O102="",AV102=""),"",O102*AV102)</f>
        <v/>
      </c>
      <c r="AX102" s="23" t="n"/>
      <c r="AY102" s="23" t="n"/>
      <c r="AZ102" s="23" t="n"/>
      <c r="BA102" s="23" t="n"/>
      <c r="BB102" s="23" t="n"/>
      <c r="BC102" s="25" t="n"/>
      <c r="BD102" s="23" t="n"/>
      <c r="BE102" s="23">
        <f>IF(C102="","",IF(AND(ISNUMBER(P102),P102&gt;MAX_PRICE),"Price too high",IF(AND(ISNUMBER(AB102),AB102&lt;=2),"Quality risk",IF(AND(ISNUMBER(U102),U102&lt;=2),"Aesthetic mismatch",IF(AY102="High","Too fragile",IF(AND(ISNUMBER(R102),R102&lt;LOW_PROFIT_PCT),"Low profit",IF(AND(ISNUMBER(AT102),AT102&gt;MOQ_WARNING),"MOQ too high",IF(OR(AD102="Maybe",AD102="Price Review"),"Needs partner review",IF(AD102="Buy","Good candidate","")))))))))</f>
        <v/>
      </c>
      <c r="BF102" s="23" t="n"/>
      <c r="BG102" s="23" t="n"/>
      <c r="BH102" s="23" t="n"/>
      <c r="BI102" s="23" t="n"/>
      <c r="BJ102" s="23" t="n"/>
      <c r="BK102" s="23" t="n"/>
      <c r="BL102" s="23">
        <f>IF(C102="","",IF(AND(BG102="Yes",BH102="Yes",BI102="Yes",BJ102="Yes",BK102="Yes"),"Yes","No"))</f>
        <v/>
      </c>
      <c r="BM102" s="25" t="n"/>
      <c r="BN102" s="25" t="n"/>
      <c r="BO102" s="25">
        <f>IF(OR(BM102="",BN102=""),"",BM102+BN102)</f>
        <v/>
      </c>
      <c r="BP102" s="25" t="n"/>
      <c r="BQ102" s="25">
        <f>IF(OR(BP102="",BO102=""),"",BP102-BO102)</f>
        <v/>
      </c>
      <c r="BR102" s="26">
        <f>IF(OR(BP102="",BP102=0,BQ102=""),"",BQ102/BP102)</f>
        <v/>
      </c>
      <c r="BS102" s="24" t="n"/>
      <c r="BT102" s="29" t="n"/>
      <c r="BU102" s="29" t="n"/>
      <c r="BV102" s="23" t="n"/>
      <c r="BW102" s="23" t="n"/>
      <c r="BX102" s="29">
        <f>IF(OR(BT102="",BU102=""),"",BT102-BU102)</f>
        <v/>
      </c>
      <c r="BY102" s="23" t="n"/>
      <c r="BZ102" s="24" t="n"/>
      <c r="CA102" s="23" t="n"/>
      <c r="CB102" s="23" t="n"/>
    </row>
    <row r="103">
      <c r="A103" s="16">
        <f>IF(C103="","","AYN-"&amp;IFERROR(VLOOKUP(E103,CATEGORY_PREFIX_TABLE,2,FALSE),"OTH")&amp;"-"&amp;TEXT(ROW()-2,"0000"))</f>
        <v/>
      </c>
      <c r="B103" s="17" t="n"/>
      <c r="C103" s="16" t="n"/>
      <c r="D103" s="16" t="n"/>
      <c r="E103" s="16" t="n"/>
      <c r="F103" s="16" t="n"/>
      <c r="G103" s="16" t="n"/>
      <c r="H103" s="16" t="n"/>
      <c r="I103" s="16" t="n"/>
      <c r="J103" s="16" t="n"/>
      <c r="K103" s="18">
        <f>IF(I103="","",IF(J103="BDT",I103,IF(J103="USD",I103*USD_BDT,IF(J103="RMB",I103*RMB_BDT,""))))</f>
        <v/>
      </c>
      <c r="L103" s="18" t="n"/>
      <c r="M103" s="19" t="n"/>
      <c r="N103" s="18" t="n"/>
      <c r="O103" s="18">
        <f>IF(K103="","",K103+IFERROR(L103,0)+(K103*IF(M103="",CUSTOMS_PCT,M103))+IF(N103="",MISC_FEE,N103))</f>
        <v/>
      </c>
      <c r="P103" s="18">
        <f>IF(O103="","",ROUND(O103*(1+MARKUP_PCT),-1)-1)</f>
        <v/>
      </c>
      <c r="Q103" s="18">
        <f>IF(P103="","",P103-O103)</f>
        <v/>
      </c>
      <c r="R103" s="19">
        <f>IF(OR(P103="",P103=0),"",Q103/P103)</f>
        <v/>
      </c>
      <c r="S103" s="16" t="n"/>
      <c r="T103" s="16" t="n"/>
      <c r="U103" s="16" t="n"/>
      <c r="V103" s="16" t="n"/>
      <c r="W103" s="16" t="n"/>
      <c r="X103" s="16" t="n"/>
      <c r="Y103" s="16" t="n"/>
      <c r="Z103" s="16" t="n"/>
      <c r="AA103" s="16" t="n"/>
      <c r="AB103" s="16" t="n"/>
      <c r="AC103" s="20">
        <f>IF(COUNT(S103:AB103)&lt;10,"",(S103*W_FEMININE+T103*W_TREND+U103*W_AESTHETIC+V103*W_STYLE+W103*W_LIGHT+X103*W_REELS+Y103*W_GIFT+Z103*W_PRICEFIT+AA103*W_DEMAND+AB103*W_QUALITY)/5*100)</f>
        <v/>
      </c>
      <c r="AD103" s="16">
        <f>IF(P103="","",IF(P103&gt;HARD_REJECT_PRICE,"Reject",IF(P103&gt;MAX_PRICE,"Price Review",IF(AC103="","",IF(AND(AC103&gt;=BUY_THRESHOLD,OR(AB103&lt;=2,U103&lt;=2)),"Maybe",IF(AC103&gt;=BUY_THRESHOLD,"Buy",IF(AC103&gt;=MAYBE_THRESHOLD,"Maybe","Reject")))))))</f>
        <v/>
      </c>
      <c r="AE103" s="16" t="n"/>
      <c r="AF103" s="16" t="n"/>
      <c r="AG103" s="16" t="n"/>
      <c r="AH103" s="16" t="n"/>
      <c r="AI103" s="17" t="n"/>
      <c r="AJ103">
        <f>IF(AC103="",-9999-ROW()*0.0000001,AC103-ROW()*0.0000001)</f>
        <v/>
      </c>
      <c r="AK103">
        <f>IF(OR(AC103="",P103="",P103&gt;MAX_PRICE),-9999-ROW()*0.0000001,AC103-ROW()*0.0000001)</f>
        <v/>
      </c>
      <c r="AL103">
        <f>IF(AC103="",-9999-ROW()*0.0000001,X103*1000+AC103-ROW()*0.0000001)</f>
        <v/>
      </c>
      <c r="AM103">
        <f>IF(AC103="",-9999-ROW()*0.0000001,Y103*1000+AC103-ROW()*0.0000001)</f>
        <v/>
      </c>
      <c r="AN103">
        <f>IF(AND(OR(AD103="Maybe",AD103="Price Review"),AG103&lt;&gt;"Approved",AG103&lt;&gt;"Rejected"),IF(AC103="",0,AC103)-ROW()*0.0000001,-9999-ROW()*0.0000001)</f>
        <v/>
      </c>
      <c r="AO103" s="21" t="n"/>
      <c r="AP103" s="21" t="n"/>
      <c r="AQ103" s="22" t="n"/>
      <c r="AR103" s="22" t="n"/>
      <c r="AS103" s="16" t="n"/>
      <c r="AT103" s="22" t="n"/>
      <c r="AU103" s="22" t="n"/>
      <c r="AV103" s="22" t="n"/>
      <c r="AW103" s="18">
        <f>IF(OR(O103="",AV103=""),"",O103*AV103)</f>
        <v/>
      </c>
      <c r="AX103" s="16" t="n"/>
      <c r="AY103" s="16" t="n"/>
      <c r="AZ103" s="16" t="n"/>
      <c r="BA103" s="16" t="n"/>
      <c r="BB103" s="16" t="n"/>
      <c r="BC103" s="18" t="n"/>
      <c r="BD103" s="16" t="n"/>
      <c r="BE103" s="16">
        <f>IF(C103="","",IF(AND(ISNUMBER(P103),P103&gt;MAX_PRICE),"Price too high",IF(AND(ISNUMBER(AB103),AB103&lt;=2),"Quality risk",IF(AND(ISNUMBER(U103),U103&lt;=2),"Aesthetic mismatch",IF(AY103="High","Too fragile",IF(AND(ISNUMBER(R103),R103&lt;LOW_PROFIT_PCT),"Low profit",IF(AND(ISNUMBER(AT103),AT103&gt;MOQ_WARNING),"MOQ too high",IF(OR(AD103="Maybe",AD103="Price Review"),"Needs partner review",IF(AD103="Buy","Good candidate","")))))))))</f>
        <v/>
      </c>
      <c r="BF103" s="16" t="n"/>
      <c r="BG103" s="16" t="n"/>
      <c r="BH103" s="16" t="n"/>
      <c r="BI103" s="16" t="n"/>
      <c r="BJ103" s="16" t="n"/>
      <c r="BK103" s="16" t="n"/>
      <c r="BL103" s="16">
        <f>IF(C103="","",IF(AND(BG103="Yes",BH103="Yes",BI103="Yes",BJ103="Yes",BK103="Yes"),"Yes","No"))</f>
        <v/>
      </c>
      <c r="BM103" s="18" t="n"/>
      <c r="BN103" s="18" t="n"/>
      <c r="BO103" s="18">
        <f>IF(OR(BM103="",BN103=""),"",BM103+BN103)</f>
        <v/>
      </c>
      <c r="BP103" s="18" t="n"/>
      <c r="BQ103" s="18">
        <f>IF(OR(BP103="",BO103=""),"",BP103-BO103)</f>
        <v/>
      </c>
      <c r="BR103" s="19">
        <f>IF(OR(BP103="",BP103=0,BQ103=""),"",BQ103/BP103)</f>
        <v/>
      </c>
      <c r="BS103" s="17" t="n"/>
      <c r="BT103" s="22" t="n"/>
      <c r="BU103" s="22" t="n"/>
      <c r="BV103" s="16" t="n"/>
      <c r="BW103" s="16" t="n"/>
      <c r="BX103" s="22">
        <f>IF(OR(BT103="",BU103=""),"",BT103-BU103)</f>
        <v/>
      </c>
      <c r="BY103" s="16" t="n"/>
      <c r="BZ103" s="17" t="n"/>
      <c r="CA103" s="16" t="n"/>
      <c r="CB103" s="16" t="n"/>
    </row>
    <row r="104">
      <c r="A104" s="23">
        <f>IF(C104="","","AYN-"&amp;IFERROR(VLOOKUP(E104,CATEGORY_PREFIX_TABLE,2,FALSE),"OTH")&amp;"-"&amp;TEXT(ROW()-2,"0000"))</f>
        <v/>
      </c>
      <c r="B104" s="24" t="n"/>
      <c r="C104" s="23" t="n"/>
      <c r="D104" s="23" t="n"/>
      <c r="E104" s="23" t="n"/>
      <c r="F104" s="23" t="n"/>
      <c r="G104" s="23" t="n"/>
      <c r="H104" s="23" t="n"/>
      <c r="I104" s="23" t="n"/>
      <c r="J104" s="23" t="n"/>
      <c r="K104" s="25">
        <f>IF(I104="","",IF(J104="BDT",I104,IF(J104="USD",I104*USD_BDT,IF(J104="RMB",I104*RMB_BDT,""))))</f>
        <v/>
      </c>
      <c r="L104" s="25" t="n"/>
      <c r="M104" s="26" t="n"/>
      <c r="N104" s="25" t="n"/>
      <c r="O104" s="25">
        <f>IF(K104="","",K104+IFERROR(L104,0)+(K104*IF(M104="",CUSTOMS_PCT,M104))+IF(N104="",MISC_FEE,N104))</f>
        <v/>
      </c>
      <c r="P104" s="25">
        <f>IF(O104="","",ROUND(O104*(1+MARKUP_PCT),-1)-1)</f>
        <v/>
      </c>
      <c r="Q104" s="25">
        <f>IF(P104="","",P104-O104)</f>
        <v/>
      </c>
      <c r="R104" s="26">
        <f>IF(OR(P104="",P104=0),"",Q104/P104)</f>
        <v/>
      </c>
      <c r="S104" s="23" t="n"/>
      <c r="T104" s="23" t="n"/>
      <c r="U104" s="23" t="n"/>
      <c r="V104" s="23" t="n"/>
      <c r="W104" s="23" t="n"/>
      <c r="X104" s="23" t="n"/>
      <c r="Y104" s="23" t="n"/>
      <c r="Z104" s="23" t="n"/>
      <c r="AA104" s="23" t="n"/>
      <c r="AB104" s="23" t="n"/>
      <c r="AC104" s="27">
        <f>IF(COUNT(S104:AB104)&lt;10,"",(S104*W_FEMININE+T104*W_TREND+U104*W_AESTHETIC+V104*W_STYLE+W104*W_LIGHT+X104*W_REELS+Y104*W_GIFT+Z104*W_PRICEFIT+AA104*W_DEMAND+AB104*W_QUALITY)/5*100)</f>
        <v/>
      </c>
      <c r="AD104" s="23">
        <f>IF(P104="","",IF(P104&gt;HARD_REJECT_PRICE,"Reject",IF(P104&gt;MAX_PRICE,"Price Review",IF(AC104="","",IF(AND(AC104&gt;=BUY_THRESHOLD,OR(AB104&lt;=2,U104&lt;=2)),"Maybe",IF(AC104&gt;=BUY_THRESHOLD,"Buy",IF(AC104&gt;=MAYBE_THRESHOLD,"Maybe","Reject")))))))</f>
        <v/>
      </c>
      <c r="AE104" s="23" t="n"/>
      <c r="AF104" s="23" t="n"/>
      <c r="AG104" s="23" t="n"/>
      <c r="AH104" s="23" t="n"/>
      <c r="AI104" s="24" t="n"/>
      <c r="AJ104">
        <f>IF(AC104="",-9999-ROW()*0.0000001,AC104-ROW()*0.0000001)</f>
        <v/>
      </c>
      <c r="AK104">
        <f>IF(OR(AC104="",P104="",P104&gt;MAX_PRICE),-9999-ROW()*0.0000001,AC104-ROW()*0.0000001)</f>
        <v/>
      </c>
      <c r="AL104">
        <f>IF(AC104="",-9999-ROW()*0.0000001,X104*1000+AC104-ROW()*0.0000001)</f>
        <v/>
      </c>
      <c r="AM104">
        <f>IF(AC104="",-9999-ROW()*0.0000001,Y104*1000+AC104-ROW()*0.0000001)</f>
        <v/>
      </c>
      <c r="AN104">
        <f>IF(AND(OR(AD104="Maybe",AD104="Price Review"),AG104&lt;&gt;"Approved",AG104&lt;&gt;"Rejected"),IF(AC104="",0,AC104)-ROW()*0.0000001,-9999-ROW()*0.0000001)</f>
        <v/>
      </c>
      <c r="AO104" s="28" t="n"/>
      <c r="AP104" s="28" t="n"/>
      <c r="AQ104" s="29" t="n"/>
      <c r="AR104" s="29" t="n"/>
      <c r="AS104" s="23" t="n"/>
      <c r="AT104" s="29" t="n"/>
      <c r="AU104" s="29" t="n"/>
      <c r="AV104" s="29" t="n"/>
      <c r="AW104" s="25">
        <f>IF(OR(O104="",AV104=""),"",O104*AV104)</f>
        <v/>
      </c>
      <c r="AX104" s="23" t="n"/>
      <c r="AY104" s="23" t="n"/>
      <c r="AZ104" s="23" t="n"/>
      <c r="BA104" s="23" t="n"/>
      <c r="BB104" s="23" t="n"/>
      <c r="BC104" s="25" t="n"/>
      <c r="BD104" s="23" t="n"/>
      <c r="BE104" s="23">
        <f>IF(C104="","",IF(AND(ISNUMBER(P104),P104&gt;MAX_PRICE),"Price too high",IF(AND(ISNUMBER(AB104),AB104&lt;=2),"Quality risk",IF(AND(ISNUMBER(U104),U104&lt;=2),"Aesthetic mismatch",IF(AY104="High","Too fragile",IF(AND(ISNUMBER(R104),R104&lt;LOW_PROFIT_PCT),"Low profit",IF(AND(ISNUMBER(AT104),AT104&gt;MOQ_WARNING),"MOQ too high",IF(OR(AD104="Maybe",AD104="Price Review"),"Needs partner review",IF(AD104="Buy","Good candidate","")))))))))</f>
        <v/>
      </c>
      <c r="BF104" s="23" t="n"/>
      <c r="BG104" s="23" t="n"/>
      <c r="BH104" s="23" t="n"/>
      <c r="BI104" s="23" t="n"/>
      <c r="BJ104" s="23" t="n"/>
      <c r="BK104" s="23" t="n"/>
      <c r="BL104" s="23">
        <f>IF(C104="","",IF(AND(BG104="Yes",BH104="Yes",BI104="Yes",BJ104="Yes",BK104="Yes"),"Yes","No"))</f>
        <v/>
      </c>
      <c r="BM104" s="25" t="n"/>
      <c r="BN104" s="25" t="n"/>
      <c r="BO104" s="25">
        <f>IF(OR(BM104="",BN104=""),"",BM104+BN104)</f>
        <v/>
      </c>
      <c r="BP104" s="25" t="n"/>
      <c r="BQ104" s="25">
        <f>IF(OR(BP104="",BO104=""),"",BP104-BO104)</f>
        <v/>
      </c>
      <c r="BR104" s="26">
        <f>IF(OR(BP104="",BP104=0,BQ104=""),"",BQ104/BP104)</f>
        <v/>
      </c>
      <c r="BS104" s="24" t="n"/>
      <c r="BT104" s="29" t="n"/>
      <c r="BU104" s="29" t="n"/>
      <c r="BV104" s="23" t="n"/>
      <c r="BW104" s="23" t="n"/>
      <c r="BX104" s="29">
        <f>IF(OR(BT104="",BU104=""),"",BT104-BU104)</f>
        <v/>
      </c>
      <c r="BY104" s="23" t="n"/>
      <c r="BZ104" s="24" t="n"/>
      <c r="CA104" s="23" t="n"/>
      <c r="CB104" s="23" t="n"/>
    </row>
    <row r="105">
      <c r="A105" s="16">
        <f>IF(C105="","","AYN-"&amp;IFERROR(VLOOKUP(E105,CATEGORY_PREFIX_TABLE,2,FALSE),"OTH")&amp;"-"&amp;TEXT(ROW()-2,"0000"))</f>
        <v/>
      </c>
      <c r="B105" s="17" t="n"/>
      <c r="C105" s="16" t="n"/>
      <c r="D105" s="16" t="n"/>
      <c r="E105" s="16" t="n"/>
      <c r="F105" s="16" t="n"/>
      <c r="G105" s="16" t="n"/>
      <c r="H105" s="16" t="n"/>
      <c r="I105" s="16" t="n"/>
      <c r="J105" s="16" t="n"/>
      <c r="K105" s="18">
        <f>IF(I105="","",IF(J105="BDT",I105,IF(J105="USD",I105*USD_BDT,IF(J105="RMB",I105*RMB_BDT,""))))</f>
        <v/>
      </c>
      <c r="L105" s="18" t="n"/>
      <c r="M105" s="19" t="n"/>
      <c r="N105" s="18" t="n"/>
      <c r="O105" s="18">
        <f>IF(K105="","",K105+IFERROR(L105,0)+(K105*IF(M105="",CUSTOMS_PCT,M105))+IF(N105="",MISC_FEE,N105))</f>
        <v/>
      </c>
      <c r="P105" s="18">
        <f>IF(O105="","",ROUND(O105*(1+MARKUP_PCT),-1)-1)</f>
        <v/>
      </c>
      <c r="Q105" s="18">
        <f>IF(P105="","",P105-O105)</f>
        <v/>
      </c>
      <c r="R105" s="19">
        <f>IF(OR(P105="",P105=0),"",Q105/P105)</f>
        <v/>
      </c>
      <c r="S105" s="16" t="n"/>
      <c r="T105" s="16" t="n"/>
      <c r="U105" s="16" t="n"/>
      <c r="V105" s="16" t="n"/>
      <c r="W105" s="16" t="n"/>
      <c r="X105" s="16" t="n"/>
      <c r="Y105" s="16" t="n"/>
      <c r="Z105" s="16" t="n"/>
      <c r="AA105" s="16" t="n"/>
      <c r="AB105" s="16" t="n"/>
      <c r="AC105" s="20">
        <f>IF(COUNT(S105:AB105)&lt;10,"",(S105*W_FEMININE+T105*W_TREND+U105*W_AESTHETIC+V105*W_STYLE+W105*W_LIGHT+X105*W_REELS+Y105*W_GIFT+Z105*W_PRICEFIT+AA105*W_DEMAND+AB105*W_QUALITY)/5*100)</f>
        <v/>
      </c>
      <c r="AD105" s="16">
        <f>IF(P105="","",IF(P105&gt;HARD_REJECT_PRICE,"Reject",IF(P105&gt;MAX_PRICE,"Price Review",IF(AC105="","",IF(AND(AC105&gt;=BUY_THRESHOLD,OR(AB105&lt;=2,U105&lt;=2)),"Maybe",IF(AC105&gt;=BUY_THRESHOLD,"Buy",IF(AC105&gt;=MAYBE_THRESHOLD,"Maybe","Reject")))))))</f>
        <v/>
      </c>
      <c r="AE105" s="16" t="n"/>
      <c r="AF105" s="16" t="n"/>
      <c r="AG105" s="16" t="n"/>
      <c r="AH105" s="16" t="n"/>
      <c r="AI105" s="17" t="n"/>
      <c r="AJ105">
        <f>IF(AC105="",-9999-ROW()*0.0000001,AC105-ROW()*0.0000001)</f>
        <v/>
      </c>
      <c r="AK105">
        <f>IF(OR(AC105="",P105="",P105&gt;MAX_PRICE),-9999-ROW()*0.0000001,AC105-ROW()*0.0000001)</f>
        <v/>
      </c>
      <c r="AL105">
        <f>IF(AC105="",-9999-ROW()*0.0000001,X105*1000+AC105-ROW()*0.0000001)</f>
        <v/>
      </c>
      <c r="AM105">
        <f>IF(AC105="",-9999-ROW()*0.0000001,Y105*1000+AC105-ROW()*0.0000001)</f>
        <v/>
      </c>
      <c r="AN105">
        <f>IF(AND(OR(AD105="Maybe",AD105="Price Review"),AG105&lt;&gt;"Approved",AG105&lt;&gt;"Rejected"),IF(AC105="",0,AC105)-ROW()*0.0000001,-9999-ROW()*0.0000001)</f>
        <v/>
      </c>
      <c r="AO105" s="21" t="n"/>
      <c r="AP105" s="21" t="n"/>
      <c r="AQ105" s="22" t="n"/>
      <c r="AR105" s="22" t="n"/>
      <c r="AS105" s="16" t="n"/>
      <c r="AT105" s="22" t="n"/>
      <c r="AU105" s="22" t="n"/>
      <c r="AV105" s="22" t="n"/>
      <c r="AW105" s="18">
        <f>IF(OR(O105="",AV105=""),"",O105*AV105)</f>
        <v/>
      </c>
      <c r="AX105" s="16" t="n"/>
      <c r="AY105" s="16" t="n"/>
      <c r="AZ105" s="16" t="n"/>
      <c r="BA105" s="16" t="n"/>
      <c r="BB105" s="16" t="n"/>
      <c r="BC105" s="18" t="n"/>
      <c r="BD105" s="16" t="n"/>
      <c r="BE105" s="16">
        <f>IF(C105="","",IF(AND(ISNUMBER(P105),P105&gt;MAX_PRICE),"Price too high",IF(AND(ISNUMBER(AB105),AB105&lt;=2),"Quality risk",IF(AND(ISNUMBER(U105),U105&lt;=2),"Aesthetic mismatch",IF(AY105="High","Too fragile",IF(AND(ISNUMBER(R105),R105&lt;LOW_PROFIT_PCT),"Low profit",IF(AND(ISNUMBER(AT105),AT105&gt;MOQ_WARNING),"MOQ too high",IF(OR(AD105="Maybe",AD105="Price Review"),"Needs partner review",IF(AD105="Buy","Good candidate","")))))))))</f>
        <v/>
      </c>
      <c r="BF105" s="16" t="n"/>
      <c r="BG105" s="16" t="n"/>
      <c r="BH105" s="16" t="n"/>
      <c r="BI105" s="16" t="n"/>
      <c r="BJ105" s="16" t="n"/>
      <c r="BK105" s="16" t="n"/>
      <c r="BL105" s="16">
        <f>IF(C105="","",IF(AND(BG105="Yes",BH105="Yes",BI105="Yes",BJ105="Yes",BK105="Yes"),"Yes","No"))</f>
        <v/>
      </c>
      <c r="BM105" s="18" t="n"/>
      <c r="BN105" s="18" t="n"/>
      <c r="BO105" s="18">
        <f>IF(OR(BM105="",BN105=""),"",BM105+BN105)</f>
        <v/>
      </c>
      <c r="BP105" s="18" t="n"/>
      <c r="BQ105" s="18">
        <f>IF(OR(BP105="",BO105=""),"",BP105-BO105)</f>
        <v/>
      </c>
      <c r="BR105" s="19">
        <f>IF(OR(BP105="",BP105=0,BQ105=""),"",BQ105/BP105)</f>
        <v/>
      </c>
      <c r="BS105" s="17" t="n"/>
      <c r="BT105" s="22" t="n"/>
      <c r="BU105" s="22" t="n"/>
      <c r="BV105" s="16" t="n"/>
      <c r="BW105" s="16" t="n"/>
      <c r="BX105" s="22">
        <f>IF(OR(BT105="",BU105=""),"",BT105-BU105)</f>
        <v/>
      </c>
      <c r="BY105" s="16" t="n"/>
      <c r="BZ105" s="17" t="n"/>
      <c r="CA105" s="16" t="n"/>
      <c r="CB105" s="16" t="n"/>
    </row>
    <row r="106">
      <c r="A106" s="23">
        <f>IF(C106="","","AYN-"&amp;IFERROR(VLOOKUP(E106,CATEGORY_PREFIX_TABLE,2,FALSE),"OTH")&amp;"-"&amp;TEXT(ROW()-2,"0000"))</f>
        <v/>
      </c>
      <c r="B106" s="24" t="n"/>
      <c r="C106" s="23" t="n"/>
      <c r="D106" s="23" t="n"/>
      <c r="E106" s="23" t="n"/>
      <c r="F106" s="23" t="n"/>
      <c r="G106" s="23" t="n"/>
      <c r="H106" s="23" t="n"/>
      <c r="I106" s="23" t="n"/>
      <c r="J106" s="23" t="n"/>
      <c r="K106" s="25">
        <f>IF(I106="","",IF(J106="BDT",I106,IF(J106="USD",I106*USD_BDT,IF(J106="RMB",I106*RMB_BDT,""))))</f>
        <v/>
      </c>
      <c r="L106" s="25" t="n"/>
      <c r="M106" s="26" t="n"/>
      <c r="N106" s="25" t="n"/>
      <c r="O106" s="25">
        <f>IF(K106="","",K106+IFERROR(L106,0)+(K106*IF(M106="",CUSTOMS_PCT,M106))+IF(N106="",MISC_FEE,N106))</f>
        <v/>
      </c>
      <c r="P106" s="25">
        <f>IF(O106="","",ROUND(O106*(1+MARKUP_PCT),-1)-1)</f>
        <v/>
      </c>
      <c r="Q106" s="25">
        <f>IF(P106="","",P106-O106)</f>
        <v/>
      </c>
      <c r="R106" s="26">
        <f>IF(OR(P106="",P106=0),"",Q106/P106)</f>
        <v/>
      </c>
      <c r="S106" s="23" t="n"/>
      <c r="T106" s="23" t="n"/>
      <c r="U106" s="23" t="n"/>
      <c r="V106" s="23" t="n"/>
      <c r="W106" s="23" t="n"/>
      <c r="X106" s="23" t="n"/>
      <c r="Y106" s="23" t="n"/>
      <c r="Z106" s="23" t="n"/>
      <c r="AA106" s="23" t="n"/>
      <c r="AB106" s="23" t="n"/>
      <c r="AC106" s="27">
        <f>IF(COUNT(S106:AB106)&lt;10,"",(S106*W_FEMININE+T106*W_TREND+U106*W_AESTHETIC+V106*W_STYLE+W106*W_LIGHT+X106*W_REELS+Y106*W_GIFT+Z106*W_PRICEFIT+AA106*W_DEMAND+AB106*W_QUALITY)/5*100)</f>
        <v/>
      </c>
      <c r="AD106" s="23">
        <f>IF(P106="","",IF(P106&gt;HARD_REJECT_PRICE,"Reject",IF(P106&gt;MAX_PRICE,"Price Review",IF(AC106="","",IF(AND(AC106&gt;=BUY_THRESHOLD,OR(AB106&lt;=2,U106&lt;=2)),"Maybe",IF(AC106&gt;=BUY_THRESHOLD,"Buy",IF(AC106&gt;=MAYBE_THRESHOLD,"Maybe","Reject")))))))</f>
        <v/>
      </c>
      <c r="AE106" s="23" t="n"/>
      <c r="AF106" s="23" t="n"/>
      <c r="AG106" s="23" t="n"/>
      <c r="AH106" s="23" t="n"/>
      <c r="AI106" s="24" t="n"/>
      <c r="AJ106">
        <f>IF(AC106="",-9999-ROW()*0.0000001,AC106-ROW()*0.0000001)</f>
        <v/>
      </c>
      <c r="AK106">
        <f>IF(OR(AC106="",P106="",P106&gt;MAX_PRICE),-9999-ROW()*0.0000001,AC106-ROW()*0.0000001)</f>
        <v/>
      </c>
      <c r="AL106">
        <f>IF(AC106="",-9999-ROW()*0.0000001,X106*1000+AC106-ROW()*0.0000001)</f>
        <v/>
      </c>
      <c r="AM106">
        <f>IF(AC106="",-9999-ROW()*0.0000001,Y106*1000+AC106-ROW()*0.0000001)</f>
        <v/>
      </c>
      <c r="AN106">
        <f>IF(AND(OR(AD106="Maybe",AD106="Price Review"),AG106&lt;&gt;"Approved",AG106&lt;&gt;"Rejected"),IF(AC106="",0,AC106)-ROW()*0.0000001,-9999-ROW()*0.0000001)</f>
        <v/>
      </c>
      <c r="AO106" s="28" t="n"/>
      <c r="AP106" s="28" t="n"/>
      <c r="AQ106" s="29" t="n"/>
      <c r="AR106" s="29" t="n"/>
      <c r="AS106" s="23" t="n"/>
      <c r="AT106" s="29" t="n"/>
      <c r="AU106" s="29" t="n"/>
      <c r="AV106" s="29" t="n"/>
      <c r="AW106" s="25">
        <f>IF(OR(O106="",AV106=""),"",O106*AV106)</f>
        <v/>
      </c>
      <c r="AX106" s="23" t="n"/>
      <c r="AY106" s="23" t="n"/>
      <c r="AZ106" s="23" t="n"/>
      <c r="BA106" s="23" t="n"/>
      <c r="BB106" s="23" t="n"/>
      <c r="BC106" s="25" t="n"/>
      <c r="BD106" s="23" t="n"/>
      <c r="BE106" s="23">
        <f>IF(C106="","",IF(AND(ISNUMBER(P106),P106&gt;MAX_PRICE),"Price too high",IF(AND(ISNUMBER(AB106),AB106&lt;=2),"Quality risk",IF(AND(ISNUMBER(U106),U106&lt;=2),"Aesthetic mismatch",IF(AY106="High","Too fragile",IF(AND(ISNUMBER(R106),R106&lt;LOW_PROFIT_PCT),"Low profit",IF(AND(ISNUMBER(AT106),AT106&gt;MOQ_WARNING),"MOQ too high",IF(OR(AD106="Maybe",AD106="Price Review"),"Needs partner review",IF(AD106="Buy","Good candidate","")))))))))</f>
        <v/>
      </c>
      <c r="BF106" s="23" t="n"/>
      <c r="BG106" s="23" t="n"/>
      <c r="BH106" s="23" t="n"/>
      <c r="BI106" s="23" t="n"/>
      <c r="BJ106" s="23" t="n"/>
      <c r="BK106" s="23" t="n"/>
      <c r="BL106" s="23">
        <f>IF(C106="","",IF(AND(BG106="Yes",BH106="Yes",BI106="Yes",BJ106="Yes",BK106="Yes"),"Yes","No"))</f>
        <v/>
      </c>
      <c r="BM106" s="25" t="n"/>
      <c r="BN106" s="25" t="n"/>
      <c r="BO106" s="25">
        <f>IF(OR(BM106="",BN106=""),"",BM106+BN106)</f>
        <v/>
      </c>
      <c r="BP106" s="25" t="n"/>
      <c r="BQ106" s="25">
        <f>IF(OR(BP106="",BO106=""),"",BP106-BO106)</f>
        <v/>
      </c>
      <c r="BR106" s="26">
        <f>IF(OR(BP106="",BP106=0,BQ106=""),"",BQ106/BP106)</f>
        <v/>
      </c>
      <c r="BS106" s="24" t="n"/>
      <c r="BT106" s="29" t="n"/>
      <c r="BU106" s="29" t="n"/>
      <c r="BV106" s="23" t="n"/>
      <c r="BW106" s="23" t="n"/>
      <c r="BX106" s="29">
        <f>IF(OR(BT106="",BU106=""),"",BT106-BU106)</f>
        <v/>
      </c>
      <c r="BY106" s="23" t="n"/>
      <c r="BZ106" s="24" t="n"/>
      <c r="CA106" s="23" t="n"/>
      <c r="CB106" s="23" t="n"/>
    </row>
    <row r="107">
      <c r="A107" s="16">
        <f>IF(C107="","","AYN-"&amp;IFERROR(VLOOKUP(E107,CATEGORY_PREFIX_TABLE,2,FALSE),"OTH")&amp;"-"&amp;TEXT(ROW()-2,"0000"))</f>
        <v/>
      </c>
      <c r="B107" s="17" t="n"/>
      <c r="C107" s="16" t="n"/>
      <c r="D107" s="16" t="n"/>
      <c r="E107" s="16" t="n"/>
      <c r="F107" s="16" t="n"/>
      <c r="G107" s="16" t="n"/>
      <c r="H107" s="16" t="n"/>
      <c r="I107" s="16" t="n"/>
      <c r="J107" s="16" t="n"/>
      <c r="K107" s="18">
        <f>IF(I107="","",IF(J107="BDT",I107,IF(J107="USD",I107*USD_BDT,IF(J107="RMB",I107*RMB_BDT,""))))</f>
        <v/>
      </c>
      <c r="L107" s="18" t="n"/>
      <c r="M107" s="19" t="n"/>
      <c r="N107" s="18" t="n"/>
      <c r="O107" s="18">
        <f>IF(K107="","",K107+IFERROR(L107,0)+(K107*IF(M107="",CUSTOMS_PCT,M107))+IF(N107="",MISC_FEE,N107))</f>
        <v/>
      </c>
      <c r="P107" s="18">
        <f>IF(O107="","",ROUND(O107*(1+MARKUP_PCT),-1)-1)</f>
        <v/>
      </c>
      <c r="Q107" s="18">
        <f>IF(P107="","",P107-O107)</f>
        <v/>
      </c>
      <c r="R107" s="19">
        <f>IF(OR(P107="",P107=0),"",Q107/P107)</f>
        <v/>
      </c>
      <c r="S107" s="16" t="n"/>
      <c r="T107" s="16" t="n"/>
      <c r="U107" s="16" t="n"/>
      <c r="V107" s="16" t="n"/>
      <c r="W107" s="16" t="n"/>
      <c r="X107" s="16" t="n"/>
      <c r="Y107" s="16" t="n"/>
      <c r="Z107" s="16" t="n"/>
      <c r="AA107" s="16" t="n"/>
      <c r="AB107" s="16" t="n"/>
      <c r="AC107" s="20">
        <f>IF(COUNT(S107:AB107)&lt;10,"",(S107*W_FEMININE+T107*W_TREND+U107*W_AESTHETIC+V107*W_STYLE+W107*W_LIGHT+X107*W_REELS+Y107*W_GIFT+Z107*W_PRICEFIT+AA107*W_DEMAND+AB107*W_QUALITY)/5*100)</f>
        <v/>
      </c>
      <c r="AD107" s="16">
        <f>IF(P107="","",IF(P107&gt;HARD_REJECT_PRICE,"Reject",IF(P107&gt;MAX_PRICE,"Price Review",IF(AC107="","",IF(AND(AC107&gt;=BUY_THRESHOLD,OR(AB107&lt;=2,U107&lt;=2)),"Maybe",IF(AC107&gt;=BUY_THRESHOLD,"Buy",IF(AC107&gt;=MAYBE_THRESHOLD,"Maybe","Reject")))))))</f>
        <v/>
      </c>
      <c r="AE107" s="16" t="n"/>
      <c r="AF107" s="16" t="n"/>
      <c r="AG107" s="16" t="n"/>
      <c r="AH107" s="16" t="n"/>
      <c r="AI107" s="17" t="n"/>
      <c r="AJ107">
        <f>IF(AC107="",-9999-ROW()*0.0000001,AC107-ROW()*0.0000001)</f>
        <v/>
      </c>
      <c r="AK107">
        <f>IF(OR(AC107="",P107="",P107&gt;MAX_PRICE),-9999-ROW()*0.0000001,AC107-ROW()*0.0000001)</f>
        <v/>
      </c>
      <c r="AL107">
        <f>IF(AC107="",-9999-ROW()*0.0000001,X107*1000+AC107-ROW()*0.0000001)</f>
        <v/>
      </c>
      <c r="AM107">
        <f>IF(AC107="",-9999-ROW()*0.0000001,Y107*1000+AC107-ROW()*0.0000001)</f>
        <v/>
      </c>
      <c r="AN107">
        <f>IF(AND(OR(AD107="Maybe",AD107="Price Review"),AG107&lt;&gt;"Approved",AG107&lt;&gt;"Rejected"),IF(AC107="",0,AC107)-ROW()*0.0000001,-9999-ROW()*0.0000001)</f>
        <v/>
      </c>
      <c r="AO107" s="21" t="n"/>
      <c r="AP107" s="21" t="n"/>
      <c r="AQ107" s="22" t="n"/>
      <c r="AR107" s="22" t="n"/>
      <c r="AS107" s="16" t="n"/>
      <c r="AT107" s="22" t="n"/>
      <c r="AU107" s="22" t="n"/>
      <c r="AV107" s="22" t="n"/>
      <c r="AW107" s="18">
        <f>IF(OR(O107="",AV107=""),"",O107*AV107)</f>
        <v/>
      </c>
      <c r="AX107" s="16" t="n"/>
      <c r="AY107" s="16" t="n"/>
      <c r="AZ107" s="16" t="n"/>
      <c r="BA107" s="16" t="n"/>
      <c r="BB107" s="16" t="n"/>
      <c r="BC107" s="18" t="n"/>
      <c r="BD107" s="16" t="n"/>
      <c r="BE107" s="16">
        <f>IF(C107="","",IF(AND(ISNUMBER(P107),P107&gt;MAX_PRICE),"Price too high",IF(AND(ISNUMBER(AB107),AB107&lt;=2),"Quality risk",IF(AND(ISNUMBER(U107),U107&lt;=2),"Aesthetic mismatch",IF(AY107="High","Too fragile",IF(AND(ISNUMBER(R107),R107&lt;LOW_PROFIT_PCT),"Low profit",IF(AND(ISNUMBER(AT107),AT107&gt;MOQ_WARNING),"MOQ too high",IF(OR(AD107="Maybe",AD107="Price Review"),"Needs partner review",IF(AD107="Buy","Good candidate","")))))))))</f>
        <v/>
      </c>
      <c r="BF107" s="16" t="n"/>
      <c r="BG107" s="16" t="n"/>
      <c r="BH107" s="16" t="n"/>
      <c r="BI107" s="16" t="n"/>
      <c r="BJ107" s="16" t="n"/>
      <c r="BK107" s="16" t="n"/>
      <c r="BL107" s="16">
        <f>IF(C107="","",IF(AND(BG107="Yes",BH107="Yes",BI107="Yes",BJ107="Yes",BK107="Yes"),"Yes","No"))</f>
        <v/>
      </c>
      <c r="BM107" s="18" t="n"/>
      <c r="BN107" s="18" t="n"/>
      <c r="BO107" s="18">
        <f>IF(OR(BM107="",BN107=""),"",BM107+BN107)</f>
        <v/>
      </c>
      <c r="BP107" s="18" t="n"/>
      <c r="BQ107" s="18">
        <f>IF(OR(BP107="",BO107=""),"",BP107-BO107)</f>
        <v/>
      </c>
      <c r="BR107" s="19">
        <f>IF(OR(BP107="",BP107=0,BQ107=""),"",BQ107/BP107)</f>
        <v/>
      </c>
      <c r="BS107" s="17" t="n"/>
      <c r="BT107" s="22" t="n"/>
      <c r="BU107" s="22" t="n"/>
      <c r="BV107" s="16" t="n"/>
      <c r="BW107" s="16" t="n"/>
      <c r="BX107" s="22">
        <f>IF(OR(BT107="",BU107=""),"",BT107-BU107)</f>
        <v/>
      </c>
      <c r="BY107" s="16" t="n"/>
      <c r="BZ107" s="17" t="n"/>
      <c r="CA107" s="16" t="n"/>
      <c r="CB107" s="16" t="n"/>
    </row>
    <row r="108">
      <c r="A108" s="23">
        <f>IF(C108="","","AYN-"&amp;IFERROR(VLOOKUP(E108,CATEGORY_PREFIX_TABLE,2,FALSE),"OTH")&amp;"-"&amp;TEXT(ROW()-2,"0000"))</f>
        <v/>
      </c>
      <c r="B108" s="24" t="n"/>
      <c r="C108" s="23" t="n"/>
      <c r="D108" s="23" t="n"/>
      <c r="E108" s="23" t="n"/>
      <c r="F108" s="23" t="n"/>
      <c r="G108" s="23" t="n"/>
      <c r="H108" s="23" t="n"/>
      <c r="I108" s="23" t="n"/>
      <c r="J108" s="23" t="n"/>
      <c r="K108" s="25">
        <f>IF(I108="","",IF(J108="BDT",I108,IF(J108="USD",I108*USD_BDT,IF(J108="RMB",I108*RMB_BDT,""))))</f>
        <v/>
      </c>
      <c r="L108" s="25" t="n"/>
      <c r="M108" s="26" t="n"/>
      <c r="N108" s="25" t="n"/>
      <c r="O108" s="25">
        <f>IF(K108="","",K108+IFERROR(L108,0)+(K108*IF(M108="",CUSTOMS_PCT,M108))+IF(N108="",MISC_FEE,N108))</f>
        <v/>
      </c>
      <c r="P108" s="25">
        <f>IF(O108="","",ROUND(O108*(1+MARKUP_PCT),-1)-1)</f>
        <v/>
      </c>
      <c r="Q108" s="25">
        <f>IF(P108="","",P108-O108)</f>
        <v/>
      </c>
      <c r="R108" s="26">
        <f>IF(OR(P108="",P108=0),"",Q108/P108)</f>
        <v/>
      </c>
      <c r="S108" s="23" t="n"/>
      <c r="T108" s="23" t="n"/>
      <c r="U108" s="23" t="n"/>
      <c r="V108" s="23" t="n"/>
      <c r="W108" s="23" t="n"/>
      <c r="X108" s="23" t="n"/>
      <c r="Y108" s="23" t="n"/>
      <c r="Z108" s="23" t="n"/>
      <c r="AA108" s="23" t="n"/>
      <c r="AB108" s="23" t="n"/>
      <c r="AC108" s="27">
        <f>IF(COUNT(S108:AB108)&lt;10,"",(S108*W_FEMININE+T108*W_TREND+U108*W_AESTHETIC+V108*W_STYLE+W108*W_LIGHT+X108*W_REELS+Y108*W_GIFT+Z108*W_PRICEFIT+AA108*W_DEMAND+AB108*W_QUALITY)/5*100)</f>
        <v/>
      </c>
      <c r="AD108" s="23">
        <f>IF(P108="","",IF(P108&gt;HARD_REJECT_PRICE,"Reject",IF(P108&gt;MAX_PRICE,"Price Review",IF(AC108="","",IF(AND(AC108&gt;=BUY_THRESHOLD,OR(AB108&lt;=2,U108&lt;=2)),"Maybe",IF(AC108&gt;=BUY_THRESHOLD,"Buy",IF(AC108&gt;=MAYBE_THRESHOLD,"Maybe","Reject")))))))</f>
        <v/>
      </c>
      <c r="AE108" s="23" t="n"/>
      <c r="AF108" s="23" t="n"/>
      <c r="AG108" s="23" t="n"/>
      <c r="AH108" s="23" t="n"/>
      <c r="AI108" s="24" t="n"/>
      <c r="AJ108">
        <f>IF(AC108="",-9999-ROW()*0.0000001,AC108-ROW()*0.0000001)</f>
        <v/>
      </c>
      <c r="AK108">
        <f>IF(OR(AC108="",P108="",P108&gt;MAX_PRICE),-9999-ROW()*0.0000001,AC108-ROW()*0.0000001)</f>
        <v/>
      </c>
      <c r="AL108">
        <f>IF(AC108="",-9999-ROW()*0.0000001,X108*1000+AC108-ROW()*0.0000001)</f>
        <v/>
      </c>
      <c r="AM108">
        <f>IF(AC108="",-9999-ROW()*0.0000001,Y108*1000+AC108-ROW()*0.0000001)</f>
        <v/>
      </c>
      <c r="AN108">
        <f>IF(AND(OR(AD108="Maybe",AD108="Price Review"),AG108&lt;&gt;"Approved",AG108&lt;&gt;"Rejected"),IF(AC108="",0,AC108)-ROW()*0.0000001,-9999-ROW()*0.0000001)</f>
        <v/>
      </c>
      <c r="AO108" s="28" t="n"/>
      <c r="AP108" s="28" t="n"/>
      <c r="AQ108" s="29" t="n"/>
      <c r="AR108" s="29" t="n"/>
      <c r="AS108" s="23" t="n"/>
      <c r="AT108" s="29" t="n"/>
      <c r="AU108" s="29" t="n"/>
      <c r="AV108" s="29" t="n"/>
      <c r="AW108" s="25">
        <f>IF(OR(O108="",AV108=""),"",O108*AV108)</f>
        <v/>
      </c>
      <c r="AX108" s="23" t="n"/>
      <c r="AY108" s="23" t="n"/>
      <c r="AZ108" s="23" t="n"/>
      <c r="BA108" s="23" t="n"/>
      <c r="BB108" s="23" t="n"/>
      <c r="BC108" s="25" t="n"/>
      <c r="BD108" s="23" t="n"/>
      <c r="BE108" s="23">
        <f>IF(C108="","",IF(AND(ISNUMBER(P108),P108&gt;MAX_PRICE),"Price too high",IF(AND(ISNUMBER(AB108),AB108&lt;=2),"Quality risk",IF(AND(ISNUMBER(U108),U108&lt;=2),"Aesthetic mismatch",IF(AY108="High","Too fragile",IF(AND(ISNUMBER(R108),R108&lt;LOW_PROFIT_PCT),"Low profit",IF(AND(ISNUMBER(AT108),AT108&gt;MOQ_WARNING),"MOQ too high",IF(OR(AD108="Maybe",AD108="Price Review"),"Needs partner review",IF(AD108="Buy","Good candidate","")))))))))</f>
        <v/>
      </c>
      <c r="BF108" s="23" t="n"/>
      <c r="BG108" s="23" t="n"/>
      <c r="BH108" s="23" t="n"/>
      <c r="BI108" s="23" t="n"/>
      <c r="BJ108" s="23" t="n"/>
      <c r="BK108" s="23" t="n"/>
      <c r="BL108" s="23">
        <f>IF(C108="","",IF(AND(BG108="Yes",BH108="Yes",BI108="Yes",BJ108="Yes",BK108="Yes"),"Yes","No"))</f>
        <v/>
      </c>
      <c r="BM108" s="25" t="n"/>
      <c r="BN108" s="25" t="n"/>
      <c r="BO108" s="25">
        <f>IF(OR(BM108="",BN108=""),"",BM108+BN108)</f>
        <v/>
      </c>
      <c r="BP108" s="25" t="n"/>
      <c r="BQ108" s="25">
        <f>IF(OR(BP108="",BO108=""),"",BP108-BO108)</f>
        <v/>
      </c>
      <c r="BR108" s="26">
        <f>IF(OR(BP108="",BP108=0,BQ108=""),"",BQ108/BP108)</f>
        <v/>
      </c>
      <c r="BS108" s="24" t="n"/>
      <c r="BT108" s="29" t="n"/>
      <c r="BU108" s="29" t="n"/>
      <c r="BV108" s="23" t="n"/>
      <c r="BW108" s="23" t="n"/>
      <c r="BX108" s="29">
        <f>IF(OR(BT108="",BU108=""),"",BT108-BU108)</f>
        <v/>
      </c>
      <c r="BY108" s="23" t="n"/>
      <c r="BZ108" s="24" t="n"/>
      <c r="CA108" s="23" t="n"/>
      <c r="CB108" s="23" t="n"/>
    </row>
    <row r="109">
      <c r="A109" s="16">
        <f>IF(C109="","","AYN-"&amp;IFERROR(VLOOKUP(E109,CATEGORY_PREFIX_TABLE,2,FALSE),"OTH")&amp;"-"&amp;TEXT(ROW()-2,"0000"))</f>
        <v/>
      </c>
      <c r="B109" s="17" t="n"/>
      <c r="C109" s="16" t="n"/>
      <c r="D109" s="16" t="n"/>
      <c r="E109" s="16" t="n"/>
      <c r="F109" s="16" t="n"/>
      <c r="G109" s="16" t="n"/>
      <c r="H109" s="16" t="n"/>
      <c r="I109" s="16" t="n"/>
      <c r="J109" s="16" t="n"/>
      <c r="K109" s="18">
        <f>IF(I109="","",IF(J109="BDT",I109,IF(J109="USD",I109*USD_BDT,IF(J109="RMB",I109*RMB_BDT,""))))</f>
        <v/>
      </c>
      <c r="L109" s="18" t="n"/>
      <c r="M109" s="19" t="n"/>
      <c r="N109" s="18" t="n"/>
      <c r="O109" s="18">
        <f>IF(K109="","",K109+IFERROR(L109,0)+(K109*IF(M109="",CUSTOMS_PCT,M109))+IF(N109="",MISC_FEE,N109))</f>
        <v/>
      </c>
      <c r="P109" s="18">
        <f>IF(O109="","",ROUND(O109*(1+MARKUP_PCT),-1)-1)</f>
        <v/>
      </c>
      <c r="Q109" s="18">
        <f>IF(P109="","",P109-O109)</f>
        <v/>
      </c>
      <c r="R109" s="19">
        <f>IF(OR(P109="",P109=0),"",Q109/P109)</f>
        <v/>
      </c>
      <c r="S109" s="16" t="n"/>
      <c r="T109" s="16" t="n"/>
      <c r="U109" s="16" t="n"/>
      <c r="V109" s="16" t="n"/>
      <c r="W109" s="16" t="n"/>
      <c r="X109" s="16" t="n"/>
      <c r="Y109" s="16" t="n"/>
      <c r="Z109" s="16" t="n"/>
      <c r="AA109" s="16" t="n"/>
      <c r="AB109" s="16" t="n"/>
      <c r="AC109" s="20">
        <f>IF(COUNT(S109:AB109)&lt;10,"",(S109*W_FEMININE+T109*W_TREND+U109*W_AESTHETIC+V109*W_STYLE+W109*W_LIGHT+X109*W_REELS+Y109*W_GIFT+Z109*W_PRICEFIT+AA109*W_DEMAND+AB109*W_QUALITY)/5*100)</f>
        <v/>
      </c>
      <c r="AD109" s="16">
        <f>IF(P109="","",IF(P109&gt;HARD_REJECT_PRICE,"Reject",IF(P109&gt;MAX_PRICE,"Price Review",IF(AC109="","",IF(AND(AC109&gt;=BUY_THRESHOLD,OR(AB109&lt;=2,U109&lt;=2)),"Maybe",IF(AC109&gt;=BUY_THRESHOLD,"Buy",IF(AC109&gt;=MAYBE_THRESHOLD,"Maybe","Reject")))))))</f>
        <v/>
      </c>
      <c r="AE109" s="16" t="n"/>
      <c r="AF109" s="16" t="n"/>
      <c r="AG109" s="16" t="n"/>
      <c r="AH109" s="16" t="n"/>
      <c r="AI109" s="17" t="n"/>
      <c r="AJ109">
        <f>IF(AC109="",-9999-ROW()*0.0000001,AC109-ROW()*0.0000001)</f>
        <v/>
      </c>
      <c r="AK109">
        <f>IF(OR(AC109="",P109="",P109&gt;MAX_PRICE),-9999-ROW()*0.0000001,AC109-ROW()*0.0000001)</f>
        <v/>
      </c>
      <c r="AL109">
        <f>IF(AC109="",-9999-ROW()*0.0000001,X109*1000+AC109-ROW()*0.0000001)</f>
        <v/>
      </c>
      <c r="AM109">
        <f>IF(AC109="",-9999-ROW()*0.0000001,Y109*1000+AC109-ROW()*0.0000001)</f>
        <v/>
      </c>
      <c r="AN109">
        <f>IF(AND(OR(AD109="Maybe",AD109="Price Review"),AG109&lt;&gt;"Approved",AG109&lt;&gt;"Rejected"),IF(AC109="",0,AC109)-ROW()*0.0000001,-9999-ROW()*0.0000001)</f>
        <v/>
      </c>
      <c r="AO109" s="21" t="n"/>
      <c r="AP109" s="21" t="n"/>
      <c r="AQ109" s="22" t="n"/>
      <c r="AR109" s="22" t="n"/>
      <c r="AS109" s="16" t="n"/>
      <c r="AT109" s="22" t="n"/>
      <c r="AU109" s="22" t="n"/>
      <c r="AV109" s="22" t="n"/>
      <c r="AW109" s="18">
        <f>IF(OR(O109="",AV109=""),"",O109*AV109)</f>
        <v/>
      </c>
      <c r="AX109" s="16" t="n"/>
      <c r="AY109" s="16" t="n"/>
      <c r="AZ109" s="16" t="n"/>
      <c r="BA109" s="16" t="n"/>
      <c r="BB109" s="16" t="n"/>
      <c r="BC109" s="18" t="n"/>
      <c r="BD109" s="16" t="n"/>
      <c r="BE109" s="16">
        <f>IF(C109="","",IF(AND(ISNUMBER(P109),P109&gt;MAX_PRICE),"Price too high",IF(AND(ISNUMBER(AB109),AB109&lt;=2),"Quality risk",IF(AND(ISNUMBER(U109),U109&lt;=2),"Aesthetic mismatch",IF(AY109="High","Too fragile",IF(AND(ISNUMBER(R109),R109&lt;LOW_PROFIT_PCT),"Low profit",IF(AND(ISNUMBER(AT109),AT109&gt;MOQ_WARNING),"MOQ too high",IF(OR(AD109="Maybe",AD109="Price Review"),"Needs partner review",IF(AD109="Buy","Good candidate","")))))))))</f>
        <v/>
      </c>
      <c r="BF109" s="16" t="n"/>
      <c r="BG109" s="16" t="n"/>
      <c r="BH109" s="16" t="n"/>
      <c r="BI109" s="16" t="n"/>
      <c r="BJ109" s="16" t="n"/>
      <c r="BK109" s="16" t="n"/>
      <c r="BL109" s="16">
        <f>IF(C109="","",IF(AND(BG109="Yes",BH109="Yes",BI109="Yes",BJ109="Yes",BK109="Yes"),"Yes","No"))</f>
        <v/>
      </c>
      <c r="BM109" s="18" t="n"/>
      <c r="BN109" s="18" t="n"/>
      <c r="BO109" s="18">
        <f>IF(OR(BM109="",BN109=""),"",BM109+BN109)</f>
        <v/>
      </c>
      <c r="BP109" s="18" t="n"/>
      <c r="BQ109" s="18">
        <f>IF(OR(BP109="",BO109=""),"",BP109-BO109)</f>
        <v/>
      </c>
      <c r="BR109" s="19">
        <f>IF(OR(BP109="",BP109=0,BQ109=""),"",BQ109/BP109)</f>
        <v/>
      </c>
      <c r="BS109" s="17" t="n"/>
      <c r="BT109" s="22" t="n"/>
      <c r="BU109" s="22" t="n"/>
      <c r="BV109" s="16" t="n"/>
      <c r="BW109" s="16" t="n"/>
      <c r="BX109" s="22">
        <f>IF(OR(BT109="",BU109=""),"",BT109-BU109)</f>
        <v/>
      </c>
      <c r="BY109" s="16" t="n"/>
      <c r="BZ109" s="17" t="n"/>
      <c r="CA109" s="16" t="n"/>
      <c r="CB109" s="16" t="n"/>
    </row>
    <row r="110">
      <c r="A110" s="23">
        <f>IF(C110="","","AYN-"&amp;IFERROR(VLOOKUP(E110,CATEGORY_PREFIX_TABLE,2,FALSE),"OTH")&amp;"-"&amp;TEXT(ROW()-2,"0000"))</f>
        <v/>
      </c>
      <c r="B110" s="24" t="n"/>
      <c r="C110" s="23" t="n"/>
      <c r="D110" s="23" t="n"/>
      <c r="E110" s="23" t="n"/>
      <c r="F110" s="23" t="n"/>
      <c r="G110" s="23" t="n"/>
      <c r="H110" s="23" t="n"/>
      <c r="I110" s="23" t="n"/>
      <c r="J110" s="23" t="n"/>
      <c r="K110" s="25">
        <f>IF(I110="","",IF(J110="BDT",I110,IF(J110="USD",I110*USD_BDT,IF(J110="RMB",I110*RMB_BDT,""))))</f>
        <v/>
      </c>
      <c r="L110" s="25" t="n"/>
      <c r="M110" s="26" t="n"/>
      <c r="N110" s="25" t="n"/>
      <c r="O110" s="25">
        <f>IF(K110="","",K110+IFERROR(L110,0)+(K110*IF(M110="",CUSTOMS_PCT,M110))+IF(N110="",MISC_FEE,N110))</f>
        <v/>
      </c>
      <c r="P110" s="25">
        <f>IF(O110="","",ROUND(O110*(1+MARKUP_PCT),-1)-1)</f>
        <v/>
      </c>
      <c r="Q110" s="25">
        <f>IF(P110="","",P110-O110)</f>
        <v/>
      </c>
      <c r="R110" s="26">
        <f>IF(OR(P110="",P110=0),"",Q110/P110)</f>
        <v/>
      </c>
      <c r="S110" s="23" t="n"/>
      <c r="T110" s="23" t="n"/>
      <c r="U110" s="23" t="n"/>
      <c r="V110" s="23" t="n"/>
      <c r="W110" s="23" t="n"/>
      <c r="X110" s="23" t="n"/>
      <c r="Y110" s="23" t="n"/>
      <c r="Z110" s="23" t="n"/>
      <c r="AA110" s="23" t="n"/>
      <c r="AB110" s="23" t="n"/>
      <c r="AC110" s="27">
        <f>IF(COUNT(S110:AB110)&lt;10,"",(S110*W_FEMININE+T110*W_TREND+U110*W_AESTHETIC+V110*W_STYLE+W110*W_LIGHT+X110*W_REELS+Y110*W_GIFT+Z110*W_PRICEFIT+AA110*W_DEMAND+AB110*W_QUALITY)/5*100)</f>
        <v/>
      </c>
      <c r="AD110" s="23">
        <f>IF(P110="","",IF(P110&gt;HARD_REJECT_PRICE,"Reject",IF(P110&gt;MAX_PRICE,"Price Review",IF(AC110="","",IF(AND(AC110&gt;=BUY_THRESHOLD,OR(AB110&lt;=2,U110&lt;=2)),"Maybe",IF(AC110&gt;=BUY_THRESHOLD,"Buy",IF(AC110&gt;=MAYBE_THRESHOLD,"Maybe","Reject")))))))</f>
        <v/>
      </c>
      <c r="AE110" s="23" t="n"/>
      <c r="AF110" s="23" t="n"/>
      <c r="AG110" s="23" t="n"/>
      <c r="AH110" s="23" t="n"/>
      <c r="AI110" s="24" t="n"/>
      <c r="AJ110">
        <f>IF(AC110="",-9999-ROW()*0.0000001,AC110-ROW()*0.0000001)</f>
        <v/>
      </c>
      <c r="AK110">
        <f>IF(OR(AC110="",P110="",P110&gt;MAX_PRICE),-9999-ROW()*0.0000001,AC110-ROW()*0.0000001)</f>
        <v/>
      </c>
      <c r="AL110">
        <f>IF(AC110="",-9999-ROW()*0.0000001,X110*1000+AC110-ROW()*0.0000001)</f>
        <v/>
      </c>
      <c r="AM110">
        <f>IF(AC110="",-9999-ROW()*0.0000001,Y110*1000+AC110-ROW()*0.0000001)</f>
        <v/>
      </c>
      <c r="AN110">
        <f>IF(AND(OR(AD110="Maybe",AD110="Price Review"),AG110&lt;&gt;"Approved",AG110&lt;&gt;"Rejected"),IF(AC110="",0,AC110)-ROW()*0.0000001,-9999-ROW()*0.0000001)</f>
        <v/>
      </c>
      <c r="AO110" s="28" t="n"/>
      <c r="AP110" s="28" t="n"/>
      <c r="AQ110" s="29" t="n"/>
      <c r="AR110" s="29" t="n"/>
      <c r="AS110" s="23" t="n"/>
      <c r="AT110" s="29" t="n"/>
      <c r="AU110" s="29" t="n"/>
      <c r="AV110" s="29" t="n"/>
      <c r="AW110" s="25">
        <f>IF(OR(O110="",AV110=""),"",O110*AV110)</f>
        <v/>
      </c>
      <c r="AX110" s="23" t="n"/>
      <c r="AY110" s="23" t="n"/>
      <c r="AZ110" s="23" t="n"/>
      <c r="BA110" s="23" t="n"/>
      <c r="BB110" s="23" t="n"/>
      <c r="BC110" s="25" t="n"/>
      <c r="BD110" s="23" t="n"/>
      <c r="BE110" s="23">
        <f>IF(C110="","",IF(AND(ISNUMBER(P110),P110&gt;MAX_PRICE),"Price too high",IF(AND(ISNUMBER(AB110),AB110&lt;=2),"Quality risk",IF(AND(ISNUMBER(U110),U110&lt;=2),"Aesthetic mismatch",IF(AY110="High","Too fragile",IF(AND(ISNUMBER(R110),R110&lt;LOW_PROFIT_PCT),"Low profit",IF(AND(ISNUMBER(AT110),AT110&gt;MOQ_WARNING),"MOQ too high",IF(OR(AD110="Maybe",AD110="Price Review"),"Needs partner review",IF(AD110="Buy","Good candidate","")))))))))</f>
        <v/>
      </c>
      <c r="BF110" s="23" t="n"/>
      <c r="BG110" s="23" t="n"/>
      <c r="BH110" s="23" t="n"/>
      <c r="BI110" s="23" t="n"/>
      <c r="BJ110" s="23" t="n"/>
      <c r="BK110" s="23" t="n"/>
      <c r="BL110" s="23">
        <f>IF(C110="","",IF(AND(BG110="Yes",BH110="Yes",BI110="Yes",BJ110="Yes",BK110="Yes"),"Yes","No"))</f>
        <v/>
      </c>
      <c r="BM110" s="25" t="n"/>
      <c r="BN110" s="25" t="n"/>
      <c r="BO110" s="25">
        <f>IF(OR(BM110="",BN110=""),"",BM110+BN110)</f>
        <v/>
      </c>
      <c r="BP110" s="25" t="n"/>
      <c r="BQ110" s="25">
        <f>IF(OR(BP110="",BO110=""),"",BP110-BO110)</f>
        <v/>
      </c>
      <c r="BR110" s="26">
        <f>IF(OR(BP110="",BP110=0,BQ110=""),"",BQ110/BP110)</f>
        <v/>
      </c>
      <c r="BS110" s="24" t="n"/>
      <c r="BT110" s="29" t="n"/>
      <c r="BU110" s="29" t="n"/>
      <c r="BV110" s="23" t="n"/>
      <c r="BW110" s="23" t="n"/>
      <c r="BX110" s="29">
        <f>IF(OR(BT110="",BU110=""),"",BT110-BU110)</f>
        <v/>
      </c>
      <c r="BY110" s="23" t="n"/>
      <c r="BZ110" s="24" t="n"/>
      <c r="CA110" s="23" t="n"/>
      <c r="CB110" s="23" t="n"/>
    </row>
    <row r="111">
      <c r="A111" s="16">
        <f>IF(C111="","","AYN-"&amp;IFERROR(VLOOKUP(E111,CATEGORY_PREFIX_TABLE,2,FALSE),"OTH")&amp;"-"&amp;TEXT(ROW()-2,"0000"))</f>
        <v/>
      </c>
      <c r="B111" s="17" t="n"/>
      <c r="C111" s="16" t="n"/>
      <c r="D111" s="16" t="n"/>
      <c r="E111" s="16" t="n"/>
      <c r="F111" s="16" t="n"/>
      <c r="G111" s="16" t="n"/>
      <c r="H111" s="16" t="n"/>
      <c r="I111" s="16" t="n"/>
      <c r="J111" s="16" t="n"/>
      <c r="K111" s="18">
        <f>IF(I111="","",IF(J111="BDT",I111,IF(J111="USD",I111*USD_BDT,IF(J111="RMB",I111*RMB_BDT,""))))</f>
        <v/>
      </c>
      <c r="L111" s="18" t="n"/>
      <c r="M111" s="19" t="n"/>
      <c r="N111" s="18" t="n"/>
      <c r="O111" s="18">
        <f>IF(K111="","",K111+IFERROR(L111,0)+(K111*IF(M111="",CUSTOMS_PCT,M111))+IF(N111="",MISC_FEE,N111))</f>
        <v/>
      </c>
      <c r="P111" s="18">
        <f>IF(O111="","",ROUND(O111*(1+MARKUP_PCT),-1)-1)</f>
        <v/>
      </c>
      <c r="Q111" s="18">
        <f>IF(P111="","",P111-O111)</f>
        <v/>
      </c>
      <c r="R111" s="19">
        <f>IF(OR(P111="",P111=0),"",Q111/P111)</f>
        <v/>
      </c>
      <c r="S111" s="16" t="n"/>
      <c r="T111" s="16" t="n"/>
      <c r="U111" s="16" t="n"/>
      <c r="V111" s="16" t="n"/>
      <c r="W111" s="16" t="n"/>
      <c r="X111" s="16" t="n"/>
      <c r="Y111" s="16" t="n"/>
      <c r="Z111" s="16" t="n"/>
      <c r="AA111" s="16" t="n"/>
      <c r="AB111" s="16" t="n"/>
      <c r="AC111" s="20">
        <f>IF(COUNT(S111:AB111)&lt;10,"",(S111*W_FEMININE+T111*W_TREND+U111*W_AESTHETIC+V111*W_STYLE+W111*W_LIGHT+X111*W_REELS+Y111*W_GIFT+Z111*W_PRICEFIT+AA111*W_DEMAND+AB111*W_QUALITY)/5*100)</f>
        <v/>
      </c>
      <c r="AD111" s="16">
        <f>IF(P111="","",IF(P111&gt;HARD_REJECT_PRICE,"Reject",IF(P111&gt;MAX_PRICE,"Price Review",IF(AC111="","",IF(AND(AC111&gt;=BUY_THRESHOLD,OR(AB111&lt;=2,U111&lt;=2)),"Maybe",IF(AC111&gt;=BUY_THRESHOLD,"Buy",IF(AC111&gt;=MAYBE_THRESHOLD,"Maybe","Reject")))))))</f>
        <v/>
      </c>
      <c r="AE111" s="16" t="n"/>
      <c r="AF111" s="16" t="n"/>
      <c r="AG111" s="16" t="n"/>
      <c r="AH111" s="16" t="n"/>
      <c r="AI111" s="17" t="n"/>
      <c r="AJ111">
        <f>IF(AC111="",-9999-ROW()*0.0000001,AC111-ROW()*0.0000001)</f>
        <v/>
      </c>
      <c r="AK111">
        <f>IF(OR(AC111="",P111="",P111&gt;MAX_PRICE),-9999-ROW()*0.0000001,AC111-ROW()*0.0000001)</f>
        <v/>
      </c>
      <c r="AL111">
        <f>IF(AC111="",-9999-ROW()*0.0000001,X111*1000+AC111-ROW()*0.0000001)</f>
        <v/>
      </c>
      <c r="AM111">
        <f>IF(AC111="",-9999-ROW()*0.0000001,Y111*1000+AC111-ROW()*0.0000001)</f>
        <v/>
      </c>
      <c r="AN111">
        <f>IF(AND(OR(AD111="Maybe",AD111="Price Review"),AG111&lt;&gt;"Approved",AG111&lt;&gt;"Rejected"),IF(AC111="",0,AC111)-ROW()*0.0000001,-9999-ROW()*0.0000001)</f>
        <v/>
      </c>
      <c r="AO111" s="21" t="n"/>
      <c r="AP111" s="21" t="n"/>
      <c r="AQ111" s="22" t="n"/>
      <c r="AR111" s="22" t="n"/>
      <c r="AS111" s="16" t="n"/>
      <c r="AT111" s="22" t="n"/>
      <c r="AU111" s="22" t="n"/>
      <c r="AV111" s="22" t="n"/>
      <c r="AW111" s="18">
        <f>IF(OR(O111="",AV111=""),"",O111*AV111)</f>
        <v/>
      </c>
      <c r="AX111" s="16" t="n"/>
      <c r="AY111" s="16" t="n"/>
      <c r="AZ111" s="16" t="n"/>
      <c r="BA111" s="16" t="n"/>
      <c r="BB111" s="16" t="n"/>
      <c r="BC111" s="18" t="n"/>
      <c r="BD111" s="16" t="n"/>
      <c r="BE111" s="16">
        <f>IF(C111="","",IF(AND(ISNUMBER(P111),P111&gt;MAX_PRICE),"Price too high",IF(AND(ISNUMBER(AB111),AB111&lt;=2),"Quality risk",IF(AND(ISNUMBER(U111),U111&lt;=2),"Aesthetic mismatch",IF(AY111="High","Too fragile",IF(AND(ISNUMBER(R111),R111&lt;LOW_PROFIT_PCT),"Low profit",IF(AND(ISNUMBER(AT111),AT111&gt;MOQ_WARNING),"MOQ too high",IF(OR(AD111="Maybe",AD111="Price Review"),"Needs partner review",IF(AD111="Buy","Good candidate","")))))))))</f>
        <v/>
      </c>
      <c r="BF111" s="16" t="n"/>
      <c r="BG111" s="16" t="n"/>
      <c r="BH111" s="16" t="n"/>
      <c r="BI111" s="16" t="n"/>
      <c r="BJ111" s="16" t="n"/>
      <c r="BK111" s="16" t="n"/>
      <c r="BL111" s="16">
        <f>IF(C111="","",IF(AND(BG111="Yes",BH111="Yes",BI111="Yes",BJ111="Yes",BK111="Yes"),"Yes","No"))</f>
        <v/>
      </c>
      <c r="BM111" s="18" t="n"/>
      <c r="BN111" s="18" t="n"/>
      <c r="BO111" s="18">
        <f>IF(OR(BM111="",BN111=""),"",BM111+BN111)</f>
        <v/>
      </c>
      <c r="BP111" s="18" t="n"/>
      <c r="BQ111" s="18">
        <f>IF(OR(BP111="",BO111=""),"",BP111-BO111)</f>
        <v/>
      </c>
      <c r="BR111" s="19">
        <f>IF(OR(BP111="",BP111=0,BQ111=""),"",BQ111/BP111)</f>
        <v/>
      </c>
      <c r="BS111" s="17" t="n"/>
      <c r="BT111" s="22" t="n"/>
      <c r="BU111" s="22" t="n"/>
      <c r="BV111" s="16" t="n"/>
      <c r="BW111" s="16" t="n"/>
      <c r="BX111" s="22">
        <f>IF(OR(BT111="",BU111=""),"",BT111-BU111)</f>
        <v/>
      </c>
      <c r="BY111" s="16" t="n"/>
      <c r="BZ111" s="17" t="n"/>
      <c r="CA111" s="16" t="n"/>
      <c r="CB111" s="16" t="n"/>
    </row>
    <row r="112">
      <c r="A112" s="23">
        <f>IF(C112="","","AYN-"&amp;IFERROR(VLOOKUP(E112,CATEGORY_PREFIX_TABLE,2,FALSE),"OTH")&amp;"-"&amp;TEXT(ROW()-2,"0000"))</f>
        <v/>
      </c>
      <c r="B112" s="24" t="n"/>
      <c r="C112" s="23" t="n"/>
      <c r="D112" s="23" t="n"/>
      <c r="E112" s="23" t="n"/>
      <c r="F112" s="23" t="n"/>
      <c r="G112" s="23" t="n"/>
      <c r="H112" s="23" t="n"/>
      <c r="I112" s="23" t="n"/>
      <c r="J112" s="23" t="n"/>
      <c r="K112" s="25">
        <f>IF(I112="","",IF(J112="BDT",I112,IF(J112="USD",I112*USD_BDT,IF(J112="RMB",I112*RMB_BDT,""))))</f>
        <v/>
      </c>
      <c r="L112" s="25" t="n"/>
      <c r="M112" s="26" t="n"/>
      <c r="N112" s="25" t="n"/>
      <c r="O112" s="25">
        <f>IF(K112="","",K112+IFERROR(L112,0)+(K112*IF(M112="",CUSTOMS_PCT,M112))+IF(N112="",MISC_FEE,N112))</f>
        <v/>
      </c>
      <c r="P112" s="25">
        <f>IF(O112="","",ROUND(O112*(1+MARKUP_PCT),-1)-1)</f>
        <v/>
      </c>
      <c r="Q112" s="25">
        <f>IF(P112="","",P112-O112)</f>
        <v/>
      </c>
      <c r="R112" s="26">
        <f>IF(OR(P112="",P112=0),"",Q112/P112)</f>
        <v/>
      </c>
      <c r="S112" s="23" t="n"/>
      <c r="T112" s="23" t="n"/>
      <c r="U112" s="23" t="n"/>
      <c r="V112" s="23" t="n"/>
      <c r="W112" s="23" t="n"/>
      <c r="X112" s="23" t="n"/>
      <c r="Y112" s="23" t="n"/>
      <c r="Z112" s="23" t="n"/>
      <c r="AA112" s="23" t="n"/>
      <c r="AB112" s="23" t="n"/>
      <c r="AC112" s="27">
        <f>IF(COUNT(S112:AB112)&lt;10,"",(S112*W_FEMININE+T112*W_TREND+U112*W_AESTHETIC+V112*W_STYLE+W112*W_LIGHT+X112*W_REELS+Y112*W_GIFT+Z112*W_PRICEFIT+AA112*W_DEMAND+AB112*W_QUALITY)/5*100)</f>
        <v/>
      </c>
      <c r="AD112" s="23">
        <f>IF(P112="","",IF(P112&gt;HARD_REJECT_PRICE,"Reject",IF(P112&gt;MAX_PRICE,"Price Review",IF(AC112="","",IF(AND(AC112&gt;=BUY_THRESHOLD,OR(AB112&lt;=2,U112&lt;=2)),"Maybe",IF(AC112&gt;=BUY_THRESHOLD,"Buy",IF(AC112&gt;=MAYBE_THRESHOLD,"Maybe","Reject")))))))</f>
        <v/>
      </c>
      <c r="AE112" s="23" t="n"/>
      <c r="AF112" s="23" t="n"/>
      <c r="AG112" s="23" t="n"/>
      <c r="AH112" s="23" t="n"/>
      <c r="AI112" s="24" t="n"/>
      <c r="AJ112">
        <f>IF(AC112="",-9999-ROW()*0.0000001,AC112-ROW()*0.0000001)</f>
        <v/>
      </c>
      <c r="AK112">
        <f>IF(OR(AC112="",P112="",P112&gt;MAX_PRICE),-9999-ROW()*0.0000001,AC112-ROW()*0.0000001)</f>
        <v/>
      </c>
      <c r="AL112">
        <f>IF(AC112="",-9999-ROW()*0.0000001,X112*1000+AC112-ROW()*0.0000001)</f>
        <v/>
      </c>
      <c r="AM112">
        <f>IF(AC112="",-9999-ROW()*0.0000001,Y112*1000+AC112-ROW()*0.0000001)</f>
        <v/>
      </c>
      <c r="AN112">
        <f>IF(AND(OR(AD112="Maybe",AD112="Price Review"),AG112&lt;&gt;"Approved",AG112&lt;&gt;"Rejected"),IF(AC112="",0,AC112)-ROW()*0.0000001,-9999-ROW()*0.0000001)</f>
        <v/>
      </c>
      <c r="AO112" s="28" t="n"/>
      <c r="AP112" s="28" t="n"/>
      <c r="AQ112" s="29" t="n"/>
      <c r="AR112" s="29" t="n"/>
      <c r="AS112" s="23" t="n"/>
      <c r="AT112" s="29" t="n"/>
      <c r="AU112" s="29" t="n"/>
      <c r="AV112" s="29" t="n"/>
      <c r="AW112" s="25">
        <f>IF(OR(O112="",AV112=""),"",O112*AV112)</f>
        <v/>
      </c>
      <c r="AX112" s="23" t="n"/>
      <c r="AY112" s="23" t="n"/>
      <c r="AZ112" s="23" t="n"/>
      <c r="BA112" s="23" t="n"/>
      <c r="BB112" s="23" t="n"/>
      <c r="BC112" s="25" t="n"/>
      <c r="BD112" s="23" t="n"/>
      <c r="BE112" s="23">
        <f>IF(C112="","",IF(AND(ISNUMBER(P112),P112&gt;MAX_PRICE),"Price too high",IF(AND(ISNUMBER(AB112),AB112&lt;=2),"Quality risk",IF(AND(ISNUMBER(U112),U112&lt;=2),"Aesthetic mismatch",IF(AY112="High","Too fragile",IF(AND(ISNUMBER(R112),R112&lt;LOW_PROFIT_PCT),"Low profit",IF(AND(ISNUMBER(AT112),AT112&gt;MOQ_WARNING),"MOQ too high",IF(OR(AD112="Maybe",AD112="Price Review"),"Needs partner review",IF(AD112="Buy","Good candidate","")))))))))</f>
        <v/>
      </c>
      <c r="BF112" s="23" t="n"/>
      <c r="BG112" s="23" t="n"/>
      <c r="BH112" s="23" t="n"/>
      <c r="BI112" s="23" t="n"/>
      <c r="BJ112" s="23" t="n"/>
      <c r="BK112" s="23" t="n"/>
      <c r="BL112" s="23">
        <f>IF(C112="","",IF(AND(BG112="Yes",BH112="Yes",BI112="Yes",BJ112="Yes",BK112="Yes"),"Yes","No"))</f>
        <v/>
      </c>
      <c r="BM112" s="25" t="n"/>
      <c r="BN112" s="25" t="n"/>
      <c r="BO112" s="25">
        <f>IF(OR(BM112="",BN112=""),"",BM112+BN112)</f>
        <v/>
      </c>
      <c r="BP112" s="25" t="n"/>
      <c r="BQ112" s="25">
        <f>IF(OR(BP112="",BO112=""),"",BP112-BO112)</f>
        <v/>
      </c>
      <c r="BR112" s="26">
        <f>IF(OR(BP112="",BP112=0,BQ112=""),"",BQ112/BP112)</f>
        <v/>
      </c>
      <c r="BS112" s="24" t="n"/>
      <c r="BT112" s="29" t="n"/>
      <c r="BU112" s="29" t="n"/>
      <c r="BV112" s="23" t="n"/>
      <c r="BW112" s="23" t="n"/>
      <c r="BX112" s="29">
        <f>IF(OR(BT112="",BU112=""),"",BT112-BU112)</f>
        <v/>
      </c>
      <c r="BY112" s="23" t="n"/>
      <c r="BZ112" s="24" t="n"/>
      <c r="CA112" s="23" t="n"/>
      <c r="CB112" s="23" t="n"/>
    </row>
    <row r="113">
      <c r="A113" s="16">
        <f>IF(C113="","","AYN-"&amp;IFERROR(VLOOKUP(E113,CATEGORY_PREFIX_TABLE,2,FALSE),"OTH")&amp;"-"&amp;TEXT(ROW()-2,"0000"))</f>
        <v/>
      </c>
      <c r="B113" s="17" t="n"/>
      <c r="C113" s="16" t="n"/>
      <c r="D113" s="16" t="n"/>
      <c r="E113" s="16" t="n"/>
      <c r="F113" s="16" t="n"/>
      <c r="G113" s="16" t="n"/>
      <c r="H113" s="16" t="n"/>
      <c r="I113" s="16" t="n"/>
      <c r="J113" s="16" t="n"/>
      <c r="K113" s="18">
        <f>IF(I113="","",IF(J113="BDT",I113,IF(J113="USD",I113*USD_BDT,IF(J113="RMB",I113*RMB_BDT,""))))</f>
        <v/>
      </c>
      <c r="L113" s="18" t="n"/>
      <c r="M113" s="19" t="n"/>
      <c r="N113" s="18" t="n"/>
      <c r="O113" s="18">
        <f>IF(K113="","",K113+IFERROR(L113,0)+(K113*IF(M113="",CUSTOMS_PCT,M113))+IF(N113="",MISC_FEE,N113))</f>
        <v/>
      </c>
      <c r="P113" s="18">
        <f>IF(O113="","",ROUND(O113*(1+MARKUP_PCT),-1)-1)</f>
        <v/>
      </c>
      <c r="Q113" s="18">
        <f>IF(P113="","",P113-O113)</f>
        <v/>
      </c>
      <c r="R113" s="19">
        <f>IF(OR(P113="",P113=0),"",Q113/P113)</f>
        <v/>
      </c>
      <c r="S113" s="16" t="n"/>
      <c r="T113" s="16" t="n"/>
      <c r="U113" s="16" t="n"/>
      <c r="V113" s="16" t="n"/>
      <c r="W113" s="16" t="n"/>
      <c r="X113" s="16" t="n"/>
      <c r="Y113" s="16" t="n"/>
      <c r="Z113" s="16" t="n"/>
      <c r="AA113" s="16" t="n"/>
      <c r="AB113" s="16" t="n"/>
      <c r="AC113" s="20">
        <f>IF(COUNT(S113:AB113)&lt;10,"",(S113*W_FEMININE+T113*W_TREND+U113*W_AESTHETIC+V113*W_STYLE+W113*W_LIGHT+X113*W_REELS+Y113*W_GIFT+Z113*W_PRICEFIT+AA113*W_DEMAND+AB113*W_QUALITY)/5*100)</f>
        <v/>
      </c>
      <c r="AD113" s="16">
        <f>IF(P113="","",IF(P113&gt;HARD_REJECT_PRICE,"Reject",IF(P113&gt;MAX_PRICE,"Price Review",IF(AC113="","",IF(AND(AC113&gt;=BUY_THRESHOLD,OR(AB113&lt;=2,U113&lt;=2)),"Maybe",IF(AC113&gt;=BUY_THRESHOLD,"Buy",IF(AC113&gt;=MAYBE_THRESHOLD,"Maybe","Reject")))))))</f>
        <v/>
      </c>
      <c r="AE113" s="16" t="n"/>
      <c r="AF113" s="16" t="n"/>
      <c r="AG113" s="16" t="n"/>
      <c r="AH113" s="16" t="n"/>
      <c r="AI113" s="17" t="n"/>
      <c r="AJ113">
        <f>IF(AC113="",-9999-ROW()*0.0000001,AC113-ROW()*0.0000001)</f>
        <v/>
      </c>
      <c r="AK113">
        <f>IF(OR(AC113="",P113="",P113&gt;MAX_PRICE),-9999-ROW()*0.0000001,AC113-ROW()*0.0000001)</f>
        <v/>
      </c>
      <c r="AL113">
        <f>IF(AC113="",-9999-ROW()*0.0000001,X113*1000+AC113-ROW()*0.0000001)</f>
        <v/>
      </c>
      <c r="AM113">
        <f>IF(AC113="",-9999-ROW()*0.0000001,Y113*1000+AC113-ROW()*0.0000001)</f>
        <v/>
      </c>
      <c r="AN113">
        <f>IF(AND(OR(AD113="Maybe",AD113="Price Review"),AG113&lt;&gt;"Approved",AG113&lt;&gt;"Rejected"),IF(AC113="",0,AC113)-ROW()*0.0000001,-9999-ROW()*0.0000001)</f>
        <v/>
      </c>
      <c r="AO113" s="21" t="n"/>
      <c r="AP113" s="21" t="n"/>
      <c r="AQ113" s="22" t="n"/>
      <c r="AR113" s="22" t="n"/>
      <c r="AS113" s="16" t="n"/>
      <c r="AT113" s="22" t="n"/>
      <c r="AU113" s="22" t="n"/>
      <c r="AV113" s="22" t="n"/>
      <c r="AW113" s="18">
        <f>IF(OR(O113="",AV113=""),"",O113*AV113)</f>
        <v/>
      </c>
      <c r="AX113" s="16" t="n"/>
      <c r="AY113" s="16" t="n"/>
      <c r="AZ113" s="16" t="n"/>
      <c r="BA113" s="16" t="n"/>
      <c r="BB113" s="16" t="n"/>
      <c r="BC113" s="18" t="n"/>
      <c r="BD113" s="16" t="n"/>
      <c r="BE113" s="16">
        <f>IF(C113="","",IF(AND(ISNUMBER(P113),P113&gt;MAX_PRICE),"Price too high",IF(AND(ISNUMBER(AB113),AB113&lt;=2),"Quality risk",IF(AND(ISNUMBER(U113),U113&lt;=2),"Aesthetic mismatch",IF(AY113="High","Too fragile",IF(AND(ISNUMBER(R113),R113&lt;LOW_PROFIT_PCT),"Low profit",IF(AND(ISNUMBER(AT113),AT113&gt;MOQ_WARNING),"MOQ too high",IF(OR(AD113="Maybe",AD113="Price Review"),"Needs partner review",IF(AD113="Buy","Good candidate","")))))))))</f>
        <v/>
      </c>
      <c r="BF113" s="16" t="n"/>
      <c r="BG113" s="16" t="n"/>
      <c r="BH113" s="16" t="n"/>
      <c r="BI113" s="16" t="n"/>
      <c r="BJ113" s="16" t="n"/>
      <c r="BK113" s="16" t="n"/>
      <c r="BL113" s="16">
        <f>IF(C113="","",IF(AND(BG113="Yes",BH113="Yes",BI113="Yes",BJ113="Yes",BK113="Yes"),"Yes","No"))</f>
        <v/>
      </c>
      <c r="BM113" s="18" t="n"/>
      <c r="BN113" s="18" t="n"/>
      <c r="BO113" s="18">
        <f>IF(OR(BM113="",BN113=""),"",BM113+BN113)</f>
        <v/>
      </c>
      <c r="BP113" s="18" t="n"/>
      <c r="BQ113" s="18">
        <f>IF(OR(BP113="",BO113=""),"",BP113-BO113)</f>
        <v/>
      </c>
      <c r="BR113" s="19">
        <f>IF(OR(BP113="",BP113=0,BQ113=""),"",BQ113/BP113)</f>
        <v/>
      </c>
      <c r="BS113" s="17" t="n"/>
      <c r="BT113" s="22" t="n"/>
      <c r="BU113" s="22" t="n"/>
      <c r="BV113" s="16" t="n"/>
      <c r="BW113" s="16" t="n"/>
      <c r="BX113" s="22">
        <f>IF(OR(BT113="",BU113=""),"",BT113-BU113)</f>
        <v/>
      </c>
      <c r="BY113" s="16" t="n"/>
      <c r="BZ113" s="17" t="n"/>
      <c r="CA113" s="16" t="n"/>
      <c r="CB113" s="16" t="n"/>
    </row>
    <row r="114">
      <c r="A114" s="23">
        <f>IF(C114="","","AYN-"&amp;IFERROR(VLOOKUP(E114,CATEGORY_PREFIX_TABLE,2,FALSE),"OTH")&amp;"-"&amp;TEXT(ROW()-2,"0000"))</f>
        <v/>
      </c>
      <c r="B114" s="24" t="n"/>
      <c r="C114" s="23" t="n"/>
      <c r="D114" s="23" t="n"/>
      <c r="E114" s="23" t="n"/>
      <c r="F114" s="23" t="n"/>
      <c r="G114" s="23" t="n"/>
      <c r="H114" s="23" t="n"/>
      <c r="I114" s="23" t="n"/>
      <c r="J114" s="23" t="n"/>
      <c r="K114" s="25">
        <f>IF(I114="","",IF(J114="BDT",I114,IF(J114="USD",I114*USD_BDT,IF(J114="RMB",I114*RMB_BDT,""))))</f>
        <v/>
      </c>
      <c r="L114" s="25" t="n"/>
      <c r="M114" s="26" t="n"/>
      <c r="N114" s="25" t="n"/>
      <c r="O114" s="25">
        <f>IF(K114="","",K114+IFERROR(L114,0)+(K114*IF(M114="",CUSTOMS_PCT,M114))+IF(N114="",MISC_FEE,N114))</f>
        <v/>
      </c>
      <c r="P114" s="25">
        <f>IF(O114="","",ROUND(O114*(1+MARKUP_PCT),-1)-1)</f>
        <v/>
      </c>
      <c r="Q114" s="25">
        <f>IF(P114="","",P114-O114)</f>
        <v/>
      </c>
      <c r="R114" s="26">
        <f>IF(OR(P114="",P114=0),"",Q114/P114)</f>
        <v/>
      </c>
      <c r="S114" s="23" t="n"/>
      <c r="T114" s="23" t="n"/>
      <c r="U114" s="23" t="n"/>
      <c r="V114" s="23" t="n"/>
      <c r="W114" s="23" t="n"/>
      <c r="X114" s="23" t="n"/>
      <c r="Y114" s="23" t="n"/>
      <c r="Z114" s="23" t="n"/>
      <c r="AA114" s="23" t="n"/>
      <c r="AB114" s="23" t="n"/>
      <c r="AC114" s="27">
        <f>IF(COUNT(S114:AB114)&lt;10,"",(S114*W_FEMININE+T114*W_TREND+U114*W_AESTHETIC+V114*W_STYLE+W114*W_LIGHT+X114*W_REELS+Y114*W_GIFT+Z114*W_PRICEFIT+AA114*W_DEMAND+AB114*W_QUALITY)/5*100)</f>
        <v/>
      </c>
      <c r="AD114" s="23">
        <f>IF(P114="","",IF(P114&gt;HARD_REJECT_PRICE,"Reject",IF(P114&gt;MAX_PRICE,"Price Review",IF(AC114="","",IF(AND(AC114&gt;=BUY_THRESHOLD,OR(AB114&lt;=2,U114&lt;=2)),"Maybe",IF(AC114&gt;=BUY_THRESHOLD,"Buy",IF(AC114&gt;=MAYBE_THRESHOLD,"Maybe","Reject")))))))</f>
        <v/>
      </c>
      <c r="AE114" s="23" t="n"/>
      <c r="AF114" s="23" t="n"/>
      <c r="AG114" s="23" t="n"/>
      <c r="AH114" s="23" t="n"/>
      <c r="AI114" s="24" t="n"/>
      <c r="AJ114">
        <f>IF(AC114="",-9999-ROW()*0.0000001,AC114-ROW()*0.0000001)</f>
        <v/>
      </c>
      <c r="AK114">
        <f>IF(OR(AC114="",P114="",P114&gt;MAX_PRICE),-9999-ROW()*0.0000001,AC114-ROW()*0.0000001)</f>
        <v/>
      </c>
      <c r="AL114">
        <f>IF(AC114="",-9999-ROW()*0.0000001,X114*1000+AC114-ROW()*0.0000001)</f>
        <v/>
      </c>
      <c r="AM114">
        <f>IF(AC114="",-9999-ROW()*0.0000001,Y114*1000+AC114-ROW()*0.0000001)</f>
        <v/>
      </c>
      <c r="AN114">
        <f>IF(AND(OR(AD114="Maybe",AD114="Price Review"),AG114&lt;&gt;"Approved",AG114&lt;&gt;"Rejected"),IF(AC114="",0,AC114)-ROW()*0.0000001,-9999-ROW()*0.0000001)</f>
        <v/>
      </c>
      <c r="AO114" s="28" t="n"/>
      <c r="AP114" s="28" t="n"/>
      <c r="AQ114" s="29" t="n"/>
      <c r="AR114" s="29" t="n"/>
      <c r="AS114" s="23" t="n"/>
      <c r="AT114" s="29" t="n"/>
      <c r="AU114" s="29" t="n"/>
      <c r="AV114" s="29" t="n"/>
      <c r="AW114" s="25">
        <f>IF(OR(O114="",AV114=""),"",O114*AV114)</f>
        <v/>
      </c>
      <c r="AX114" s="23" t="n"/>
      <c r="AY114" s="23" t="n"/>
      <c r="AZ114" s="23" t="n"/>
      <c r="BA114" s="23" t="n"/>
      <c r="BB114" s="23" t="n"/>
      <c r="BC114" s="25" t="n"/>
      <c r="BD114" s="23" t="n"/>
      <c r="BE114" s="23">
        <f>IF(C114="","",IF(AND(ISNUMBER(P114),P114&gt;MAX_PRICE),"Price too high",IF(AND(ISNUMBER(AB114),AB114&lt;=2),"Quality risk",IF(AND(ISNUMBER(U114),U114&lt;=2),"Aesthetic mismatch",IF(AY114="High","Too fragile",IF(AND(ISNUMBER(R114),R114&lt;LOW_PROFIT_PCT),"Low profit",IF(AND(ISNUMBER(AT114),AT114&gt;MOQ_WARNING),"MOQ too high",IF(OR(AD114="Maybe",AD114="Price Review"),"Needs partner review",IF(AD114="Buy","Good candidate","")))))))))</f>
        <v/>
      </c>
      <c r="BF114" s="23" t="n"/>
      <c r="BG114" s="23" t="n"/>
      <c r="BH114" s="23" t="n"/>
      <c r="BI114" s="23" t="n"/>
      <c r="BJ114" s="23" t="n"/>
      <c r="BK114" s="23" t="n"/>
      <c r="BL114" s="23">
        <f>IF(C114="","",IF(AND(BG114="Yes",BH114="Yes",BI114="Yes",BJ114="Yes",BK114="Yes"),"Yes","No"))</f>
        <v/>
      </c>
      <c r="BM114" s="25" t="n"/>
      <c r="BN114" s="25" t="n"/>
      <c r="BO114" s="25">
        <f>IF(OR(BM114="",BN114=""),"",BM114+BN114)</f>
        <v/>
      </c>
      <c r="BP114" s="25" t="n"/>
      <c r="BQ114" s="25">
        <f>IF(OR(BP114="",BO114=""),"",BP114-BO114)</f>
        <v/>
      </c>
      <c r="BR114" s="26">
        <f>IF(OR(BP114="",BP114=0,BQ114=""),"",BQ114/BP114)</f>
        <v/>
      </c>
      <c r="BS114" s="24" t="n"/>
      <c r="BT114" s="29" t="n"/>
      <c r="BU114" s="29" t="n"/>
      <c r="BV114" s="23" t="n"/>
      <c r="BW114" s="23" t="n"/>
      <c r="BX114" s="29">
        <f>IF(OR(BT114="",BU114=""),"",BT114-BU114)</f>
        <v/>
      </c>
      <c r="BY114" s="23" t="n"/>
      <c r="BZ114" s="24" t="n"/>
      <c r="CA114" s="23" t="n"/>
      <c r="CB114" s="23" t="n"/>
    </row>
    <row r="115">
      <c r="A115" s="16">
        <f>IF(C115="","","AYN-"&amp;IFERROR(VLOOKUP(E115,CATEGORY_PREFIX_TABLE,2,FALSE),"OTH")&amp;"-"&amp;TEXT(ROW()-2,"0000"))</f>
        <v/>
      </c>
      <c r="B115" s="17" t="n"/>
      <c r="C115" s="16" t="n"/>
      <c r="D115" s="16" t="n"/>
      <c r="E115" s="16" t="n"/>
      <c r="F115" s="16" t="n"/>
      <c r="G115" s="16" t="n"/>
      <c r="H115" s="16" t="n"/>
      <c r="I115" s="16" t="n"/>
      <c r="J115" s="16" t="n"/>
      <c r="K115" s="18">
        <f>IF(I115="","",IF(J115="BDT",I115,IF(J115="USD",I115*USD_BDT,IF(J115="RMB",I115*RMB_BDT,""))))</f>
        <v/>
      </c>
      <c r="L115" s="18" t="n"/>
      <c r="M115" s="19" t="n"/>
      <c r="N115" s="18" t="n"/>
      <c r="O115" s="18">
        <f>IF(K115="","",K115+IFERROR(L115,0)+(K115*IF(M115="",CUSTOMS_PCT,M115))+IF(N115="",MISC_FEE,N115))</f>
        <v/>
      </c>
      <c r="P115" s="18">
        <f>IF(O115="","",ROUND(O115*(1+MARKUP_PCT),-1)-1)</f>
        <v/>
      </c>
      <c r="Q115" s="18">
        <f>IF(P115="","",P115-O115)</f>
        <v/>
      </c>
      <c r="R115" s="19">
        <f>IF(OR(P115="",P115=0),"",Q115/P115)</f>
        <v/>
      </c>
      <c r="S115" s="16" t="n"/>
      <c r="T115" s="16" t="n"/>
      <c r="U115" s="16" t="n"/>
      <c r="V115" s="16" t="n"/>
      <c r="W115" s="16" t="n"/>
      <c r="X115" s="16" t="n"/>
      <c r="Y115" s="16" t="n"/>
      <c r="Z115" s="16" t="n"/>
      <c r="AA115" s="16" t="n"/>
      <c r="AB115" s="16" t="n"/>
      <c r="AC115" s="20">
        <f>IF(COUNT(S115:AB115)&lt;10,"",(S115*W_FEMININE+T115*W_TREND+U115*W_AESTHETIC+V115*W_STYLE+W115*W_LIGHT+X115*W_REELS+Y115*W_GIFT+Z115*W_PRICEFIT+AA115*W_DEMAND+AB115*W_QUALITY)/5*100)</f>
        <v/>
      </c>
      <c r="AD115" s="16">
        <f>IF(P115="","",IF(P115&gt;HARD_REJECT_PRICE,"Reject",IF(P115&gt;MAX_PRICE,"Price Review",IF(AC115="","",IF(AND(AC115&gt;=BUY_THRESHOLD,OR(AB115&lt;=2,U115&lt;=2)),"Maybe",IF(AC115&gt;=BUY_THRESHOLD,"Buy",IF(AC115&gt;=MAYBE_THRESHOLD,"Maybe","Reject")))))))</f>
        <v/>
      </c>
      <c r="AE115" s="16" t="n"/>
      <c r="AF115" s="16" t="n"/>
      <c r="AG115" s="16" t="n"/>
      <c r="AH115" s="16" t="n"/>
      <c r="AI115" s="17" t="n"/>
      <c r="AJ115">
        <f>IF(AC115="",-9999-ROW()*0.0000001,AC115-ROW()*0.0000001)</f>
        <v/>
      </c>
      <c r="AK115">
        <f>IF(OR(AC115="",P115="",P115&gt;MAX_PRICE),-9999-ROW()*0.0000001,AC115-ROW()*0.0000001)</f>
        <v/>
      </c>
      <c r="AL115">
        <f>IF(AC115="",-9999-ROW()*0.0000001,X115*1000+AC115-ROW()*0.0000001)</f>
        <v/>
      </c>
      <c r="AM115">
        <f>IF(AC115="",-9999-ROW()*0.0000001,Y115*1000+AC115-ROW()*0.0000001)</f>
        <v/>
      </c>
      <c r="AN115">
        <f>IF(AND(OR(AD115="Maybe",AD115="Price Review"),AG115&lt;&gt;"Approved",AG115&lt;&gt;"Rejected"),IF(AC115="",0,AC115)-ROW()*0.0000001,-9999-ROW()*0.0000001)</f>
        <v/>
      </c>
      <c r="AO115" s="21" t="n"/>
      <c r="AP115" s="21" t="n"/>
      <c r="AQ115" s="22" t="n"/>
      <c r="AR115" s="22" t="n"/>
      <c r="AS115" s="16" t="n"/>
      <c r="AT115" s="22" t="n"/>
      <c r="AU115" s="22" t="n"/>
      <c r="AV115" s="22" t="n"/>
      <c r="AW115" s="18">
        <f>IF(OR(O115="",AV115=""),"",O115*AV115)</f>
        <v/>
      </c>
      <c r="AX115" s="16" t="n"/>
      <c r="AY115" s="16" t="n"/>
      <c r="AZ115" s="16" t="n"/>
      <c r="BA115" s="16" t="n"/>
      <c r="BB115" s="16" t="n"/>
      <c r="BC115" s="18" t="n"/>
      <c r="BD115" s="16" t="n"/>
      <c r="BE115" s="16">
        <f>IF(C115="","",IF(AND(ISNUMBER(P115),P115&gt;MAX_PRICE),"Price too high",IF(AND(ISNUMBER(AB115),AB115&lt;=2),"Quality risk",IF(AND(ISNUMBER(U115),U115&lt;=2),"Aesthetic mismatch",IF(AY115="High","Too fragile",IF(AND(ISNUMBER(R115),R115&lt;LOW_PROFIT_PCT),"Low profit",IF(AND(ISNUMBER(AT115),AT115&gt;MOQ_WARNING),"MOQ too high",IF(OR(AD115="Maybe",AD115="Price Review"),"Needs partner review",IF(AD115="Buy","Good candidate","")))))))))</f>
        <v/>
      </c>
      <c r="BF115" s="16" t="n"/>
      <c r="BG115" s="16" t="n"/>
      <c r="BH115" s="16" t="n"/>
      <c r="BI115" s="16" t="n"/>
      <c r="BJ115" s="16" t="n"/>
      <c r="BK115" s="16" t="n"/>
      <c r="BL115" s="16">
        <f>IF(C115="","",IF(AND(BG115="Yes",BH115="Yes",BI115="Yes",BJ115="Yes",BK115="Yes"),"Yes","No"))</f>
        <v/>
      </c>
      <c r="BM115" s="18" t="n"/>
      <c r="BN115" s="18" t="n"/>
      <c r="BO115" s="18">
        <f>IF(OR(BM115="",BN115=""),"",BM115+BN115)</f>
        <v/>
      </c>
      <c r="BP115" s="18" t="n"/>
      <c r="BQ115" s="18">
        <f>IF(OR(BP115="",BO115=""),"",BP115-BO115)</f>
        <v/>
      </c>
      <c r="BR115" s="19">
        <f>IF(OR(BP115="",BP115=0,BQ115=""),"",BQ115/BP115)</f>
        <v/>
      </c>
      <c r="BS115" s="17" t="n"/>
      <c r="BT115" s="22" t="n"/>
      <c r="BU115" s="22" t="n"/>
      <c r="BV115" s="16" t="n"/>
      <c r="BW115" s="16" t="n"/>
      <c r="BX115" s="22">
        <f>IF(OR(BT115="",BU115=""),"",BT115-BU115)</f>
        <v/>
      </c>
      <c r="BY115" s="16" t="n"/>
      <c r="BZ115" s="17" t="n"/>
      <c r="CA115" s="16" t="n"/>
      <c r="CB115" s="16" t="n"/>
    </row>
    <row r="116">
      <c r="A116" s="23">
        <f>IF(C116="","","AYN-"&amp;IFERROR(VLOOKUP(E116,CATEGORY_PREFIX_TABLE,2,FALSE),"OTH")&amp;"-"&amp;TEXT(ROW()-2,"0000"))</f>
        <v/>
      </c>
      <c r="B116" s="24" t="n"/>
      <c r="C116" s="23" t="n"/>
      <c r="D116" s="23" t="n"/>
      <c r="E116" s="23" t="n"/>
      <c r="F116" s="23" t="n"/>
      <c r="G116" s="23" t="n"/>
      <c r="H116" s="23" t="n"/>
      <c r="I116" s="23" t="n"/>
      <c r="J116" s="23" t="n"/>
      <c r="K116" s="25">
        <f>IF(I116="","",IF(J116="BDT",I116,IF(J116="USD",I116*USD_BDT,IF(J116="RMB",I116*RMB_BDT,""))))</f>
        <v/>
      </c>
      <c r="L116" s="25" t="n"/>
      <c r="M116" s="26" t="n"/>
      <c r="N116" s="25" t="n"/>
      <c r="O116" s="25">
        <f>IF(K116="","",K116+IFERROR(L116,0)+(K116*IF(M116="",CUSTOMS_PCT,M116))+IF(N116="",MISC_FEE,N116))</f>
        <v/>
      </c>
      <c r="P116" s="25">
        <f>IF(O116="","",ROUND(O116*(1+MARKUP_PCT),-1)-1)</f>
        <v/>
      </c>
      <c r="Q116" s="25">
        <f>IF(P116="","",P116-O116)</f>
        <v/>
      </c>
      <c r="R116" s="26">
        <f>IF(OR(P116="",P116=0),"",Q116/P116)</f>
        <v/>
      </c>
      <c r="S116" s="23" t="n"/>
      <c r="T116" s="23" t="n"/>
      <c r="U116" s="23" t="n"/>
      <c r="V116" s="23" t="n"/>
      <c r="W116" s="23" t="n"/>
      <c r="X116" s="23" t="n"/>
      <c r="Y116" s="23" t="n"/>
      <c r="Z116" s="23" t="n"/>
      <c r="AA116" s="23" t="n"/>
      <c r="AB116" s="23" t="n"/>
      <c r="AC116" s="27">
        <f>IF(COUNT(S116:AB116)&lt;10,"",(S116*W_FEMININE+T116*W_TREND+U116*W_AESTHETIC+V116*W_STYLE+W116*W_LIGHT+X116*W_REELS+Y116*W_GIFT+Z116*W_PRICEFIT+AA116*W_DEMAND+AB116*W_QUALITY)/5*100)</f>
        <v/>
      </c>
      <c r="AD116" s="23">
        <f>IF(P116="","",IF(P116&gt;HARD_REJECT_PRICE,"Reject",IF(P116&gt;MAX_PRICE,"Price Review",IF(AC116="","",IF(AND(AC116&gt;=BUY_THRESHOLD,OR(AB116&lt;=2,U116&lt;=2)),"Maybe",IF(AC116&gt;=BUY_THRESHOLD,"Buy",IF(AC116&gt;=MAYBE_THRESHOLD,"Maybe","Reject")))))))</f>
        <v/>
      </c>
      <c r="AE116" s="23" t="n"/>
      <c r="AF116" s="23" t="n"/>
      <c r="AG116" s="23" t="n"/>
      <c r="AH116" s="23" t="n"/>
      <c r="AI116" s="24" t="n"/>
      <c r="AJ116">
        <f>IF(AC116="",-9999-ROW()*0.0000001,AC116-ROW()*0.0000001)</f>
        <v/>
      </c>
      <c r="AK116">
        <f>IF(OR(AC116="",P116="",P116&gt;MAX_PRICE),-9999-ROW()*0.0000001,AC116-ROW()*0.0000001)</f>
        <v/>
      </c>
      <c r="AL116">
        <f>IF(AC116="",-9999-ROW()*0.0000001,X116*1000+AC116-ROW()*0.0000001)</f>
        <v/>
      </c>
      <c r="AM116">
        <f>IF(AC116="",-9999-ROW()*0.0000001,Y116*1000+AC116-ROW()*0.0000001)</f>
        <v/>
      </c>
      <c r="AN116">
        <f>IF(AND(OR(AD116="Maybe",AD116="Price Review"),AG116&lt;&gt;"Approved",AG116&lt;&gt;"Rejected"),IF(AC116="",0,AC116)-ROW()*0.0000001,-9999-ROW()*0.0000001)</f>
        <v/>
      </c>
      <c r="AO116" s="28" t="n"/>
      <c r="AP116" s="28" t="n"/>
      <c r="AQ116" s="29" t="n"/>
      <c r="AR116" s="29" t="n"/>
      <c r="AS116" s="23" t="n"/>
      <c r="AT116" s="29" t="n"/>
      <c r="AU116" s="29" t="n"/>
      <c r="AV116" s="29" t="n"/>
      <c r="AW116" s="25">
        <f>IF(OR(O116="",AV116=""),"",O116*AV116)</f>
        <v/>
      </c>
      <c r="AX116" s="23" t="n"/>
      <c r="AY116" s="23" t="n"/>
      <c r="AZ116" s="23" t="n"/>
      <c r="BA116" s="23" t="n"/>
      <c r="BB116" s="23" t="n"/>
      <c r="BC116" s="25" t="n"/>
      <c r="BD116" s="23" t="n"/>
      <c r="BE116" s="23">
        <f>IF(C116="","",IF(AND(ISNUMBER(P116),P116&gt;MAX_PRICE),"Price too high",IF(AND(ISNUMBER(AB116),AB116&lt;=2),"Quality risk",IF(AND(ISNUMBER(U116),U116&lt;=2),"Aesthetic mismatch",IF(AY116="High","Too fragile",IF(AND(ISNUMBER(R116),R116&lt;LOW_PROFIT_PCT),"Low profit",IF(AND(ISNUMBER(AT116),AT116&gt;MOQ_WARNING),"MOQ too high",IF(OR(AD116="Maybe",AD116="Price Review"),"Needs partner review",IF(AD116="Buy","Good candidate","")))))))))</f>
        <v/>
      </c>
      <c r="BF116" s="23" t="n"/>
      <c r="BG116" s="23" t="n"/>
      <c r="BH116" s="23" t="n"/>
      <c r="BI116" s="23" t="n"/>
      <c r="BJ116" s="23" t="n"/>
      <c r="BK116" s="23" t="n"/>
      <c r="BL116" s="23">
        <f>IF(C116="","",IF(AND(BG116="Yes",BH116="Yes",BI116="Yes",BJ116="Yes",BK116="Yes"),"Yes","No"))</f>
        <v/>
      </c>
      <c r="BM116" s="25" t="n"/>
      <c r="BN116" s="25" t="n"/>
      <c r="BO116" s="25">
        <f>IF(OR(BM116="",BN116=""),"",BM116+BN116)</f>
        <v/>
      </c>
      <c r="BP116" s="25" t="n"/>
      <c r="BQ116" s="25">
        <f>IF(OR(BP116="",BO116=""),"",BP116-BO116)</f>
        <v/>
      </c>
      <c r="BR116" s="26">
        <f>IF(OR(BP116="",BP116=0,BQ116=""),"",BQ116/BP116)</f>
        <v/>
      </c>
      <c r="BS116" s="24" t="n"/>
      <c r="BT116" s="29" t="n"/>
      <c r="BU116" s="29" t="n"/>
      <c r="BV116" s="23" t="n"/>
      <c r="BW116" s="23" t="n"/>
      <c r="BX116" s="29">
        <f>IF(OR(BT116="",BU116=""),"",BT116-BU116)</f>
        <v/>
      </c>
      <c r="BY116" s="23" t="n"/>
      <c r="BZ116" s="24" t="n"/>
      <c r="CA116" s="23" t="n"/>
      <c r="CB116" s="23" t="n"/>
    </row>
    <row r="117">
      <c r="A117" s="16">
        <f>IF(C117="","","AYN-"&amp;IFERROR(VLOOKUP(E117,CATEGORY_PREFIX_TABLE,2,FALSE),"OTH")&amp;"-"&amp;TEXT(ROW()-2,"0000"))</f>
        <v/>
      </c>
      <c r="B117" s="17" t="n"/>
      <c r="C117" s="16" t="n"/>
      <c r="D117" s="16" t="n"/>
      <c r="E117" s="16" t="n"/>
      <c r="F117" s="16" t="n"/>
      <c r="G117" s="16" t="n"/>
      <c r="H117" s="16" t="n"/>
      <c r="I117" s="16" t="n"/>
      <c r="J117" s="16" t="n"/>
      <c r="K117" s="18">
        <f>IF(I117="","",IF(J117="BDT",I117,IF(J117="USD",I117*USD_BDT,IF(J117="RMB",I117*RMB_BDT,""))))</f>
        <v/>
      </c>
      <c r="L117" s="18" t="n"/>
      <c r="M117" s="19" t="n"/>
      <c r="N117" s="18" t="n"/>
      <c r="O117" s="18">
        <f>IF(K117="","",K117+IFERROR(L117,0)+(K117*IF(M117="",CUSTOMS_PCT,M117))+IF(N117="",MISC_FEE,N117))</f>
        <v/>
      </c>
      <c r="P117" s="18">
        <f>IF(O117="","",ROUND(O117*(1+MARKUP_PCT),-1)-1)</f>
        <v/>
      </c>
      <c r="Q117" s="18">
        <f>IF(P117="","",P117-O117)</f>
        <v/>
      </c>
      <c r="R117" s="19">
        <f>IF(OR(P117="",P117=0),"",Q117/P117)</f>
        <v/>
      </c>
      <c r="S117" s="16" t="n"/>
      <c r="T117" s="16" t="n"/>
      <c r="U117" s="16" t="n"/>
      <c r="V117" s="16" t="n"/>
      <c r="W117" s="16" t="n"/>
      <c r="X117" s="16" t="n"/>
      <c r="Y117" s="16" t="n"/>
      <c r="Z117" s="16" t="n"/>
      <c r="AA117" s="16" t="n"/>
      <c r="AB117" s="16" t="n"/>
      <c r="AC117" s="20">
        <f>IF(COUNT(S117:AB117)&lt;10,"",(S117*W_FEMININE+T117*W_TREND+U117*W_AESTHETIC+V117*W_STYLE+W117*W_LIGHT+X117*W_REELS+Y117*W_GIFT+Z117*W_PRICEFIT+AA117*W_DEMAND+AB117*W_QUALITY)/5*100)</f>
        <v/>
      </c>
      <c r="AD117" s="16">
        <f>IF(P117="","",IF(P117&gt;HARD_REJECT_PRICE,"Reject",IF(P117&gt;MAX_PRICE,"Price Review",IF(AC117="","",IF(AND(AC117&gt;=BUY_THRESHOLD,OR(AB117&lt;=2,U117&lt;=2)),"Maybe",IF(AC117&gt;=BUY_THRESHOLD,"Buy",IF(AC117&gt;=MAYBE_THRESHOLD,"Maybe","Reject")))))))</f>
        <v/>
      </c>
      <c r="AE117" s="16" t="n"/>
      <c r="AF117" s="16" t="n"/>
      <c r="AG117" s="16" t="n"/>
      <c r="AH117" s="16" t="n"/>
      <c r="AI117" s="17" t="n"/>
      <c r="AJ117">
        <f>IF(AC117="",-9999-ROW()*0.0000001,AC117-ROW()*0.0000001)</f>
        <v/>
      </c>
      <c r="AK117">
        <f>IF(OR(AC117="",P117="",P117&gt;MAX_PRICE),-9999-ROW()*0.0000001,AC117-ROW()*0.0000001)</f>
        <v/>
      </c>
      <c r="AL117">
        <f>IF(AC117="",-9999-ROW()*0.0000001,X117*1000+AC117-ROW()*0.0000001)</f>
        <v/>
      </c>
      <c r="AM117">
        <f>IF(AC117="",-9999-ROW()*0.0000001,Y117*1000+AC117-ROW()*0.0000001)</f>
        <v/>
      </c>
      <c r="AN117">
        <f>IF(AND(OR(AD117="Maybe",AD117="Price Review"),AG117&lt;&gt;"Approved",AG117&lt;&gt;"Rejected"),IF(AC117="",0,AC117)-ROW()*0.0000001,-9999-ROW()*0.0000001)</f>
        <v/>
      </c>
      <c r="AO117" s="21" t="n"/>
      <c r="AP117" s="21" t="n"/>
      <c r="AQ117" s="22" t="n"/>
      <c r="AR117" s="22" t="n"/>
      <c r="AS117" s="16" t="n"/>
      <c r="AT117" s="22" t="n"/>
      <c r="AU117" s="22" t="n"/>
      <c r="AV117" s="22" t="n"/>
      <c r="AW117" s="18">
        <f>IF(OR(O117="",AV117=""),"",O117*AV117)</f>
        <v/>
      </c>
      <c r="AX117" s="16" t="n"/>
      <c r="AY117" s="16" t="n"/>
      <c r="AZ117" s="16" t="n"/>
      <c r="BA117" s="16" t="n"/>
      <c r="BB117" s="16" t="n"/>
      <c r="BC117" s="18" t="n"/>
      <c r="BD117" s="16" t="n"/>
      <c r="BE117" s="16">
        <f>IF(C117="","",IF(AND(ISNUMBER(P117),P117&gt;MAX_PRICE),"Price too high",IF(AND(ISNUMBER(AB117),AB117&lt;=2),"Quality risk",IF(AND(ISNUMBER(U117),U117&lt;=2),"Aesthetic mismatch",IF(AY117="High","Too fragile",IF(AND(ISNUMBER(R117),R117&lt;LOW_PROFIT_PCT),"Low profit",IF(AND(ISNUMBER(AT117),AT117&gt;MOQ_WARNING),"MOQ too high",IF(OR(AD117="Maybe",AD117="Price Review"),"Needs partner review",IF(AD117="Buy","Good candidate","")))))))))</f>
        <v/>
      </c>
      <c r="BF117" s="16" t="n"/>
      <c r="BG117" s="16" t="n"/>
      <c r="BH117" s="16" t="n"/>
      <c r="BI117" s="16" t="n"/>
      <c r="BJ117" s="16" t="n"/>
      <c r="BK117" s="16" t="n"/>
      <c r="BL117" s="16">
        <f>IF(C117="","",IF(AND(BG117="Yes",BH117="Yes",BI117="Yes",BJ117="Yes",BK117="Yes"),"Yes","No"))</f>
        <v/>
      </c>
      <c r="BM117" s="18" t="n"/>
      <c r="BN117" s="18" t="n"/>
      <c r="BO117" s="18">
        <f>IF(OR(BM117="",BN117=""),"",BM117+BN117)</f>
        <v/>
      </c>
      <c r="BP117" s="18" t="n"/>
      <c r="BQ117" s="18">
        <f>IF(OR(BP117="",BO117=""),"",BP117-BO117)</f>
        <v/>
      </c>
      <c r="BR117" s="19">
        <f>IF(OR(BP117="",BP117=0,BQ117=""),"",BQ117/BP117)</f>
        <v/>
      </c>
      <c r="BS117" s="17" t="n"/>
      <c r="BT117" s="22" t="n"/>
      <c r="BU117" s="22" t="n"/>
      <c r="BV117" s="16" t="n"/>
      <c r="BW117" s="16" t="n"/>
      <c r="BX117" s="22">
        <f>IF(OR(BT117="",BU117=""),"",BT117-BU117)</f>
        <v/>
      </c>
      <c r="BY117" s="16" t="n"/>
      <c r="BZ117" s="17" t="n"/>
      <c r="CA117" s="16" t="n"/>
      <c r="CB117" s="16" t="n"/>
    </row>
    <row r="118">
      <c r="A118" s="23">
        <f>IF(C118="","","AYN-"&amp;IFERROR(VLOOKUP(E118,CATEGORY_PREFIX_TABLE,2,FALSE),"OTH")&amp;"-"&amp;TEXT(ROW()-2,"0000"))</f>
        <v/>
      </c>
      <c r="B118" s="24" t="n"/>
      <c r="C118" s="23" t="n"/>
      <c r="D118" s="23" t="n"/>
      <c r="E118" s="23" t="n"/>
      <c r="F118" s="23" t="n"/>
      <c r="G118" s="23" t="n"/>
      <c r="H118" s="23" t="n"/>
      <c r="I118" s="23" t="n"/>
      <c r="J118" s="23" t="n"/>
      <c r="K118" s="25">
        <f>IF(I118="","",IF(J118="BDT",I118,IF(J118="USD",I118*USD_BDT,IF(J118="RMB",I118*RMB_BDT,""))))</f>
        <v/>
      </c>
      <c r="L118" s="25" t="n"/>
      <c r="M118" s="26" t="n"/>
      <c r="N118" s="25" t="n"/>
      <c r="O118" s="25">
        <f>IF(K118="","",K118+IFERROR(L118,0)+(K118*IF(M118="",CUSTOMS_PCT,M118))+IF(N118="",MISC_FEE,N118))</f>
        <v/>
      </c>
      <c r="P118" s="25">
        <f>IF(O118="","",ROUND(O118*(1+MARKUP_PCT),-1)-1)</f>
        <v/>
      </c>
      <c r="Q118" s="25">
        <f>IF(P118="","",P118-O118)</f>
        <v/>
      </c>
      <c r="R118" s="26">
        <f>IF(OR(P118="",P118=0),"",Q118/P118)</f>
        <v/>
      </c>
      <c r="S118" s="23" t="n"/>
      <c r="T118" s="23" t="n"/>
      <c r="U118" s="23" t="n"/>
      <c r="V118" s="23" t="n"/>
      <c r="W118" s="23" t="n"/>
      <c r="X118" s="23" t="n"/>
      <c r="Y118" s="23" t="n"/>
      <c r="Z118" s="23" t="n"/>
      <c r="AA118" s="23" t="n"/>
      <c r="AB118" s="23" t="n"/>
      <c r="AC118" s="27">
        <f>IF(COUNT(S118:AB118)&lt;10,"",(S118*W_FEMININE+T118*W_TREND+U118*W_AESTHETIC+V118*W_STYLE+W118*W_LIGHT+X118*W_REELS+Y118*W_GIFT+Z118*W_PRICEFIT+AA118*W_DEMAND+AB118*W_QUALITY)/5*100)</f>
        <v/>
      </c>
      <c r="AD118" s="23">
        <f>IF(P118="","",IF(P118&gt;HARD_REJECT_PRICE,"Reject",IF(P118&gt;MAX_PRICE,"Price Review",IF(AC118="","",IF(AND(AC118&gt;=BUY_THRESHOLD,OR(AB118&lt;=2,U118&lt;=2)),"Maybe",IF(AC118&gt;=BUY_THRESHOLD,"Buy",IF(AC118&gt;=MAYBE_THRESHOLD,"Maybe","Reject")))))))</f>
        <v/>
      </c>
      <c r="AE118" s="23" t="n"/>
      <c r="AF118" s="23" t="n"/>
      <c r="AG118" s="23" t="n"/>
      <c r="AH118" s="23" t="n"/>
      <c r="AI118" s="24" t="n"/>
      <c r="AJ118">
        <f>IF(AC118="",-9999-ROW()*0.0000001,AC118-ROW()*0.0000001)</f>
        <v/>
      </c>
      <c r="AK118">
        <f>IF(OR(AC118="",P118="",P118&gt;MAX_PRICE),-9999-ROW()*0.0000001,AC118-ROW()*0.0000001)</f>
        <v/>
      </c>
      <c r="AL118">
        <f>IF(AC118="",-9999-ROW()*0.0000001,X118*1000+AC118-ROW()*0.0000001)</f>
        <v/>
      </c>
      <c r="AM118">
        <f>IF(AC118="",-9999-ROW()*0.0000001,Y118*1000+AC118-ROW()*0.0000001)</f>
        <v/>
      </c>
      <c r="AN118">
        <f>IF(AND(OR(AD118="Maybe",AD118="Price Review"),AG118&lt;&gt;"Approved",AG118&lt;&gt;"Rejected"),IF(AC118="",0,AC118)-ROW()*0.0000001,-9999-ROW()*0.0000001)</f>
        <v/>
      </c>
      <c r="AO118" s="28" t="n"/>
      <c r="AP118" s="28" t="n"/>
      <c r="AQ118" s="29" t="n"/>
      <c r="AR118" s="29" t="n"/>
      <c r="AS118" s="23" t="n"/>
      <c r="AT118" s="29" t="n"/>
      <c r="AU118" s="29" t="n"/>
      <c r="AV118" s="29" t="n"/>
      <c r="AW118" s="25">
        <f>IF(OR(O118="",AV118=""),"",O118*AV118)</f>
        <v/>
      </c>
      <c r="AX118" s="23" t="n"/>
      <c r="AY118" s="23" t="n"/>
      <c r="AZ118" s="23" t="n"/>
      <c r="BA118" s="23" t="n"/>
      <c r="BB118" s="23" t="n"/>
      <c r="BC118" s="25" t="n"/>
      <c r="BD118" s="23" t="n"/>
      <c r="BE118" s="23">
        <f>IF(C118="","",IF(AND(ISNUMBER(P118),P118&gt;MAX_PRICE),"Price too high",IF(AND(ISNUMBER(AB118),AB118&lt;=2),"Quality risk",IF(AND(ISNUMBER(U118),U118&lt;=2),"Aesthetic mismatch",IF(AY118="High","Too fragile",IF(AND(ISNUMBER(R118),R118&lt;LOW_PROFIT_PCT),"Low profit",IF(AND(ISNUMBER(AT118),AT118&gt;MOQ_WARNING),"MOQ too high",IF(OR(AD118="Maybe",AD118="Price Review"),"Needs partner review",IF(AD118="Buy","Good candidate","")))))))))</f>
        <v/>
      </c>
      <c r="BF118" s="23" t="n"/>
      <c r="BG118" s="23" t="n"/>
      <c r="BH118" s="23" t="n"/>
      <c r="BI118" s="23" t="n"/>
      <c r="BJ118" s="23" t="n"/>
      <c r="BK118" s="23" t="n"/>
      <c r="BL118" s="23">
        <f>IF(C118="","",IF(AND(BG118="Yes",BH118="Yes",BI118="Yes",BJ118="Yes",BK118="Yes"),"Yes","No"))</f>
        <v/>
      </c>
      <c r="BM118" s="25" t="n"/>
      <c r="BN118" s="25" t="n"/>
      <c r="BO118" s="25">
        <f>IF(OR(BM118="",BN118=""),"",BM118+BN118)</f>
        <v/>
      </c>
      <c r="BP118" s="25" t="n"/>
      <c r="BQ118" s="25">
        <f>IF(OR(BP118="",BO118=""),"",BP118-BO118)</f>
        <v/>
      </c>
      <c r="BR118" s="26">
        <f>IF(OR(BP118="",BP118=0,BQ118=""),"",BQ118/BP118)</f>
        <v/>
      </c>
      <c r="BS118" s="24" t="n"/>
      <c r="BT118" s="29" t="n"/>
      <c r="BU118" s="29" t="n"/>
      <c r="BV118" s="23" t="n"/>
      <c r="BW118" s="23" t="n"/>
      <c r="BX118" s="29">
        <f>IF(OR(BT118="",BU118=""),"",BT118-BU118)</f>
        <v/>
      </c>
      <c r="BY118" s="23" t="n"/>
      <c r="BZ118" s="24" t="n"/>
      <c r="CA118" s="23" t="n"/>
      <c r="CB118" s="23" t="n"/>
    </row>
    <row r="119">
      <c r="A119" s="16">
        <f>IF(C119="","","AYN-"&amp;IFERROR(VLOOKUP(E119,CATEGORY_PREFIX_TABLE,2,FALSE),"OTH")&amp;"-"&amp;TEXT(ROW()-2,"0000"))</f>
        <v/>
      </c>
      <c r="B119" s="17" t="n"/>
      <c r="C119" s="16" t="n"/>
      <c r="D119" s="16" t="n"/>
      <c r="E119" s="16" t="n"/>
      <c r="F119" s="16" t="n"/>
      <c r="G119" s="16" t="n"/>
      <c r="H119" s="16" t="n"/>
      <c r="I119" s="16" t="n"/>
      <c r="J119" s="16" t="n"/>
      <c r="K119" s="18">
        <f>IF(I119="","",IF(J119="BDT",I119,IF(J119="USD",I119*USD_BDT,IF(J119="RMB",I119*RMB_BDT,""))))</f>
        <v/>
      </c>
      <c r="L119" s="18" t="n"/>
      <c r="M119" s="19" t="n"/>
      <c r="N119" s="18" t="n"/>
      <c r="O119" s="18">
        <f>IF(K119="","",K119+IFERROR(L119,0)+(K119*IF(M119="",CUSTOMS_PCT,M119))+IF(N119="",MISC_FEE,N119))</f>
        <v/>
      </c>
      <c r="P119" s="18">
        <f>IF(O119="","",ROUND(O119*(1+MARKUP_PCT),-1)-1)</f>
        <v/>
      </c>
      <c r="Q119" s="18">
        <f>IF(P119="","",P119-O119)</f>
        <v/>
      </c>
      <c r="R119" s="19">
        <f>IF(OR(P119="",P119=0),"",Q119/P119)</f>
        <v/>
      </c>
      <c r="S119" s="16" t="n"/>
      <c r="T119" s="16" t="n"/>
      <c r="U119" s="16" t="n"/>
      <c r="V119" s="16" t="n"/>
      <c r="W119" s="16" t="n"/>
      <c r="X119" s="16" t="n"/>
      <c r="Y119" s="16" t="n"/>
      <c r="Z119" s="16" t="n"/>
      <c r="AA119" s="16" t="n"/>
      <c r="AB119" s="16" t="n"/>
      <c r="AC119" s="20">
        <f>IF(COUNT(S119:AB119)&lt;10,"",(S119*W_FEMININE+T119*W_TREND+U119*W_AESTHETIC+V119*W_STYLE+W119*W_LIGHT+X119*W_REELS+Y119*W_GIFT+Z119*W_PRICEFIT+AA119*W_DEMAND+AB119*W_QUALITY)/5*100)</f>
        <v/>
      </c>
      <c r="AD119" s="16">
        <f>IF(P119="","",IF(P119&gt;HARD_REJECT_PRICE,"Reject",IF(P119&gt;MAX_PRICE,"Price Review",IF(AC119="","",IF(AND(AC119&gt;=BUY_THRESHOLD,OR(AB119&lt;=2,U119&lt;=2)),"Maybe",IF(AC119&gt;=BUY_THRESHOLD,"Buy",IF(AC119&gt;=MAYBE_THRESHOLD,"Maybe","Reject")))))))</f>
        <v/>
      </c>
      <c r="AE119" s="16" t="n"/>
      <c r="AF119" s="16" t="n"/>
      <c r="AG119" s="16" t="n"/>
      <c r="AH119" s="16" t="n"/>
      <c r="AI119" s="17" t="n"/>
      <c r="AJ119">
        <f>IF(AC119="",-9999-ROW()*0.0000001,AC119-ROW()*0.0000001)</f>
        <v/>
      </c>
      <c r="AK119">
        <f>IF(OR(AC119="",P119="",P119&gt;MAX_PRICE),-9999-ROW()*0.0000001,AC119-ROW()*0.0000001)</f>
        <v/>
      </c>
      <c r="AL119">
        <f>IF(AC119="",-9999-ROW()*0.0000001,X119*1000+AC119-ROW()*0.0000001)</f>
        <v/>
      </c>
      <c r="AM119">
        <f>IF(AC119="",-9999-ROW()*0.0000001,Y119*1000+AC119-ROW()*0.0000001)</f>
        <v/>
      </c>
      <c r="AN119">
        <f>IF(AND(OR(AD119="Maybe",AD119="Price Review"),AG119&lt;&gt;"Approved",AG119&lt;&gt;"Rejected"),IF(AC119="",0,AC119)-ROW()*0.0000001,-9999-ROW()*0.0000001)</f>
        <v/>
      </c>
      <c r="AO119" s="21" t="n"/>
      <c r="AP119" s="21" t="n"/>
      <c r="AQ119" s="22" t="n"/>
      <c r="AR119" s="22" t="n"/>
      <c r="AS119" s="16" t="n"/>
      <c r="AT119" s="22" t="n"/>
      <c r="AU119" s="22" t="n"/>
      <c r="AV119" s="22" t="n"/>
      <c r="AW119" s="18">
        <f>IF(OR(O119="",AV119=""),"",O119*AV119)</f>
        <v/>
      </c>
      <c r="AX119" s="16" t="n"/>
      <c r="AY119" s="16" t="n"/>
      <c r="AZ119" s="16" t="n"/>
      <c r="BA119" s="16" t="n"/>
      <c r="BB119" s="16" t="n"/>
      <c r="BC119" s="18" t="n"/>
      <c r="BD119" s="16" t="n"/>
      <c r="BE119" s="16">
        <f>IF(C119="","",IF(AND(ISNUMBER(P119),P119&gt;MAX_PRICE),"Price too high",IF(AND(ISNUMBER(AB119),AB119&lt;=2),"Quality risk",IF(AND(ISNUMBER(U119),U119&lt;=2),"Aesthetic mismatch",IF(AY119="High","Too fragile",IF(AND(ISNUMBER(R119),R119&lt;LOW_PROFIT_PCT),"Low profit",IF(AND(ISNUMBER(AT119),AT119&gt;MOQ_WARNING),"MOQ too high",IF(OR(AD119="Maybe",AD119="Price Review"),"Needs partner review",IF(AD119="Buy","Good candidate","")))))))))</f>
        <v/>
      </c>
      <c r="BF119" s="16" t="n"/>
      <c r="BG119" s="16" t="n"/>
      <c r="BH119" s="16" t="n"/>
      <c r="BI119" s="16" t="n"/>
      <c r="BJ119" s="16" t="n"/>
      <c r="BK119" s="16" t="n"/>
      <c r="BL119" s="16">
        <f>IF(C119="","",IF(AND(BG119="Yes",BH119="Yes",BI119="Yes",BJ119="Yes",BK119="Yes"),"Yes","No"))</f>
        <v/>
      </c>
      <c r="BM119" s="18" t="n"/>
      <c r="BN119" s="18" t="n"/>
      <c r="BO119" s="18">
        <f>IF(OR(BM119="",BN119=""),"",BM119+BN119)</f>
        <v/>
      </c>
      <c r="BP119" s="18" t="n"/>
      <c r="BQ119" s="18">
        <f>IF(OR(BP119="",BO119=""),"",BP119-BO119)</f>
        <v/>
      </c>
      <c r="BR119" s="19">
        <f>IF(OR(BP119="",BP119=0,BQ119=""),"",BQ119/BP119)</f>
        <v/>
      </c>
      <c r="BS119" s="17" t="n"/>
      <c r="BT119" s="22" t="n"/>
      <c r="BU119" s="22" t="n"/>
      <c r="BV119" s="16" t="n"/>
      <c r="BW119" s="16" t="n"/>
      <c r="BX119" s="22">
        <f>IF(OR(BT119="",BU119=""),"",BT119-BU119)</f>
        <v/>
      </c>
      <c r="BY119" s="16" t="n"/>
      <c r="BZ119" s="17" t="n"/>
      <c r="CA119" s="16" t="n"/>
      <c r="CB119" s="16" t="n"/>
    </row>
    <row r="120">
      <c r="A120" s="23">
        <f>IF(C120="","","AYN-"&amp;IFERROR(VLOOKUP(E120,CATEGORY_PREFIX_TABLE,2,FALSE),"OTH")&amp;"-"&amp;TEXT(ROW()-2,"0000"))</f>
        <v/>
      </c>
      <c r="B120" s="24" t="n"/>
      <c r="C120" s="23" t="n"/>
      <c r="D120" s="23" t="n"/>
      <c r="E120" s="23" t="n"/>
      <c r="F120" s="23" t="n"/>
      <c r="G120" s="23" t="n"/>
      <c r="H120" s="23" t="n"/>
      <c r="I120" s="23" t="n"/>
      <c r="J120" s="23" t="n"/>
      <c r="K120" s="25">
        <f>IF(I120="","",IF(J120="BDT",I120,IF(J120="USD",I120*USD_BDT,IF(J120="RMB",I120*RMB_BDT,""))))</f>
        <v/>
      </c>
      <c r="L120" s="25" t="n"/>
      <c r="M120" s="26" t="n"/>
      <c r="N120" s="25" t="n"/>
      <c r="O120" s="25">
        <f>IF(K120="","",K120+IFERROR(L120,0)+(K120*IF(M120="",CUSTOMS_PCT,M120))+IF(N120="",MISC_FEE,N120))</f>
        <v/>
      </c>
      <c r="P120" s="25">
        <f>IF(O120="","",ROUND(O120*(1+MARKUP_PCT),-1)-1)</f>
        <v/>
      </c>
      <c r="Q120" s="25">
        <f>IF(P120="","",P120-O120)</f>
        <v/>
      </c>
      <c r="R120" s="26">
        <f>IF(OR(P120="",P120=0),"",Q120/P120)</f>
        <v/>
      </c>
      <c r="S120" s="23" t="n"/>
      <c r="T120" s="23" t="n"/>
      <c r="U120" s="23" t="n"/>
      <c r="V120" s="23" t="n"/>
      <c r="W120" s="23" t="n"/>
      <c r="X120" s="23" t="n"/>
      <c r="Y120" s="23" t="n"/>
      <c r="Z120" s="23" t="n"/>
      <c r="AA120" s="23" t="n"/>
      <c r="AB120" s="23" t="n"/>
      <c r="AC120" s="27">
        <f>IF(COUNT(S120:AB120)&lt;10,"",(S120*W_FEMININE+T120*W_TREND+U120*W_AESTHETIC+V120*W_STYLE+W120*W_LIGHT+X120*W_REELS+Y120*W_GIFT+Z120*W_PRICEFIT+AA120*W_DEMAND+AB120*W_QUALITY)/5*100)</f>
        <v/>
      </c>
      <c r="AD120" s="23">
        <f>IF(P120="","",IF(P120&gt;HARD_REJECT_PRICE,"Reject",IF(P120&gt;MAX_PRICE,"Price Review",IF(AC120="","",IF(AND(AC120&gt;=BUY_THRESHOLD,OR(AB120&lt;=2,U120&lt;=2)),"Maybe",IF(AC120&gt;=BUY_THRESHOLD,"Buy",IF(AC120&gt;=MAYBE_THRESHOLD,"Maybe","Reject")))))))</f>
        <v/>
      </c>
      <c r="AE120" s="23" t="n"/>
      <c r="AF120" s="23" t="n"/>
      <c r="AG120" s="23" t="n"/>
      <c r="AH120" s="23" t="n"/>
      <c r="AI120" s="24" t="n"/>
      <c r="AJ120">
        <f>IF(AC120="",-9999-ROW()*0.0000001,AC120-ROW()*0.0000001)</f>
        <v/>
      </c>
      <c r="AK120">
        <f>IF(OR(AC120="",P120="",P120&gt;MAX_PRICE),-9999-ROW()*0.0000001,AC120-ROW()*0.0000001)</f>
        <v/>
      </c>
      <c r="AL120">
        <f>IF(AC120="",-9999-ROW()*0.0000001,X120*1000+AC120-ROW()*0.0000001)</f>
        <v/>
      </c>
      <c r="AM120">
        <f>IF(AC120="",-9999-ROW()*0.0000001,Y120*1000+AC120-ROW()*0.0000001)</f>
        <v/>
      </c>
      <c r="AN120">
        <f>IF(AND(OR(AD120="Maybe",AD120="Price Review"),AG120&lt;&gt;"Approved",AG120&lt;&gt;"Rejected"),IF(AC120="",0,AC120)-ROW()*0.0000001,-9999-ROW()*0.0000001)</f>
        <v/>
      </c>
      <c r="AO120" s="28" t="n"/>
      <c r="AP120" s="28" t="n"/>
      <c r="AQ120" s="29" t="n"/>
      <c r="AR120" s="29" t="n"/>
      <c r="AS120" s="23" t="n"/>
      <c r="AT120" s="29" t="n"/>
      <c r="AU120" s="29" t="n"/>
      <c r="AV120" s="29" t="n"/>
      <c r="AW120" s="25">
        <f>IF(OR(O120="",AV120=""),"",O120*AV120)</f>
        <v/>
      </c>
      <c r="AX120" s="23" t="n"/>
      <c r="AY120" s="23" t="n"/>
      <c r="AZ120" s="23" t="n"/>
      <c r="BA120" s="23" t="n"/>
      <c r="BB120" s="23" t="n"/>
      <c r="BC120" s="25" t="n"/>
      <c r="BD120" s="23" t="n"/>
      <c r="BE120" s="23">
        <f>IF(C120="","",IF(AND(ISNUMBER(P120),P120&gt;MAX_PRICE),"Price too high",IF(AND(ISNUMBER(AB120),AB120&lt;=2),"Quality risk",IF(AND(ISNUMBER(U120),U120&lt;=2),"Aesthetic mismatch",IF(AY120="High","Too fragile",IF(AND(ISNUMBER(R120),R120&lt;LOW_PROFIT_PCT),"Low profit",IF(AND(ISNUMBER(AT120),AT120&gt;MOQ_WARNING),"MOQ too high",IF(OR(AD120="Maybe",AD120="Price Review"),"Needs partner review",IF(AD120="Buy","Good candidate","")))))))))</f>
        <v/>
      </c>
      <c r="BF120" s="23" t="n"/>
      <c r="BG120" s="23" t="n"/>
      <c r="BH120" s="23" t="n"/>
      <c r="BI120" s="23" t="n"/>
      <c r="BJ120" s="23" t="n"/>
      <c r="BK120" s="23" t="n"/>
      <c r="BL120" s="23">
        <f>IF(C120="","",IF(AND(BG120="Yes",BH120="Yes",BI120="Yes",BJ120="Yes",BK120="Yes"),"Yes","No"))</f>
        <v/>
      </c>
      <c r="BM120" s="25" t="n"/>
      <c r="BN120" s="25" t="n"/>
      <c r="BO120" s="25">
        <f>IF(OR(BM120="",BN120=""),"",BM120+BN120)</f>
        <v/>
      </c>
      <c r="BP120" s="25" t="n"/>
      <c r="BQ120" s="25">
        <f>IF(OR(BP120="",BO120=""),"",BP120-BO120)</f>
        <v/>
      </c>
      <c r="BR120" s="26">
        <f>IF(OR(BP120="",BP120=0,BQ120=""),"",BQ120/BP120)</f>
        <v/>
      </c>
      <c r="BS120" s="24" t="n"/>
      <c r="BT120" s="29" t="n"/>
      <c r="BU120" s="29" t="n"/>
      <c r="BV120" s="23" t="n"/>
      <c r="BW120" s="23" t="n"/>
      <c r="BX120" s="29">
        <f>IF(OR(BT120="",BU120=""),"",BT120-BU120)</f>
        <v/>
      </c>
      <c r="BY120" s="23" t="n"/>
      <c r="BZ120" s="24" t="n"/>
      <c r="CA120" s="23" t="n"/>
      <c r="CB120" s="23" t="n"/>
    </row>
    <row r="121">
      <c r="A121" s="16">
        <f>IF(C121="","","AYN-"&amp;IFERROR(VLOOKUP(E121,CATEGORY_PREFIX_TABLE,2,FALSE),"OTH")&amp;"-"&amp;TEXT(ROW()-2,"0000"))</f>
        <v/>
      </c>
      <c r="B121" s="17" t="n"/>
      <c r="C121" s="16" t="n"/>
      <c r="D121" s="16" t="n"/>
      <c r="E121" s="16" t="n"/>
      <c r="F121" s="16" t="n"/>
      <c r="G121" s="16" t="n"/>
      <c r="H121" s="16" t="n"/>
      <c r="I121" s="16" t="n"/>
      <c r="J121" s="16" t="n"/>
      <c r="K121" s="18">
        <f>IF(I121="","",IF(J121="BDT",I121,IF(J121="USD",I121*USD_BDT,IF(J121="RMB",I121*RMB_BDT,""))))</f>
        <v/>
      </c>
      <c r="L121" s="18" t="n"/>
      <c r="M121" s="19" t="n"/>
      <c r="N121" s="18" t="n"/>
      <c r="O121" s="18">
        <f>IF(K121="","",K121+IFERROR(L121,0)+(K121*IF(M121="",CUSTOMS_PCT,M121))+IF(N121="",MISC_FEE,N121))</f>
        <v/>
      </c>
      <c r="P121" s="18">
        <f>IF(O121="","",ROUND(O121*(1+MARKUP_PCT),-1)-1)</f>
        <v/>
      </c>
      <c r="Q121" s="18">
        <f>IF(P121="","",P121-O121)</f>
        <v/>
      </c>
      <c r="R121" s="19">
        <f>IF(OR(P121="",P121=0),"",Q121/P121)</f>
        <v/>
      </c>
      <c r="S121" s="16" t="n"/>
      <c r="T121" s="16" t="n"/>
      <c r="U121" s="16" t="n"/>
      <c r="V121" s="16" t="n"/>
      <c r="W121" s="16" t="n"/>
      <c r="X121" s="16" t="n"/>
      <c r="Y121" s="16" t="n"/>
      <c r="Z121" s="16" t="n"/>
      <c r="AA121" s="16" t="n"/>
      <c r="AB121" s="16" t="n"/>
      <c r="AC121" s="20">
        <f>IF(COUNT(S121:AB121)&lt;10,"",(S121*W_FEMININE+T121*W_TREND+U121*W_AESTHETIC+V121*W_STYLE+W121*W_LIGHT+X121*W_REELS+Y121*W_GIFT+Z121*W_PRICEFIT+AA121*W_DEMAND+AB121*W_QUALITY)/5*100)</f>
        <v/>
      </c>
      <c r="AD121" s="16">
        <f>IF(P121="","",IF(P121&gt;HARD_REJECT_PRICE,"Reject",IF(P121&gt;MAX_PRICE,"Price Review",IF(AC121="","",IF(AND(AC121&gt;=BUY_THRESHOLD,OR(AB121&lt;=2,U121&lt;=2)),"Maybe",IF(AC121&gt;=BUY_THRESHOLD,"Buy",IF(AC121&gt;=MAYBE_THRESHOLD,"Maybe","Reject")))))))</f>
        <v/>
      </c>
      <c r="AE121" s="16" t="n"/>
      <c r="AF121" s="16" t="n"/>
      <c r="AG121" s="16" t="n"/>
      <c r="AH121" s="16" t="n"/>
      <c r="AI121" s="17" t="n"/>
      <c r="AJ121">
        <f>IF(AC121="",-9999-ROW()*0.0000001,AC121-ROW()*0.0000001)</f>
        <v/>
      </c>
      <c r="AK121">
        <f>IF(OR(AC121="",P121="",P121&gt;MAX_PRICE),-9999-ROW()*0.0000001,AC121-ROW()*0.0000001)</f>
        <v/>
      </c>
      <c r="AL121">
        <f>IF(AC121="",-9999-ROW()*0.0000001,X121*1000+AC121-ROW()*0.0000001)</f>
        <v/>
      </c>
      <c r="AM121">
        <f>IF(AC121="",-9999-ROW()*0.0000001,Y121*1000+AC121-ROW()*0.0000001)</f>
        <v/>
      </c>
      <c r="AN121">
        <f>IF(AND(OR(AD121="Maybe",AD121="Price Review"),AG121&lt;&gt;"Approved",AG121&lt;&gt;"Rejected"),IF(AC121="",0,AC121)-ROW()*0.0000001,-9999-ROW()*0.0000001)</f>
        <v/>
      </c>
      <c r="AO121" s="21" t="n"/>
      <c r="AP121" s="21" t="n"/>
      <c r="AQ121" s="22" t="n"/>
      <c r="AR121" s="22" t="n"/>
      <c r="AS121" s="16" t="n"/>
      <c r="AT121" s="22" t="n"/>
      <c r="AU121" s="22" t="n"/>
      <c r="AV121" s="22" t="n"/>
      <c r="AW121" s="18">
        <f>IF(OR(O121="",AV121=""),"",O121*AV121)</f>
        <v/>
      </c>
      <c r="AX121" s="16" t="n"/>
      <c r="AY121" s="16" t="n"/>
      <c r="AZ121" s="16" t="n"/>
      <c r="BA121" s="16" t="n"/>
      <c r="BB121" s="16" t="n"/>
      <c r="BC121" s="18" t="n"/>
      <c r="BD121" s="16" t="n"/>
      <c r="BE121" s="16">
        <f>IF(C121="","",IF(AND(ISNUMBER(P121),P121&gt;MAX_PRICE),"Price too high",IF(AND(ISNUMBER(AB121),AB121&lt;=2),"Quality risk",IF(AND(ISNUMBER(U121),U121&lt;=2),"Aesthetic mismatch",IF(AY121="High","Too fragile",IF(AND(ISNUMBER(R121),R121&lt;LOW_PROFIT_PCT),"Low profit",IF(AND(ISNUMBER(AT121),AT121&gt;MOQ_WARNING),"MOQ too high",IF(OR(AD121="Maybe",AD121="Price Review"),"Needs partner review",IF(AD121="Buy","Good candidate","")))))))))</f>
        <v/>
      </c>
      <c r="BF121" s="16" t="n"/>
      <c r="BG121" s="16" t="n"/>
      <c r="BH121" s="16" t="n"/>
      <c r="BI121" s="16" t="n"/>
      <c r="BJ121" s="16" t="n"/>
      <c r="BK121" s="16" t="n"/>
      <c r="BL121" s="16">
        <f>IF(C121="","",IF(AND(BG121="Yes",BH121="Yes",BI121="Yes",BJ121="Yes",BK121="Yes"),"Yes","No"))</f>
        <v/>
      </c>
      <c r="BM121" s="18" t="n"/>
      <c r="BN121" s="18" t="n"/>
      <c r="BO121" s="18">
        <f>IF(OR(BM121="",BN121=""),"",BM121+BN121)</f>
        <v/>
      </c>
      <c r="BP121" s="18" t="n"/>
      <c r="BQ121" s="18">
        <f>IF(OR(BP121="",BO121=""),"",BP121-BO121)</f>
        <v/>
      </c>
      <c r="BR121" s="19">
        <f>IF(OR(BP121="",BP121=0,BQ121=""),"",BQ121/BP121)</f>
        <v/>
      </c>
      <c r="BS121" s="17" t="n"/>
      <c r="BT121" s="22" t="n"/>
      <c r="BU121" s="22" t="n"/>
      <c r="BV121" s="16" t="n"/>
      <c r="BW121" s="16" t="n"/>
      <c r="BX121" s="22">
        <f>IF(OR(BT121="",BU121=""),"",BT121-BU121)</f>
        <v/>
      </c>
      <c r="BY121" s="16" t="n"/>
      <c r="BZ121" s="17" t="n"/>
      <c r="CA121" s="16" t="n"/>
      <c r="CB121" s="16" t="n"/>
    </row>
    <row r="122">
      <c r="A122" s="23">
        <f>IF(C122="","","AYN-"&amp;IFERROR(VLOOKUP(E122,CATEGORY_PREFIX_TABLE,2,FALSE),"OTH")&amp;"-"&amp;TEXT(ROW()-2,"0000"))</f>
        <v/>
      </c>
      <c r="B122" s="24" t="n"/>
      <c r="C122" s="23" t="n"/>
      <c r="D122" s="23" t="n"/>
      <c r="E122" s="23" t="n"/>
      <c r="F122" s="23" t="n"/>
      <c r="G122" s="23" t="n"/>
      <c r="H122" s="23" t="n"/>
      <c r="I122" s="23" t="n"/>
      <c r="J122" s="23" t="n"/>
      <c r="K122" s="25">
        <f>IF(I122="","",IF(J122="BDT",I122,IF(J122="USD",I122*USD_BDT,IF(J122="RMB",I122*RMB_BDT,""))))</f>
        <v/>
      </c>
      <c r="L122" s="25" t="n"/>
      <c r="M122" s="26" t="n"/>
      <c r="N122" s="25" t="n"/>
      <c r="O122" s="25">
        <f>IF(K122="","",K122+IFERROR(L122,0)+(K122*IF(M122="",CUSTOMS_PCT,M122))+IF(N122="",MISC_FEE,N122))</f>
        <v/>
      </c>
      <c r="P122" s="25">
        <f>IF(O122="","",ROUND(O122*(1+MARKUP_PCT),-1)-1)</f>
        <v/>
      </c>
      <c r="Q122" s="25">
        <f>IF(P122="","",P122-O122)</f>
        <v/>
      </c>
      <c r="R122" s="26">
        <f>IF(OR(P122="",P122=0),"",Q122/P122)</f>
        <v/>
      </c>
      <c r="S122" s="23" t="n"/>
      <c r="T122" s="23" t="n"/>
      <c r="U122" s="23" t="n"/>
      <c r="V122" s="23" t="n"/>
      <c r="W122" s="23" t="n"/>
      <c r="X122" s="23" t="n"/>
      <c r="Y122" s="23" t="n"/>
      <c r="Z122" s="23" t="n"/>
      <c r="AA122" s="23" t="n"/>
      <c r="AB122" s="23" t="n"/>
      <c r="AC122" s="27">
        <f>IF(COUNT(S122:AB122)&lt;10,"",(S122*W_FEMININE+T122*W_TREND+U122*W_AESTHETIC+V122*W_STYLE+W122*W_LIGHT+X122*W_REELS+Y122*W_GIFT+Z122*W_PRICEFIT+AA122*W_DEMAND+AB122*W_QUALITY)/5*100)</f>
        <v/>
      </c>
      <c r="AD122" s="23">
        <f>IF(P122="","",IF(P122&gt;HARD_REJECT_PRICE,"Reject",IF(P122&gt;MAX_PRICE,"Price Review",IF(AC122="","",IF(AND(AC122&gt;=BUY_THRESHOLD,OR(AB122&lt;=2,U122&lt;=2)),"Maybe",IF(AC122&gt;=BUY_THRESHOLD,"Buy",IF(AC122&gt;=MAYBE_THRESHOLD,"Maybe","Reject")))))))</f>
        <v/>
      </c>
      <c r="AE122" s="23" t="n"/>
      <c r="AF122" s="23" t="n"/>
      <c r="AG122" s="23" t="n"/>
      <c r="AH122" s="23" t="n"/>
      <c r="AI122" s="24" t="n"/>
      <c r="AJ122">
        <f>IF(AC122="",-9999-ROW()*0.0000001,AC122-ROW()*0.0000001)</f>
        <v/>
      </c>
      <c r="AK122">
        <f>IF(OR(AC122="",P122="",P122&gt;MAX_PRICE),-9999-ROW()*0.0000001,AC122-ROW()*0.0000001)</f>
        <v/>
      </c>
      <c r="AL122">
        <f>IF(AC122="",-9999-ROW()*0.0000001,X122*1000+AC122-ROW()*0.0000001)</f>
        <v/>
      </c>
      <c r="AM122">
        <f>IF(AC122="",-9999-ROW()*0.0000001,Y122*1000+AC122-ROW()*0.0000001)</f>
        <v/>
      </c>
      <c r="AN122">
        <f>IF(AND(OR(AD122="Maybe",AD122="Price Review"),AG122&lt;&gt;"Approved",AG122&lt;&gt;"Rejected"),IF(AC122="",0,AC122)-ROW()*0.0000001,-9999-ROW()*0.0000001)</f>
        <v/>
      </c>
      <c r="AO122" s="28" t="n"/>
      <c r="AP122" s="28" t="n"/>
      <c r="AQ122" s="29" t="n"/>
      <c r="AR122" s="29" t="n"/>
      <c r="AS122" s="23" t="n"/>
      <c r="AT122" s="29" t="n"/>
      <c r="AU122" s="29" t="n"/>
      <c r="AV122" s="29" t="n"/>
      <c r="AW122" s="25">
        <f>IF(OR(O122="",AV122=""),"",O122*AV122)</f>
        <v/>
      </c>
      <c r="AX122" s="23" t="n"/>
      <c r="AY122" s="23" t="n"/>
      <c r="AZ122" s="23" t="n"/>
      <c r="BA122" s="23" t="n"/>
      <c r="BB122" s="23" t="n"/>
      <c r="BC122" s="25" t="n"/>
      <c r="BD122" s="23" t="n"/>
      <c r="BE122" s="23">
        <f>IF(C122="","",IF(AND(ISNUMBER(P122),P122&gt;MAX_PRICE),"Price too high",IF(AND(ISNUMBER(AB122),AB122&lt;=2),"Quality risk",IF(AND(ISNUMBER(U122),U122&lt;=2),"Aesthetic mismatch",IF(AY122="High","Too fragile",IF(AND(ISNUMBER(R122),R122&lt;LOW_PROFIT_PCT),"Low profit",IF(AND(ISNUMBER(AT122),AT122&gt;MOQ_WARNING),"MOQ too high",IF(OR(AD122="Maybe",AD122="Price Review"),"Needs partner review",IF(AD122="Buy","Good candidate","")))))))))</f>
        <v/>
      </c>
      <c r="BF122" s="23" t="n"/>
      <c r="BG122" s="23" t="n"/>
      <c r="BH122" s="23" t="n"/>
      <c r="BI122" s="23" t="n"/>
      <c r="BJ122" s="23" t="n"/>
      <c r="BK122" s="23" t="n"/>
      <c r="BL122" s="23">
        <f>IF(C122="","",IF(AND(BG122="Yes",BH122="Yes",BI122="Yes",BJ122="Yes",BK122="Yes"),"Yes","No"))</f>
        <v/>
      </c>
      <c r="BM122" s="25" t="n"/>
      <c r="BN122" s="25" t="n"/>
      <c r="BO122" s="25">
        <f>IF(OR(BM122="",BN122=""),"",BM122+BN122)</f>
        <v/>
      </c>
      <c r="BP122" s="25" t="n"/>
      <c r="BQ122" s="25">
        <f>IF(OR(BP122="",BO122=""),"",BP122-BO122)</f>
        <v/>
      </c>
      <c r="BR122" s="26">
        <f>IF(OR(BP122="",BP122=0,BQ122=""),"",BQ122/BP122)</f>
        <v/>
      </c>
      <c r="BS122" s="24" t="n"/>
      <c r="BT122" s="29" t="n"/>
      <c r="BU122" s="29" t="n"/>
      <c r="BV122" s="23" t="n"/>
      <c r="BW122" s="23" t="n"/>
      <c r="BX122" s="29">
        <f>IF(OR(BT122="",BU122=""),"",BT122-BU122)</f>
        <v/>
      </c>
      <c r="BY122" s="23" t="n"/>
      <c r="BZ122" s="24" t="n"/>
      <c r="CA122" s="23" t="n"/>
      <c r="CB122" s="23" t="n"/>
    </row>
    <row r="123">
      <c r="A123" s="16">
        <f>IF(C123="","","AYN-"&amp;IFERROR(VLOOKUP(E123,CATEGORY_PREFIX_TABLE,2,FALSE),"OTH")&amp;"-"&amp;TEXT(ROW()-2,"0000"))</f>
        <v/>
      </c>
      <c r="B123" s="17" t="n"/>
      <c r="C123" s="16" t="n"/>
      <c r="D123" s="16" t="n"/>
      <c r="E123" s="16" t="n"/>
      <c r="F123" s="16" t="n"/>
      <c r="G123" s="16" t="n"/>
      <c r="H123" s="16" t="n"/>
      <c r="I123" s="16" t="n"/>
      <c r="J123" s="16" t="n"/>
      <c r="K123" s="18">
        <f>IF(I123="","",IF(J123="BDT",I123,IF(J123="USD",I123*USD_BDT,IF(J123="RMB",I123*RMB_BDT,""))))</f>
        <v/>
      </c>
      <c r="L123" s="18" t="n"/>
      <c r="M123" s="19" t="n"/>
      <c r="N123" s="18" t="n"/>
      <c r="O123" s="18">
        <f>IF(K123="","",K123+IFERROR(L123,0)+(K123*IF(M123="",CUSTOMS_PCT,M123))+IF(N123="",MISC_FEE,N123))</f>
        <v/>
      </c>
      <c r="P123" s="18">
        <f>IF(O123="","",ROUND(O123*(1+MARKUP_PCT),-1)-1)</f>
        <v/>
      </c>
      <c r="Q123" s="18">
        <f>IF(P123="","",P123-O123)</f>
        <v/>
      </c>
      <c r="R123" s="19">
        <f>IF(OR(P123="",P123=0),"",Q123/P123)</f>
        <v/>
      </c>
      <c r="S123" s="16" t="n"/>
      <c r="T123" s="16" t="n"/>
      <c r="U123" s="16" t="n"/>
      <c r="V123" s="16" t="n"/>
      <c r="W123" s="16" t="n"/>
      <c r="X123" s="16" t="n"/>
      <c r="Y123" s="16" t="n"/>
      <c r="Z123" s="16" t="n"/>
      <c r="AA123" s="16" t="n"/>
      <c r="AB123" s="16" t="n"/>
      <c r="AC123" s="20">
        <f>IF(COUNT(S123:AB123)&lt;10,"",(S123*W_FEMININE+T123*W_TREND+U123*W_AESTHETIC+V123*W_STYLE+W123*W_LIGHT+X123*W_REELS+Y123*W_GIFT+Z123*W_PRICEFIT+AA123*W_DEMAND+AB123*W_QUALITY)/5*100)</f>
        <v/>
      </c>
      <c r="AD123" s="16">
        <f>IF(P123="","",IF(P123&gt;HARD_REJECT_PRICE,"Reject",IF(P123&gt;MAX_PRICE,"Price Review",IF(AC123="","",IF(AND(AC123&gt;=BUY_THRESHOLD,OR(AB123&lt;=2,U123&lt;=2)),"Maybe",IF(AC123&gt;=BUY_THRESHOLD,"Buy",IF(AC123&gt;=MAYBE_THRESHOLD,"Maybe","Reject")))))))</f>
        <v/>
      </c>
      <c r="AE123" s="16" t="n"/>
      <c r="AF123" s="16" t="n"/>
      <c r="AG123" s="16" t="n"/>
      <c r="AH123" s="16" t="n"/>
      <c r="AI123" s="17" t="n"/>
      <c r="AJ123">
        <f>IF(AC123="",-9999-ROW()*0.0000001,AC123-ROW()*0.0000001)</f>
        <v/>
      </c>
      <c r="AK123">
        <f>IF(OR(AC123="",P123="",P123&gt;MAX_PRICE),-9999-ROW()*0.0000001,AC123-ROW()*0.0000001)</f>
        <v/>
      </c>
      <c r="AL123">
        <f>IF(AC123="",-9999-ROW()*0.0000001,X123*1000+AC123-ROW()*0.0000001)</f>
        <v/>
      </c>
      <c r="AM123">
        <f>IF(AC123="",-9999-ROW()*0.0000001,Y123*1000+AC123-ROW()*0.0000001)</f>
        <v/>
      </c>
      <c r="AN123">
        <f>IF(AND(OR(AD123="Maybe",AD123="Price Review"),AG123&lt;&gt;"Approved",AG123&lt;&gt;"Rejected"),IF(AC123="",0,AC123)-ROW()*0.0000001,-9999-ROW()*0.0000001)</f>
        <v/>
      </c>
      <c r="AO123" s="21" t="n"/>
      <c r="AP123" s="21" t="n"/>
      <c r="AQ123" s="22" t="n"/>
      <c r="AR123" s="22" t="n"/>
      <c r="AS123" s="16" t="n"/>
      <c r="AT123" s="22" t="n"/>
      <c r="AU123" s="22" t="n"/>
      <c r="AV123" s="22" t="n"/>
      <c r="AW123" s="18">
        <f>IF(OR(O123="",AV123=""),"",O123*AV123)</f>
        <v/>
      </c>
      <c r="AX123" s="16" t="n"/>
      <c r="AY123" s="16" t="n"/>
      <c r="AZ123" s="16" t="n"/>
      <c r="BA123" s="16" t="n"/>
      <c r="BB123" s="16" t="n"/>
      <c r="BC123" s="18" t="n"/>
      <c r="BD123" s="16" t="n"/>
      <c r="BE123" s="16">
        <f>IF(C123="","",IF(AND(ISNUMBER(P123),P123&gt;MAX_PRICE),"Price too high",IF(AND(ISNUMBER(AB123),AB123&lt;=2),"Quality risk",IF(AND(ISNUMBER(U123),U123&lt;=2),"Aesthetic mismatch",IF(AY123="High","Too fragile",IF(AND(ISNUMBER(R123),R123&lt;LOW_PROFIT_PCT),"Low profit",IF(AND(ISNUMBER(AT123),AT123&gt;MOQ_WARNING),"MOQ too high",IF(OR(AD123="Maybe",AD123="Price Review"),"Needs partner review",IF(AD123="Buy","Good candidate","")))))))))</f>
        <v/>
      </c>
      <c r="BF123" s="16" t="n"/>
      <c r="BG123" s="16" t="n"/>
      <c r="BH123" s="16" t="n"/>
      <c r="BI123" s="16" t="n"/>
      <c r="BJ123" s="16" t="n"/>
      <c r="BK123" s="16" t="n"/>
      <c r="BL123" s="16">
        <f>IF(C123="","",IF(AND(BG123="Yes",BH123="Yes",BI123="Yes",BJ123="Yes",BK123="Yes"),"Yes","No"))</f>
        <v/>
      </c>
      <c r="BM123" s="18" t="n"/>
      <c r="BN123" s="18" t="n"/>
      <c r="BO123" s="18">
        <f>IF(OR(BM123="",BN123=""),"",BM123+BN123)</f>
        <v/>
      </c>
      <c r="BP123" s="18" t="n"/>
      <c r="BQ123" s="18">
        <f>IF(OR(BP123="",BO123=""),"",BP123-BO123)</f>
        <v/>
      </c>
      <c r="BR123" s="19">
        <f>IF(OR(BP123="",BP123=0,BQ123=""),"",BQ123/BP123)</f>
        <v/>
      </c>
      <c r="BS123" s="17" t="n"/>
      <c r="BT123" s="22" t="n"/>
      <c r="BU123" s="22" t="n"/>
      <c r="BV123" s="16" t="n"/>
      <c r="BW123" s="16" t="n"/>
      <c r="BX123" s="22">
        <f>IF(OR(BT123="",BU123=""),"",BT123-BU123)</f>
        <v/>
      </c>
      <c r="BY123" s="16" t="n"/>
      <c r="BZ123" s="17" t="n"/>
      <c r="CA123" s="16" t="n"/>
      <c r="CB123" s="16" t="n"/>
    </row>
    <row r="124">
      <c r="A124" s="23">
        <f>IF(C124="","","AYN-"&amp;IFERROR(VLOOKUP(E124,CATEGORY_PREFIX_TABLE,2,FALSE),"OTH")&amp;"-"&amp;TEXT(ROW()-2,"0000"))</f>
        <v/>
      </c>
      <c r="B124" s="24" t="n"/>
      <c r="C124" s="23" t="n"/>
      <c r="D124" s="23" t="n"/>
      <c r="E124" s="23" t="n"/>
      <c r="F124" s="23" t="n"/>
      <c r="G124" s="23" t="n"/>
      <c r="H124" s="23" t="n"/>
      <c r="I124" s="23" t="n"/>
      <c r="J124" s="23" t="n"/>
      <c r="K124" s="25">
        <f>IF(I124="","",IF(J124="BDT",I124,IF(J124="USD",I124*USD_BDT,IF(J124="RMB",I124*RMB_BDT,""))))</f>
        <v/>
      </c>
      <c r="L124" s="25" t="n"/>
      <c r="M124" s="26" t="n"/>
      <c r="N124" s="25" t="n"/>
      <c r="O124" s="25">
        <f>IF(K124="","",K124+IFERROR(L124,0)+(K124*IF(M124="",CUSTOMS_PCT,M124))+IF(N124="",MISC_FEE,N124))</f>
        <v/>
      </c>
      <c r="P124" s="25">
        <f>IF(O124="","",ROUND(O124*(1+MARKUP_PCT),-1)-1)</f>
        <v/>
      </c>
      <c r="Q124" s="25">
        <f>IF(P124="","",P124-O124)</f>
        <v/>
      </c>
      <c r="R124" s="26">
        <f>IF(OR(P124="",P124=0),"",Q124/P124)</f>
        <v/>
      </c>
      <c r="S124" s="23" t="n"/>
      <c r="T124" s="23" t="n"/>
      <c r="U124" s="23" t="n"/>
      <c r="V124" s="23" t="n"/>
      <c r="W124" s="23" t="n"/>
      <c r="X124" s="23" t="n"/>
      <c r="Y124" s="23" t="n"/>
      <c r="Z124" s="23" t="n"/>
      <c r="AA124" s="23" t="n"/>
      <c r="AB124" s="23" t="n"/>
      <c r="AC124" s="27">
        <f>IF(COUNT(S124:AB124)&lt;10,"",(S124*W_FEMININE+T124*W_TREND+U124*W_AESTHETIC+V124*W_STYLE+W124*W_LIGHT+X124*W_REELS+Y124*W_GIFT+Z124*W_PRICEFIT+AA124*W_DEMAND+AB124*W_QUALITY)/5*100)</f>
        <v/>
      </c>
      <c r="AD124" s="23">
        <f>IF(P124="","",IF(P124&gt;HARD_REJECT_PRICE,"Reject",IF(P124&gt;MAX_PRICE,"Price Review",IF(AC124="","",IF(AND(AC124&gt;=BUY_THRESHOLD,OR(AB124&lt;=2,U124&lt;=2)),"Maybe",IF(AC124&gt;=BUY_THRESHOLD,"Buy",IF(AC124&gt;=MAYBE_THRESHOLD,"Maybe","Reject")))))))</f>
        <v/>
      </c>
      <c r="AE124" s="23" t="n"/>
      <c r="AF124" s="23" t="n"/>
      <c r="AG124" s="23" t="n"/>
      <c r="AH124" s="23" t="n"/>
      <c r="AI124" s="24" t="n"/>
      <c r="AJ124">
        <f>IF(AC124="",-9999-ROW()*0.0000001,AC124-ROW()*0.0000001)</f>
        <v/>
      </c>
      <c r="AK124">
        <f>IF(OR(AC124="",P124="",P124&gt;MAX_PRICE),-9999-ROW()*0.0000001,AC124-ROW()*0.0000001)</f>
        <v/>
      </c>
      <c r="AL124">
        <f>IF(AC124="",-9999-ROW()*0.0000001,X124*1000+AC124-ROW()*0.0000001)</f>
        <v/>
      </c>
      <c r="AM124">
        <f>IF(AC124="",-9999-ROW()*0.0000001,Y124*1000+AC124-ROW()*0.0000001)</f>
        <v/>
      </c>
      <c r="AN124">
        <f>IF(AND(OR(AD124="Maybe",AD124="Price Review"),AG124&lt;&gt;"Approved",AG124&lt;&gt;"Rejected"),IF(AC124="",0,AC124)-ROW()*0.0000001,-9999-ROW()*0.0000001)</f>
        <v/>
      </c>
      <c r="AO124" s="28" t="n"/>
      <c r="AP124" s="28" t="n"/>
      <c r="AQ124" s="29" t="n"/>
      <c r="AR124" s="29" t="n"/>
      <c r="AS124" s="23" t="n"/>
      <c r="AT124" s="29" t="n"/>
      <c r="AU124" s="29" t="n"/>
      <c r="AV124" s="29" t="n"/>
      <c r="AW124" s="25">
        <f>IF(OR(O124="",AV124=""),"",O124*AV124)</f>
        <v/>
      </c>
      <c r="AX124" s="23" t="n"/>
      <c r="AY124" s="23" t="n"/>
      <c r="AZ124" s="23" t="n"/>
      <c r="BA124" s="23" t="n"/>
      <c r="BB124" s="23" t="n"/>
      <c r="BC124" s="25" t="n"/>
      <c r="BD124" s="23" t="n"/>
      <c r="BE124" s="23">
        <f>IF(C124="","",IF(AND(ISNUMBER(P124),P124&gt;MAX_PRICE),"Price too high",IF(AND(ISNUMBER(AB124),AB124&lt;=2),"Quality risk",IF(AND(ISNUMBER(U124),U124&lt;=2),"Aesthetic mismatch",IF(AY124="High","Too fragile",IF(AND(ISNUMBER(R124),R124&lt;LOW_PROFIT_PCT),"Low profit",IF(AND(ISNUMBER(AT124),AT124&gt;MOQ_WARNING),"MOQ too high",IF(OR(AD124="Maybe",AD124="Price Review"),"Needs partner review",IF(AD124="Buy","Good candidate","")))))))))</f>
        <v/>
      </c>
      <c r="BF124" s="23" t="n"/>
      <c r="BG124" s="23" t="n"/>
      <c r="BH124" s="23" t="n"/>
      <c r="BI124" s="23" t="n"/>
      <c r="BJ124" s="23" t="n"/>
      <c r="BK124" s="23" t="n"/>
      <c r="BL124" s="23">
        <f>IF(C124="","",IF(AND(BG124="Yes",BH124="Yes",BI124="Yes",BJ124="Yes",BK124="Yes"),"Yes","No"))</f>
        <v/>
      </c>
      <c r="BM124" s="25" t="n"/>
      <c r="BN124" s="25" t="n"/>
      <c r="BO124" s="25">
        <f>IF(OR(BM124="",BN124=""),"",BM124+BN124)</f>
        <v/>
      </c>
      <c r="BP124" s="25" t="n"/>
      <c r="BQ124" s="25">
        <f>IF(OR(BP124="",BO124=""),"",BP124-BO124)</f>
        <v/>
      </c>
      <c r="BR124" s="26">
        <f>IF(OR(BP124="",BP124=0,BQ124=""),"",BQ124/BP124)</f>
        <v/>
      </c>
      <c r="BS124" s="24" t="n"/>
      <c r="BT124" s="29" t="n"/>
      <c r="BU124" s="29" t="n"/>
      <c r="BV124" s="23" t="n"/>
      <c r="BW124" s="23" t="n"/>
      <c r="BX124" s="29">
        <f>IF(OR(BT124="",BU124=""),"",BT124-BU124)</f>
        <v/>
      </c>
      <c r="BY124" s="23" t="n"/>
      <c r="BZ124" s="24" t="n"/>
      <c r="CA124" s="23" t="n"/>
      <c r="CB124" s="23" t="n"/>
    </row>
    <row r="125">
      <c r="A125" s="16">
        <f>IF(C125="","","AYN-"&amp;IFERROR(VLOOKUP(E125,CATEGORY_PREFIX_TABLE,2,FALSE),"OTH")&amp;"-"&amp;TEXT(ROW()-2,"0000"))</f>
        <v/>
      </c>
      <c r="B125" s="17" t="n"/>
      <c r="C125" s="16" t="n"/>
      <c r="D125" s="16" t="n"/>
      <c r="E125" s="16" t="n"/>
      <c r="F125" s="16" t="n"/>
      <c r="G125" s="16" t="n"/>
      <c r="H125" s="16" t="n"/>
      <c r="I125" s="16" t="n"/>
      <c r="J125" s="16" t="n"/>
      <c r="K125" s="18">
        <f>IF(I125="","",IF(J125="BDT",I125,IF(J125="USD",I125*USD_BDT,IF(J125="RMB",I125*RMB_BDT,""))))</f>
        <v/>
      </c>
      <c r="L125" s="18" t="n"/>
      <c r="M125" s="19" t="n"/>
      <c r="N125" s="18" t="n"/>
      <c r="O125" s="18">
        <f>IF(K125="","",K125+IFERROR(L125,0)+(K125*IF(M125="",CUSTOMS_PCT,M125))+IF(N125="",MISC_FEE,N125))</f>
        <v/>
      </c>
      <c r="P125" s="18">
        <f>IF(O125="","",ROUND(O125*(1+MARKUP_PCT),-1)-1)</f>
        <v/>
      </c>
      <c r="Q125" s="18">
        <f>IF(P125="","",P125-O125)</f>
        <v/>
      </c>
      <c r="R125" s="19">
        <f>IF(OR(P125="",P125=0),"",Q125/P125)</f>
        <v/>
      </c>
      <c r="S125" s="16" t="n"/>
      <c r="T125" s="16" t="n"/>
      <c r="U125" s="16" t="n"/>
      <c r="V125" s="16" t="n"/>
      <c r="W125" s="16" t="n"/>
      <c r="X125" s="16" t="n"/>
      <c r="Y125" s="16" t="n"/>
      <c r="Z125" s="16" t="n"/>
      <c r="AA125" s="16" t="n"/>
      <c r="AB125" s="16" t="n"/>
      <c r="AC125" s="20">
        <f>IF(COUNT(S125:AB125)&lt;10,"",(S125*W_FEMININE+T125*W_TREND+U125*W_AESTHETIC+V125*W_STYLE+W125*W_LIGHT+X125*W_REELS+Y125*W_GIFT+Z125*W_PRICEFIT+AA125*W_DEMAND+AB125*W_QUALITY)/5*100)</f>
        <v/>
      </c>
      <c r="AD125" s="16">
        <f>IF(P125="","",IF(P125&gt;HARD_REJECT_PRICE,"Reject",IF(P125&gt;MAX_PRICE,"Price Review",IF(AC125="","",IF(AND(AC125&gt;=BUY_THRESHOLD,OR(AB125&lt;=2,U125&lt;=2)),"Maybe",IF(AC125&gt;=BUY_THRESHOLD,"Buy",IF(AC125&gt;=MAYBE_THRESHOLD,"Maybe","Reject")))))))</f>
        <v/>
      </c>
      <c r="AE125" s="16" t="n"/>
      <c r="AF125" s="16" t="n"/>
      <c r="AG125" s="16" t="n"/>
      <c r="AH125" s="16" t="n"/>
      <c r="AI125" s="17" t="n"/>
      <c r="AJ125">
        <f>IF(AC125="",-9999-ROW()*0.0000001,AC125-ROW()*0.0000001)</f>
        <v/>
      </c>
      <c r="AK125">
        <f>IF(OR(AC125="",P125="",P125&gt;MAX_PRICE),-9999-ROW()*0.0000001,AC125-ROW()*0.0000001)</f>
        <v/>
      </c>
      <c r="AL125">
        <f>IF(AC125="",-9999-ROW()*0.0000001,X125*1000+AC125-ROW()*0.0000001)</f>
        <v/>
      </c>
      <c r="AM125">
        <f>IF(AC125="",-9999-ROW()*0.0000001,Y125*1000+AC125-ROW()*0.0000001)</f>
        <v/>
      </c>
      <c r="AN125">
        <f>IF(AND(OR(AD125="Maybe",AD125="Price Review"),AG125&lt;&gt;"Approved",AG125&lt;&gt;"Rejected"),IF(AC125="",0,AC125)-ROW()*0.0000001,-9999-ROW()*0.0000001)</f>
        <v/>
      </c>
      <c r="AO125" s="21" t="n"/>
      <c r="AP125" s="21" t="n"/>
      <c r="AQ125" s="22" t="n"/>
      <c r="AR125" s="22" t="n"/>
      <c r="AS125" s="16" t="n"/>
      <c r="AT125" s="22" t="n"/>
      <c r="AU125" s="22" t="n"/>
      <c r="AV125" s="22" t="n"/>
      <c r="AW125" s="18">
        <f>IF(OR(O125="",AV125=""),"",O125*AV125)</f>
        <v/>
      </c>
      <c r="AX125" s="16" t="n"/>
      <c r="AY125" s="16" t="n"/>
      <c r="AZ125" s="16" t="n"/>
      <c r="BA125" s="16" t="n"/>
      <c r="BB125" s="16" t="n"/>
      <c r="BC125" s="18" t="n"/>
      <c r="BD125" s="16" t="n"/>
      <c r="BE125" s="16">
        <f>IF(C125="","",IF(AND(ISNUMBER(P125),P125&gt;MAX_PRICE),"Price too high",IF(AND(ISNUMBER(AB125),AB125&lt;=2),"Quality risk",IF(AND(ISNUMBER(U125),U125&lt;=2),"Aesthetic mismatch",IF(AY125="High","Too fragile",IF(AND(ISNUMBER(R125),R125&lt;LOW_PROFIT_PCT),"Low profit",IF(AND(ISNUMBER(AT125),AT125&gt;MOQ_WARNING),"MOQ too high",IF(OR(AD125="Maybe",AD125="Price Review"),"Needs partner review",IF(AD125="Buy","Good candidate","")))))))))</f>
        <v/>
      </c>
      <c r="BF125" s="16" t="n"/>
      <c r="BG125" s="16" t="n"/>
      <c r="BH125" s="16" t="n"/>
      <c r="BI125" s="16" t="n"/>
      <c r="BJ125" s="16" t="n"/>
      <c r="BK125" s="16" t="n"/>
      <c r="BL125" s="16">
        <f>IF(C125="","",IF(AND(BG125="Yes",BH125="Yes",BI125="Yes",BJ125="Yes",BK125="Yes"),"Yes","No"))</f>
        <v/>
      </c>
      <c r="BM125" s="18" t="n"/>
      <c r="BN125" s="18" t="n"/>
      <c r="BO125" s="18">
        <f>IF(OR(BM125="",BN125=""),"",BM125+BN125)</f>
        <v/>
      </c>
      <c r="BP125" s="18" t="n"/>
      <c r="BQ125" s="18">
        <f>IF(OR(BP125="",BO125=""),"",BP125-BO125)</f>
        <v/>
      </c>
      <c r="BR125" s="19">
        <f>IF(OR(BP125="",BP125=0,BQ125=""),"",BQ125/BP125)</f>
        <v/>
      </c>
      <c r="BS125" s="17" t="n"/>
      <c r="BT125" s="22" t="n"/>
      <c r="BU125" s="22" t="n"/>
      <c r="BV125" s="16" t="n"/>
      <c r="BW125" s="16" t="n"/>
      <c r="BX125" s="22">
        <f>IF(OR(BT125="",BU125=""),"",BT125-BU125)</f>
        <v/>
      </c>
      <c r="BY125" s="16" t="n"/>
      <c r="BZ125" s="17" t="n"/>
      <c r="CA125" s="16" t="n"/>
      <c r="CB125" s="16" t="n"/>
    </row>
    <row r="126">
      <c r="A126" s="23">
        <f>IF(C126="","","AYN-"&amp;IFERROR(VLOOKUP(E126,CATEGORY_PREFIX_TABLE,2,FALSE),"OTH")&amp;"-"&amp;TEXT(ROW()-2,"0000"))</f>
        <v/>
      </c>
      <c r="B126" s="24" t="n"/>
      <c r="C126" s="23" t="n"/>
      <c r="D126" s="23" t="n"/>
      <c r="E126" s="23" t="n"/>
      <c r="F126" s="23" t="n"/>
      <c r="G126" s="23" t="n"/>
      <c r="H126" s="23" t="n"/>
      <c r="I126" s="23" t="n"/>
      <c r="J126" s="23" t="n"/>
      <c r="K126" s="25">
        <f>IF(I126="","",IF(J126="BDT",I126,IF(J126="USD",I126*USD_BDT,IF(J126="RMB",I126*RMB_BDT,""))))</f>
        <v/>
      </c>
      <c r="L126" s="25" t="n"/>
      <c r="M126" s="26" t="n"/>
      <c r="N126" s="25" t="n"/>
      <c r="O126" s="25">
        <f>IF(K126="","",K126+IFERROR(L126,0)+(K126*IF(M126="",CUSTOMS_PCT,M126))+IF(N126="",MISC_FEE,N126))</f>
        <v/>
      </c>
      <c r="P126" s="25">
        <f>IF(O126="","",ROUND(O126*(1+MARKUP_PCT),-1)-1)</f>
        <v/>
      </c>
      <c r="Q126" s="25">
        <f>IF(P126="","",P126-O126)</f>
        <v/>
      </c>
      <c r="R126" s="26">
        <f>IF(OR(P126="",P126=0),"",Q126/P126)</f>
        <v/>
      </c>
      <c r="S126" s="23" t="n"/>
      <c r="T126" s="23" t="n"/>
      <c r="U126" s="23" t="n"/>
      <c r="V126" s="23" t="n"/>
      <c r="W126" s="23" t="n"/>
      <c r="X126" s="23" t="n"/>
      <c r="Y126" s="23" t="n"/>
      <c r="Z126" s="23" t="n"/>
      <c r="AA126" s="23" t="n"/>
      <c r="AB126" s="23" t="n"/>
      <c r="AC126" s="27">
        <f>IF(COUNT(S126:AB126)&lt;10,"",(S126*W_FEMININE+T126*W_TREND+U126*W_AESTHETIC+V126*W_STYLE+W126*W_LIGHT+X126*W_REELS+Y126*W_GIFT+Z126*W_PRICEFIT+AA126*W_DEMAND+AB126*W_QUALITY)/5*100)</f>
        <v/>
      </c>
      <c r="AD126" s="23">
        <f>IF(P126="","",IF(P126&gt;HARD_REJECT_PRICE,"Reject",IF(P126&gt;MAX_PRICE,"Price Review",IF(AC126="","",IF(AND(AC126&gt;=BUY_THRESHOLD,OR(AB126&lt;=2,U126&lt;=2)),"Maybe",IF(AC126&gt;=BUY_THRESHOLD,"Buy",IF(AC126&gt;=MAYBE_THRESHOLD,"Maybe","Reject")))))))</f>
        <v/>
      </c>
      <c r="AE126" s="23" t="n"/>
      <c r="AF126" s="23" t="n"/>
      <c r="AG126" s="23" t="n"/>
      <c r="AH126" s="23" t="n"/>
      <c r="AI126" s="24" t="n"/>
      <c r="AJ126">
        <f>IF(AC126="",-9999-ROW()*0.0000001,AC126-ROW()*0.0000001)</f>
        <v/>
      </c>
      <c r="AK126">
        <f>IF(OR(AC126="",P126="",P126&gt;MAX_PRICE),-9999-ROW()*0.0000001,AC126-ROW()*0.0000001)</f>
        <v/>
      </c>
      <c r="AL126">
        <f>IF(AC126="",-9999-ROW()*0.0000001,X126*1000+AC126-ROW()*0.0000001)</f>
        <v/>
      </c>
      <c r="AM126">
        <f>IF(AC126="",-9999-ROW()*0.0000001,Y126*1000+AC126-ROW()*0.0000001)</f>
        <v/>
      </c>
      <c r="AN126">
        <f>IF(AND(OR(AD126="Maybe",AD126="Price Review"),AG126&lt;&gt;"Approved",AG126&lt;&gt;"Rejected"),IF(AC126="",0,AC126)-ROW()*0.0000001,-9999-ROW()*0.0000001)</f>
        <v/>
      </c>
      <c r="AO126" s="28" t="n"/>
      <c r="AP126" s="28" t="n"/>
      <c r="AQ126" s="29" t="n"/>
      <c r="AR126" s="29" t="n"/>
      <c r="AS126" s="23" t="n"/>
      <c r="AT126" s="29" t="n"/>
      <c r="AU126" s="29" t="n"/>
      <c r="AV126" s="29" t="n"/>
      <c r="AW126" s="25">
        <f>IF(OR(O126="",AV126=""),"",O126*AV126)</f>
        <v/>
      </c>
      <c r="AX126" s="23" t="n"/>
      <c r="AY126" s="23" t="n"/>
      <c r="AZ126" s="23" t="n"/>
      <c r="BA126" s="23" t="n"/>
      <c r="BB126" s="23" t="n"/>
      <c r="BC126" s="25" t="n"/>
      <c r="BD126" s="23" t="n"/>
      <c r="BE126" s="23">
        <f>IF(C126="","",IF(AND(ISNUMBER(P126),P126&gt;MAX_PRICE),"Price too high",IF(AND(ISNUMBER(AB126),AB126&lt;=2),"Quality risk",IF(AND(ISNUMBER(U126),U126&lt;=2),"Aesthetic mismatch",IF(AY126="High","Too fragile",IF(AND(ISNUMBER(R126),R126&lt;LOW_PROFIT_PCT),"Low profit",IF(AND(ISNUMBER(AT126),AT126&gt;MOQ_WARNING),"MOQ too high",IF(OR(AD126="Maybe",AD126="Price Review"),"Needs partner review",IF(AD126="Buy","Good candidate","")))))))))</f>
        <v/>
      </c>
      <c r="BF126" s="23" t="n"/>
      <c r="BG126" s="23" t="n"/>
      <c r="BH126" s="23" t="n"/>
      <c r="BI126" s="23" t="n"/>
      <c r="BJ126" s="23" t="n"/>
      <c r="BK126" s="23" t="n"/>
      <c r="BL126" s="23">
        <f>IF(C126="","",IF(AND(BG126="Yes",BH126="Yes",BI126="Yes",BJ126="Yes",BK126="Yes"),"Yes","No"))</f>
        <v/>
      </c>
      <c r="BM126" s="25" t="n"/>
      <c r="BN126" s="25" t="n"/>
      <c r="BO126" s="25">
        <f>IF(OR(BM126="",BN126=""),"",BM126+BN126)</f>
        <v/>
      </c>
      <c r="BP126" s="25" t="n"/>
      <c r="BQ126" s="25">
        <f>IF(OR(BP126="",BO126=""),"",BP126-BO126)</f>
        <v/>
      </c>
      <c r="BR126" s="26">
        <f>IF(OR(BP126="",BP126=0,BQ126=""),"",BQ126/BP126)</f>
        <v/>
      </c>
      <c r="BS126" s="24" t="n"/>
      <c r="BT126" s="29" t="n"/>
      <c r="BU126" s="29" t="n"/>
      <c r="BV126" s="23" t="n"/>
      <c r="BW126" s="23" t="n"/>
      <c r="BX126" s="29">
        <f>IF(OR(BT126="",BU126=""),"",BT126-BU126)</f>
        <v/>
      </c>
      <c r="BY126" s="23" t="n"/>
      <c r="BZ126" s="24" t="n"/>
      <c r="CA126" s="23" t="n"/>
      <c r="CB126" s="23" t="n"/>
    </row>
    <row r="127">
      <c r="A127" s="16">
        <f>IF(C127="","","AYN-"&amp;IFERROR(VLOOKUP(E127,CATEGORY_PREFIX_TABLE,2,FALSE),"OTH")&amp;"-"&amp;TEXT(ROW()-2,"0000"))</f>
        <v/>
      </c>
      <c r="B127" s="17" t="n"/>
      <c r="C127" s="16" t="n"/>
      <c r="D127" s="16" t="n"/>
      <c r="E127" s="16" t="n"/>
      <c r="F127" s="16" t="n"/>
      <c r="G127" s="16" t="n"/>
      <c r="H127" s="16" t="n"/>
      <c r="I127" s="16" t="n"/>
      <c r="J127" s="16" t="n"/>
      <c r="K127" s="18">
        <f>IF(I127="","",IF(J127="BDT",I127,IF(J127="USD",I127*USD_BDT,IF(J127="RMB",I127*RMB_BDT,""))))</f>
        <v/>
      </c>
      <c r="L127" s="18" t="n"/>
      <c r="M127" s="19" t="n"/>
      <c r="N127" s="18" t="n"/>
      <c r="O127" s="18">
        <f>IF(K127="","",K127+IFERROR(L127,0)+(K127*IF(M127="",CUSTOMS_PCT,M127))+IF(N127="",MISC_FEE,N127))</f>
        <v/>
      </c>
      <c r="P127" s="18">
        <f>IF(O127="","",ROUND(O127*(1+MARKUP_PCT),-1)-1)</f>
        <v/>
      </c>
      <c r="Q127" s="18">
        <f>IF(P127="","",P127-O127)</f>
        <v/>
      </c>
      <c r="R127" s="19">
        <f>IF(OR(P127="",P127=0),"",Q127/P127)</f>
        <v/>
      </c>
      <c r="S127" s="16" t="n"/>
      <c r="T127" s="16" t="n"/>
      <c r="U127" s="16" t="n"/>
      <c r="V127" s="16" t="n"/>
      <c r="W127" s="16" t="n"/>
      <c r="X127" s="16" t="n"/>
      <c r="Y127" s="16" t="n"/>
      <c r="Z127" s="16" t="n"/>
      <c r="AA127" s="16" t="n"/>
      <c r="AB127" s="16" t="n"/>
      <c r="AC127" s="20">
        <f>IF(COUNT(S127:AB127)&lt;10,"",(S127*W_FEMININE+T127*W_TREND+U127*W_AESTHETIC+V127*W_STYLE+W127*W_LIGHT+X127*W_REELS+Y127*W_GIFT+Z127*W_PRICEFIT+AA127*W_DEMAND+AB127*W_QUALITY)/5*100)</f>
        <v/>
      </c>
      <c r="AD127" s="16">
        <f>IF(P127="","",IF(P127&gt;HARD_REJECT_PRICE,"Reject",IF(P127&gt;MAX_PRICE,"Price Review",IF(AC127="","",IF(AND(AC127&gt;=BUY_THRESHOLD,OR(AB127&lt;=2,U127&lt;=2)),"Maybe",IF(AC127&gt;=BUY_THRESHOLD,"Buy",IF(AC127&gt;=MAYBE_THRESHOLD,"Maybe","Reject")))))))</f>
        <v/>
      </c>
      <c r="AE127" s="16" t="n"/>
      <c r="AF127" s="16" t="n"/>
      <c r="AG127" s="16" t="n"/>
      <c r="AH127" s="16" t="n"/>
      <c r="AI127" s="17" t="n"/>
      <c r="AJ127">
        <f>IF(AC127="",-9999-ROW()*0.0000001,AC127-ROW()*0.0000001)</f>
        <v/>
      </c>
      <c r="AK127">
        <f>IF(OR(AC127="",P127="",P127&gt;MAX_PRICE),-9999-ROW()*0.0000001,AC127-ROW()*0.0000001)</f>
        <v/>
      </c>
      <c r="AL127">
        <f>IF(AC127="",-9999-ROW()*0.0000001,X127*1000+AC127-ROW()*0.0000001)</f>
        <v/>
      </c>
      <c r="AM127">
        <f>IF(AC127="",-9999-ROW()*0.0000001,Y127*1000+AC127-ROW()*0.0000001)</f>
        <v/>
      </c>
      <c r="AN127">
        <f>IF(AND(OR(AD127="Maybe",AD127="Price Review"),AG127&lt;&gt;"Approved",AG127&lt;&gt;"Rejected"),IF(AC127="",0,AC127)-ROW()*0.0000001,-9999-ROW()*0.0000001)</f>
        <v/>
      </c>
      <c r="AO127" s="21" t="n"/>
      <c r="AP127" s="21" t="n"/>
      <c r="AQ127" s="22" t="n"/>
      <c r="AR127" s="22" t="n"/>
      <c r="AS127" s="16" t="n"/>
      <c r="AT127" s="22" t="n"/>
      <c r="AU127" s="22" t="n"/>
      <c r="AV127" s="22" t="n"/>
      <c r="AW127" s="18">
        <f>IF(OR(O127="",AV127=""),"",O127*AV127)</f>
        <v/>
      </c>
      <c r="AX127" s="16" t="n"/>
      <c r="AY127" s="16" t="n"/>
      <c r="AZ127" s="16" t="n"/>
      <c r="BA127" s="16" t="n"/>
      <c r="BB127" s="16" t="n"/>
      <c r="BC127" s="18" t="n"/>
      <c r="BD127" s="16" t="n"/>
      <c r="BE127" s="16">
        <f>IF(C127="","",IF(AND(ISNUMBER(P127),P127&gt;MAX_PRICE),"Price too high",IF(AND(ISNUMBER(AB127),AB127&lt;=2),"Quality risk",IF(AND(ISNUMBER(U127),U127&lt;=2),"Aesthetic mismatch",IF(AY127="High","Too fragile",IF(AND(ISNUMBER(R127),R127&lt;LOW_PROFIT_PCT),"Low profit",IF(AND(ISNUMBER(AT127),AT127&gt;MOQ_WARNING),"MOQ too high",IF(OR(AD127="Maybe",AD127="Price Review"),"Needs partner review",IF(AD127="Buy","Good candidate","")))))))))</f>
        <v/>
      </c>
      <c r="BF127" s="16" t="n"/>
      <c r="BG127" s="16" t="n"/>
      <c r="BH127" s="16" t="n"/>
      <c r="BI127" s="16" t="n"/>
      <c r="BJ127" s="16" t="n"/>
      <c r="BK127" s="16" t="n"/>
      <c r="BL127" s="16">
        <f>IF(C127="","",IF(AND(BG127="Yes",BH127="Yes",BI127="Yes",BJ127="Yes",BK127="Yes"),"Yes","No"))</f>
        <v/>
      </c>
      <c r="BM127" s="18" t="n"/>
      <c r="BN127" s="18" t="n"/>
      <c r="BO127" s="18">
        <f>IF(OR(BM127="",BN127=""),"",BM127+BN127)</f>
        <v/>
      </c>
      <c r="BP127" s="18" t="n"/>
      <c r="BQ127" s="18">
        <f>IF(OR(BP127="",BO127=""),"",BP127-BO127)</f>
        <v/>
      </c>
      <c r="BR127" s="19">
        <f>IF(OR(BP127="",BP127=0,BQ127=""),"",BQ127/BP127)</f>
        <v/>
      </c>
      <c r="BS127" s="17" t="n"/>
      <c r="BT127" s="22" t="n"/>
      <c r="BU127" s="22" t="n"/>
      <c r="BV127" s="16" t="n"/>
      <c r="BW127" s="16" t="n"/>
      <c r="BX127" s="22">
        <f>IF(OR(BT127="",BU127=""),"",BT127-BU127)</f>
        <v/>
      </c>
      <c r="BY127" s="16" t="n"/>
      <c r="BZ127" s="17" t="n"/>
      <c r="CA127" s="16" t="n"/>
      <c r="CB127" s="16" t="n"/>
    </row>
    <row r="128">
      <c r="A128" s="23">
        <f>IF(C128="","","AYN-"&amp;IFERROR(VLOOKUP(E128,CATEGORY_PREFIX_TABLE,2,FALSE),"OTH")&amp;"-"&amp;TEXT(ROW()-2,"0000"))</f>
        <v/>
      </c>
      <c r="B128" s="24" t="n"/>
      <c r="C128" s="23" t="n"/>
      <c r="D128" s="23" t="n"/>
      <c r="E128" s="23" t="n"/>
      <c r="F128" s="23" t="n"/>
      <c r="G128" s="23" t="n"/>
      <c r="H128" s="23" t="n"/>
      <c r="I128" s="23" t="n"/>
      <c r="J128" s="23" t="n"/>
      <c r="K128" s="25">
        <f>IF(I128="","",IF(J128="BDT",I128,IF(J128="USD",I128*USD_BDT,IF(J128="RMB",I128*RMB_BDT,""))))</f>
        <v/>
      </c>
      <c r="L128" s="25" t="n"/>
      <c r="M128" s="26" t="n"/>
      <c r="N128" s="25" t="n"/>
      <c r="O128" s="25">
        <f>IF(K128="","",K128+IFERROR(L128,0)+(K128*IF(M128="",CUSTOMS_PCT,M128))+IF(N128="",MISC_FEE,N128))</f>
        <v/>
      </c>
      <c r="P128" s="25">
        <f>IF(O128="","",ROUND(O128*(1+MARKUP_PCT),-1)-1)</f>
        <v/>
      </c>
      <c r="Q128" s="25">
        <f>IF(P128="","",P128-O128)</f>
        <v/>
      </c>
      <c r="R128" s="26">
        <f>IF(OR(P128="",P128=0),"",Q128/P128)</f>
        <v/>
      </c>
      <c r="S128" s="23" t="n"/>
      <c r="T128" s="23" t="n"/>
      <c r="U128" s="23" t="n"/>
      <c r="V128" s="23" t="n"/>
      <c r="W128" s="23" t="n"/>
      <c r="X128" s="23" t="n"/>
      <c r="Y128" s="23" t="n"/>
      <c r="Z128" s="23" t="n"/>
      <c r="AA128" s="23" t="n"/>
      <c r="AB128" s="23" t="n"/>
      <c r="AC128" s="27">
        <f>IF(COUNT(S128:AB128)&lt;10,"",(S128*W_FEMININE+T128*W_TREND+U128*W_AESTHETIC+V128*W_STYLE+W128*W_LIGHT+X128*W_REELS+Y128*W_GIFT+Z128*W_PRICEFIT+AA128*W_DEMAND+AB128*W_QUALITY)/5*100)</f>
        <v/>
      </c>
      <c r="AD128" s="23">
        <f>IF(P128="","",IF(P128&gt;HARD_REJECT_PRICE,"Reject",IF(P128&gt;MAX_PRICE,"Price Review",IF(AC128="","",IF(AND(AC128&gt;=BUY_THRESHOLD,OR(AB128&lt;=2,U128&lt;=2)),"Maybe",IF(AC128&gt;=BUY_THRESHOLD,"Buy",IF(AC128&gt;=MAYBE_THRESHOLD,"Maybe","Reject")))))))</f>
        <v/>
      </c>
      <c r="AE128" s="23" t="n"/>
      <c r="AF128" s="23" t="n"/>
      <c r="AG128" s="23" t="n"/>
      <c r="AH128" s="23" t="n"/>
      <c r="AI128" s="24" t="n"/>
      <c r="AJ128">
        <f>IF(AC128="",-9999-ROW()*0.0000001,AC128-ROW()*0.0000001)</f>
        <v/>
      </c>
      <c r="AK128">
        <f>IF(OR(AC128="",P128="",P128&gt;MAX_PRICE),-9999-ROW()*0.0000001,AC128-ROW()*0.0000001)</f>
        <v/>
      </c>
      <c r="AL128">
        <f>IF(AC128="",-9999-ROW()*0.0000001,X128*1000+AC128-ROW()*0.0000001)</f>
        <v/>
      </c>
      <c r="AM128">
        <f>IF(AC128="",-9999-ROW()*0.0000001,Y128*1000+AC128-ROW()*0.0000001)</f>
        <v/>
      </c>
      <c r="AN128">
        <f>IF(AND(OR(AD128="Maybe",AD128="Price Review"),AG128&lt;&gt;"Approved",AG128&lt;&gt;"Rejected"),IF(AC128="",0,AC128)-ROW()*0.0000001,-9999-ROW()*0.0000001)</f>
        <v/>
      </c>
      <c r="AO128" s="28" t="n"/>
      <c r="AP128" s="28" t="n"/>
      <c r="AQ128" s="29" t="n"/>
      <c r="AR128" s="29" t="n"/>
      <c r="AS128" s="23" t="n"/>
      <c r="AT128" s="29" t="n"/>
      <c r="AU128" s="29" t="n"/>
      <c r="AV128" s="29" t="n"/>
      <c r="AW128" s="25">
        <f>IF(OR(O128="",AV128=""),"",O128*AV128)</f>
        <v/>
      </c>
      <c r="AX128" s="23" t="n"/>
      <c r="AY128" s="23" t="n"/>
      <c r="AZ128" s="23" t="n"/>
      <c r="BA128" s="23" t="n"/>
      <c r="BB128" s="23" t="n"/>
      <c r="BC128" s="25" t="n"/>
      <c r="BD128" s="23" t="n"/>
      <c r="BE128" s="23">
        <f>IF(C128="","",IF(AND(ISNUMBER(P128),P128&gt;MAX_PRICE),"Price too high",IF(AND(ISNUMBER(AB128),AB128&lt;=2),"Quality risk",IF(AND(ISNUMBER(U128),U128&lt;=2),"Aesthetic mismatch",IF(AY128="High","Too fragile",IF(AND(ISNUMBER(R128),R128&lt;LOW_PROFIT_PCT),"Low profit",IF(AND(ISNUMBER(AT128),AT128&gt;MOQ_WARNING),"MOQ too high",IF(OR(AD128="Maybe",AD128="Price Review"),"Needs partner review",IF(AD128="Buy","Good candidate","")))))))))</f>
        <v/>
      </c>
      <c r="BF128" s="23" t="n"/>
      <c r="BG128" s="23" t="n"/>
      <c r="BH128" s="23" t="n"/>
      <c r="BI128" s="23" t="n"/>
      <c r="BJ128" s="23" t="n"/>
      <c r="BK128" s="23" t="n"/>
      <c r="BL128" s="23">
        <f>IF(C128="","",IF(AND(BG128="Yes",BH128="Yes",BI128="Yes",BJ128="Yes",BK128="Yes"),"Yes","No"))</f>
        <v/>
      </c>
      <c r="BM128" s="25" t="n"/>
      <c r="BN128" s="25" t="n"/>
      <c r="BO128" s="25">
        <f>IF(OR(BM128="",BN128=""),"",BM128+BN128)</f>
        <v/>
      </c>
      <c r="BP128" s="25" t="n"/>
      <c r="BQ128" s="25">
        <f>IF(OR(BP128="",BO128=""),"",BP128-BO128)</f>
        <v/>
      </c>
      <c r="BR128" s="26">
        <f>IF(OR(BP128="",BP128=0,BQ128=""),"",BQ128/BP128)</f>
        <v/>
      </c>
      <c r="BS128" s="24" t="n"/>
      <c r="BT128" s="29" t="n"/>
      <c r="BU128" s="29" t="n"/>
      <c r="BV128" s="23" t="n"/>
      <c r="BW128" s="23" t="n"/>
      <c r="BX128" s="29">
        <f>IF(OR(BT128="",BU128=""),"",BT128-BU128)</f>
        <v/>
      </c>
      <c r="BY128" s="23" t="n"/>
      <c r="BZ128" s="24" t="n"/>
      <c r="CA128" s="23" t="n"/>
      <c r="CB128" s="23" t="n"/>
    </row>
    <row r="129">
      <c r="A129" s="16">
        <f>IF(C129="","","AYN-"&amp;IFERROR(VLOOKUP(E129,CATEGORY_PREFIX_TABLE,2,FALSE),"OTH")&amp;"-"&amp;TEXT(ROW()-2,"0000"))</f>
        <v/>
      </c>
      <c r="B129" s="17" t="n"/>
      <c r="C129" s="16" t="n"/>
      <c r="D129" s="16" t="n"/>
      <c r="E129" s="16" t="n"/>
      <c r="F129" s="16" t="n"/>
      <c r="G129" s="16" t="n"/>
      <c r="H129" s="16" t="n"/>
      <c r="I129" s="16" t="n"/>
      <c r="J129" s="16" t="n"/>
      <c r="K129" s="18">
        <f>IF(I129="","",IF(J129="BDT",I129,IF(J129="USD",I129*USD_BDT,IF(J129="RMB",I129*RMB_BDT,""))))</f>
        <v/>
      </c>
      <c r="L129" s="18" t="n"/>
      <c r="M129" s="19" t="n"/>
      <c r="N129" s="18" t="n"/>
      <c r="O129" s="18">
        <f>IF(K129="","",K129+IFERROR(L129,0)+(K129*IF(M129="",CUSTOMS_PCT,M129))+IF(N129="",MISC_FEE,N129))</f>
        <v/>
      </c>
      <c r="P129" s="18">
        <f>IF(O129="","",ROUND(O129*(1+MARKUP_PCT),-1)-1)</f>
        <v/>
      </c>
      <c r="Q129" s="18">
        <f>IF(P129="","",P129-O129)</f>
        <v/>
      </c>
      <c r="R129" s="19">
        <f>IF(OR(P129="",P129=0),"",Q129/P129)</f>
        <v/>
      </c>
      <c r="S129" s="16" t="n"/>
      <c r="T129" s="16" t="n"/>
      <c r="U129" s="16" t="n"/>
      <c r="V129" s="16" t="n"/>
      <c r="W129" s="16" t="n"/>
      <c r="X129" s="16" t="n"/>
      <c r="Y129" s="16" t="n"/>
      <c r="Z129" s="16" t="n"/>
      <c r="AA129" s="16" t="n"/>
      <c r="AB129" s="16" t="n"/>
      <c r="AC129" s="20">
        <f>IF(COUNT(S129:AB129)&lt;10,"",(S129*W_FEMININE+T129*W_TREND+U129*W_AESTHETIC+V129*W_STYLE+W129*W_LIGHT+X129*W_REELS+Y129*W_GIFT+Z129*W_PRICEFIT+AA129*W_DEMAND+AB129*W_QUALITY)/5*100)</f>
        <v/>
      </c>
      <c r="AD129" s="16">
        <f>IF(P129="","",IF(P129&gt;HARD_REJECT_PRICE,"Reject",IF(P129&gt;MAX_PRICE,"Price Review",IF(AC129="","",IF(AND(AC129&gt;=BUY_THRESHOLD,OR(AB129&lt;=2,U129&lt;=2)),"Maybe",IF(AC129&gt;=BUY_THRESHOLD,"Buy",IF(AC129&gt;=MAYBE_THRESHOLD,"Maybe","Reject")))))))</f>
        <v/>
      </c>
      <c r="AE129" s="16" t="n"/>
      <c r="AF129" s="16" t="n"/>
      <c r="AG129" s="16" t="n"/>
      <c r="AH129" s="16" t="n"/>
      <c r="AI129" s="17" t="n"/>
      <c r="AJ129">
        <f>IF(AC129="",-9999-ROW()*0.0000001,AC129-ROW()*0.0000001)</f>
        <v/>
      </c>
      <c r="AK129">
        <f>IF(OR(AC129="",P129="",P129&gt;MAX_PRICE),-9999-ROW()*0.0000001,AC129-ROW()*0.0000001)</f>
        <v/>
      </c>
      <c r="AL129">
        <f>IF(AC129="",-9999-ROW()*0.0000001,X129*1000+AC129-ROW()*0.0000001)</f>
        <v/>
      </c>
      <c r="AM129">
        <f>IF(AC129="",-9999-ROW()*0.0000001,Y129*1000+AC129-ROW()*0.0000001)</f>
        <v/>
      </c>
      <c r="AN129">
        <f>IF(AND(OR(AD129="Maybe",AD129="Price Review"),AG129&lt;&gt;"Approved",AG129&lt;&gt;"Rejected"),IF(AC129="",0,AC129)-ROW()*0.0000001,-9999-ROW()*0.0000001)</f>
        <v/>
      </c>
      <c r="AO129" s="21" t="n"/>
      <c r="AP129" s="21" t="n"/>
      <c r="AQ129" s="22" t="n"/>
      <c r="AR129" s="22" t="n"/>
      <c r="AS129" s="16" t="n"/>
      <c r="AT129" s="22" t="n"/>
      <c r="AU129" s="22" t="n"/>
      <c r="AV129" s="22" t="n"/>
      <c r="AW129" s="18">
        <f>IF(OR(O129="",AV129=""),"",O129*AV129)</f>
        <v/>
      </c>
      <c r="AX129" s="16" t="n"/>
      <c r="AY129" s="16" t="n"/>
      <c r="AZ129" s="16" t="n"/>
      <c r="BA129" s="16" t="n"/>
      <c r="BB129" s="16" t="n"/>
      <c r="BC129" s="18" t="n"/>
      <c r="BD129" s="16" t="n"/>
      <c r="BE129" s="16">
        <f>IF(C129="","",IF(AND(ISNUMBER(P129),P129&gt;MAX_PRICE),"Price too high",IF(AND(ISNUMBER(AB129),AB129&lt;=2),"Quality risk",IF(AND(ISNUMBER(U129),U129&lt;=2),"Aesthetic mismatch",IF(AY129="High","Too fragile",IF(AND(ISNUMBER(R129),R129&lt;LOW_PROFIT_PCT),"Low profit",IF(AND(ISNUMBER(AT129),AT129&gt;MOQ_WARNING),"MOQ too high",IF(OR(AD129="Maybe",AD129="Price Review"),"Needs partner review",IF(AD129="Buy","Good candidate","")))))))))</f>
        <v/>
      </c>
      <c r="BF129" s="16" t="n"/>
      <c r="BG129" s="16" t="n"/>
      <c r="BH129" s="16" t="n"/>
      <c r="BI129" s="16" t="n"/>
      <c r="BJ129" s="16" t="n"/>
      <c r="BK129" s="16" t="n"/>
      <c r="BL129" s="16">
        <f>IF(C129="","",IF(AND(BG129="Yes",BH129="Yes",BI129="Yes",BJ129="Yes",BK129="Yes"),"Yes","No"))</f>
        <v/>
      </c>
      <c r="BM129" s="18" t="n"/>
      <c r="BN129" s="18" t="n"/>
      <c r="BO129" s="18">
        <f>IF(OR(BM129="",BN129=""),"",BM129+BN129)</f>
        <v/>
      </c>
      <c r="BP129" s="18" t="n"/>
      <c r="BQ129" s="18">
        <f>IF(OR(BP129="",BO129=""),"",BP129-BO129)</f>
        <v/>
      </c>
      <c r="BR129" s="19">
        <f>IF(OR(BP129="",BP129=0,BQ129=""),"",BQ129/BP129)</f>
        <v/>
      </c>
      <c r="BS129" s="17" t="n"/>
      <c r="BT129" s="22" t="n"/>
      <c r="BU129" s="22" t="n"/>
      <c r="BV129" s="16" t="n"/>
      <c r="BW129" s="16" t="n"/>
      <c r="BX129" s="22">
        <f>IF(OR(BT129="",BU129=""),"",BT129-BU129)</f>
        <v/>
      </c>
      <c r="BY129" s="16" t="n"/>
      <c r="BZ129" s="17" t="n"/>
      <c r="CA129" s="16" t="n"/>
      <c r="CB129" s="16" t="n"/>
    </row>
    <row r="130">
      <c r="A130" s="23">
        <f>IF(C130="","","AYN-"&amp;IFERROR(VLOOKUP(E130,CATEGORY_PREFIX_TABLE,2,FALSE),"OTH")&amp;"-"&amp;TEXT(ROW()-2,"0000"))</f>
        <v/>
      </c>
      <c r="B130" s="24" t="n"/>
      <c r="C130" s="23" t="n"/>
      <c r="D130" s="23" t="n"/>
      <c r="E130" s="23" t="n"/>
      <c r="F130" s="23" t="n"/>
      <c r="G130" s="23" t="n"/>
      <c r="H130" s="23" t="n"/>
      <c r="I130" s="23" t="n"/>
      <c r="J130" s="23" t="n"/>
      <c r="K130" s="25">
        <f>IF(I130="","",IF(J130="BDT",I130,IF(J130="USD",I130*USD_BDT,IF(J130="RMB",I130*RMB_BDT,""))))</f>
        <v/>
      </c>
      <c r="L130" s="25" t="n"/>
      <c r="M130" s="26" t="n"/>
      <c r="N130" s="25" t="n"/>
      <c r="O130" s="25">
        <f>IF(K130="","",K130+IFERROR(L130,0)+(K130*IF(M130="",CUSTOMS_PCT,M130))+IF(N130="",MISC_FEE,N130))</f>
        <v/>
      </c>
      <c r="P130" s="25">
        <f>IF(O130="","",ROUND(O130*(1+MARKUP_PCT),-1)-1)</f>
        <v/>
      </c>
      <c r="Q130" s="25">
        <f>IF(P130="","",P130-O130)</f>
        <v/>
      </c>
      <c r="R130" s="26">
        <f>IF(OR(P130="",P130=0),"",Q130/P130)</f>
        <v/>
      </c>
      <c r="S130" s="23" t="n"/>
      <c r="T130" s="23" t="n"/>
      <c r="U130" s="23" t="n"/>
      <c r="V130" s="23" t="n"/>
      <c r="W130" s="23" t="n"/>
      <c r="X130" s="23" t="n"/>
      <c r="Y130" s="23" t="n"/>
      <c r="Z130" s="23" t="n"/>
      <c r="AA130" s="23" t="n"/>
      <c r="AB130" s="23" t="n"/>
      <c r="AC130" s="27">
        <f>IF(COUNT(S130:AB130)&lt;10,"",(S130*W_FEMININE+T130*W_TREND+U130*W_AESTHETIC+V130*W_STYLE+W130*W_LIGHT+X130*W_REELS+Y130*W_GIFT+Z130*W_PRICEFIT+AA130*W_DEMAND+AB130*W_QUALITY)/5*100)</f>
        <v/>
      </c>
      <c r="AD130" s="23">
        <f>IF(P130="","",IF(P130&gt;HARD_REJECT_PRICE,"Reject",IF(P130&gt;MAX_PRICE,"Price Review",IF(AC130="","",IF(AND(AC130&gt;=BUY_THRESHOLD,OR(AB130&lt;=2,U130&lt;=2)),"Maybe",IF(AC130&gt;=BUY_THRESHOLD,"Buy",IF(AC130&gt;=MAYBE_THRESHOLD,"Maybe","Reject")))))))</f>
        <v/>
      </c>
      <c r="AE130" s="23" t="n"/>
      <c r="AF130" s="23" t="n"/>
      <c r="AG130" s="23" t="n"/>
      <c r="AH130" s="23" t="n"/>
      <c r="AI130" s="24" t="n"/>
      <c r="AJ130">
        <f>IF(AC130="",-9999-ROW()*0.0000001,AC130-ROW()*0.0000001)</f>
        <v/>
      </c>
      <c r="AK130">
        <f>IF(OR(AC130="",P130="",P130&gt;MAX_PRICE),-9999-ROW()*0.0000001,AC130-ROW()*0.0000001)</f>
        <v/>
      </c>
      <c r="AL130">
        <f>IF(AC130="",-9999-ROW()*0.0000001,X130*1000+AC130-ROW()*0.0000001)</f>
        <v/>
      </c>
      <c r="AM130">
        <f>IF(AC130="",-9999-ROW()*0.0000001,Y130*1000+AC130-ROW()*0.0000001)</f>
        <v/>
      </c>
      <c r="AN130">
        <f>IF(AND(OR(AD130="Maybe",AD130="Price Review"),AG130&lt;&gt;"Approved",AG130&lt;&gt;"Rejected"),IF(AC130="",0,AC130)-ROW()*0.0000001,-9999-ROW()*0.0000001)</f>
        <v/>
      </c>
      <c r="AO130" s="28" t="n"/>
      <c r="AP130" s="28" t="n"/>
      <c r="AQ130" s="29" t="n"/>
      <c r="AR130" s="29" t="n"/>
      <c r="AS130" s="23" t="n"/>
      <c r="AT130" s="29" t="n"/>
      <c r="AU130" s="29" t="n"/>
      <c r="AV130" s="29" t="n"/>
      <c r="AW130" s="25">
        <f>IF(OR(O130="",AV130=""),"",O130*AV130)</f>
        <v/>
      </c>
      <c r="AX130" s="23" t="n"/>
      <c r="AY130" s="23" t="n"/>
      <c r="AZ130" s="23" t="n"/>
      <c r="BA130" s="23" t="n"/>
      <c r="BB130" s="23" t="n"/>
      <c r="BC130" s="25" t="n"/>
      <c r="BD130" s="23" t="n"/>
      <c r="BE130" s="23">
        <f>IF(C130="","",IF(AND(ISNUMBER(P130),P130&gt;MAX_PRICE),"Price too high",IF(AND(ISNUMBER(AB130),AB130&lt;=2),"Quality risk",IF(AND(ISNUMBER(U130),U130&lt;=2),"Aesthetic mismatch",IF(AY130="High","Too fragile",IF(AND(ISNUMBER(R130),R130&lt;LOW_PROFIT_PCT),"Low profit",IF(AND(ISNUMBER(AT130),AT130&gt;MOQ_WARNING),"MOQ too high",IF(OR(AD130="Maybe",AD130="Price Review"),"Needs partner review",IF(AD130="Buy","Good candidate","")))))))))</f>
        <v/>
      </c>
      <c r="BF130" s="23" t="n"/>
      <c r="BG130" s="23" t="n"/>
      <c r="BH130" s="23" t="n"/>
      <c r="BI130" s="23" t="n"/>
      <c r="BJ130" s="23" t="n"/>
      <c r="BK130" s="23" t="n"/>
      <c r="BL130" s="23">
        <f>IF(C130="","",IF(AND(BG130="Yes",BH130="Yes",BI130="Yes",BJ130="Yes",BK130="Yes"),"Yes","No"))</f>
        <v/>
      </c>
      <c r="BM130" s="25" t="n"/>
      <c r="BN130" s="25" t="n"/>
      <c r="BO130" s="25">
        <f>IF(OR(BM130="",BN130=""),"",BM130+BN130)</f>
        <v/>
      </c>
      <c r="BP130" s="25" t="n"/>
      <c r="BQ130" s="25">
        <f>IF(OR(BP130="",BO130=""),"",BP130-BO130)</f>
        <v/>
      </c>
      <c r="BR130" s="26">
        <f>IF(OR(BP130="",BP130=0,BQ130=""),"",BQ130/BP130)</f>
        <v/>
      </c>
      <c r="BS130" s="24" t="n"/>
      <c r="BT130" s="29" t="n"/>
      <c r="BU130" s="29" t="n"/>
      <c r="BV130" s="23" t="n"/>
      <c r="BW130" s="23" t="n"/>
      <c r="BX130" s="29">
        <f>IF(OR(BT130="",BU130=""),"",BT130-BU130)</f>
        <v/>
      </c>
      <c r="BY130" s="23" t="n"/>
      <c r="BZ130" s="24" t="n"/>
      <c r="CA130" s="23" t="n"/>
      <c r="CB130" s="23" t="n"/>
    </row>
    <row r="131">
      <c r="A131" s="16">
        <f>IF(C131="","","AYN-"&amp;IFERROR(VLOOKUP(E131,CATEGORY_PREFIX_TABLE,2,FALSE),"OTH")&amp;"-"&amp;TEXT(ROW()-2,"0000"))</f>
        <v/>
      </c>
      <c r="B131" s="17" t="n"/>
      <c r="C131" s="16" t="n"/>
      <c r="D131" s="16" t="n"/>
      <c r="E131" s="16" t="n"/>
      <c r="F131" s="16" t="n"/>
      <c r="G131" s="16" t="n"/>
      <c r="H131" s="16" t="n"/>
      <c r="I131" s="16" t="n"/>
      <c r="J131" s="16" t="n"/>
      <c r="K131" s="18">
        <f>IF(I131="","",IF(J131="BDT",I131,IF(J131="USD",I131*USD_BDT,IF(J131="RMB",I131*RMB_BDT,""))))</f>
        <v/>
      </c>
      <c r="L131" s="18" t="n"/>
      <c r="M131" s="19" t="n"/>
      <c r="N131" s="18" t="n"/>
      <c r="O131" s="18">
        <f>IF(K131="","",K131+IFERROR(L131,0)+(K131*IF(M131="",CUSTOMS_PCT,M131))+IF(N131="",MISC_FEE,N131))</f>
        <v/>
      </c>
      <c r="P131" s="18">
        <f>IF(O131="","",ROUND(O131*(1+MARKUP_PCT),-1)-1)</f>
        <v/>
      </c>
      <c r="Q131" s="18">
        <f>IF(P131="","",P131-O131)</f>
        <v/>
      </c>
      <c r="R131" s="19">
        <f>IF(OR(P131="",P131=0),"",Q131/P131)</f>
        <v/>
      </c>
      <c r="S131" s="16" t="n"/>
      <c r="T131" s="16" t="n"/>
      <c r="U131" s="16" t="n"/>
      <c r="V131" s="16" t="n"/>
      <c r="W131" s="16" t="n"/>
      <c r="X131" s="16" t="n"/>
      <c r="Y131" s="16" t="n"/>
      <c r="Z131" s="16" t="n"/>
      <c r="AA131" s="16" t="n"/>
      <c r="AB131" s="16" t="n"/>
      <c r="AC131" s="20">
        <f>IF(COUNT(S131:AB131)&lt;10,"",(S131*W_FEMININE+T131*W_TREND+U131*W_AESTHETIC+V131*W_STYLE+W131*W_LIGHT+X131*W_REELS+Y131*W_GIFT+Z131*W_PRICEFIT+AA131*W_DEMAND+AB131*W_QUALITY)/5*100)</f>
        <v/>
      </c>
      <c r="AD131" s="16">
        <f>IF(P131="","",IF(P131&gt;HARD_REJECT_PRICE,"Reject",IF(P131&gt;MAX_PRICE,"Price Review",IF(AC131="","",IF(AND(AC131&gt;=BUY_THRESHOLD,OR(AB131&lt;=2,U131&lt;=2)),"Maybe",IF(AC131&gt;=BUY_THRESHOLD,"Buy",IF(AC131&gt;=MAYBE_THRESHOLD,"Maybe","Reject")))))))</f>
        <v/>
      </c>
      <c r="AE131" s="16" t="n"/>
      <c r="AF131" s="16" t="n"/>
      <c r="AG131" s="16" t="n"/>
      <c r="AH131" s="16" t="n"/>
      <c r="AI131" s="17" t="n"/>
      <c r="AJ131">
        <f>IF(AC131="",-9999-ROW()*0.0000001,AC131-ROW()*0.0000001)</f>
        <v/>
      </c>
      <c r="AK131">
        <f>IF(OR(AC131="",P131="",P131&gt;MAX_PRICE),-9999-ROW()*0.0000001,AC131-ROW()*0.0000001)</f>
        <v/>
      </c>
      <c r="AL131">
        <f>IF(AC131="",-9999-ROW()*0.0000001,X131*1000+AC131-ROW()*0.0000001)</f>
        <v/>
      </c>
      <c r="AM131">
        <f>IF(AC131="",-9999-ROW()*0.0000001,Y131*1000+AC131-ROW()*0.0000001)</f>
        <v/>
      </c>
      <c r="AN131">
        <f>IF(AND(OR(AD131="Maybe",AD131="Price Review"),AG131&lt;&gt;"Approved",AG131&lt;&gt;"Rejected"),IF(AC131="",0,AC131)-ROW()*0.0000001,-9999-ROW()*0.0000001)</f>
        <v/>
      </c>
      <c r="AO131" s="21" t="n"/>
      <c r="AP131" s="21" t="n"/>
      <c r="AQ131" s="22" t="n"/>
      <c r="AR131" s="22" t="n"/>
      <c r="AS131" s="16" t="n"/>
      <c r="AT131" s="22" t="n"/>
      <c r="AU131" s="22" t="n"/>
      <c r="AV131" s="22" t="n"/>
      <c r="AW131" s="18">
        <f>IF(OR(O131="",AV131=""),"",O131*AV131)</f>
        <v/>
      </c>
      <c r="AX131" s="16" t="n"/>
      <c r="AY131" s="16" t="n"/>
      <c r="AZ131" s="16" t="n"/>
      <c r="BA131" s="16" t="n"/>
      <c r="BB131" s="16" t="n"/>
      <c r="BC131" s="18" t="n"/>
      <c r="BD131" s="16" t="n"/>
      <c r="BE131" s="16">
        <f>IF(C131="","",IF(AND(ISNUMBER(P131),P131&gt;MAX_PRICE),"Price too high",IF(AND(ISNUMBER(AB131),AB131&lt;=2),"Quality risk",IF(AND(ISNUMBER(U131),U131&lt;=2),"Aesthetic mismatch",IF(AY131="High","Too fragile",IF(AND(ISNUMBER(R131),R131&lt;LOW_PROFIT_PCT),"Low profit",IF(AND(ISNUMBER(AT131),AT131&gt;MOQ_WARNING),"MOQ too high",IF(OR(AD131="Maybe",AD131="Price Review"),"Needs partner review",IF(AD131="Buy","Good candidate","")))))))))</f>
        <v/>
      </c>
      <c r="BF131" s="16" t="n"/>
      <c r="BG131" s="16" t="n"/>
      <c r="BH131" s="16" t="n"/>
      <c r="BI131" s="16" t="n"/>
      <c r="BJ131" s="16" t="n"/>
      <c r="BK131" s="16" t="n"/>
      <c r="BL131" s="16">
        <f>IF(C131="","",IF(AND(BG131="Yes",BH131="Yes",BI131="Yes",BJ131="Yes",BK131="Yes"),"Yes","No"))</f>
        <v/>
      </c>
      <c r="BM131" s="18" t="n"/>
      <c r="BN131" s="18" t="n"/>
      <c r="BO131" s="18">
        <f>IF(OR(BM131="",BN131=""),"",BM131+BN131)</f>
        <v/>
      </c>
      <c r="BP131" s="18" t="n"/>
      <c r="BQ131" s="18">
        <f>IF(OR(BP131="",BO131=""),"",BP131-BO131)</f>
        <v/>
      </c>
      <c r="BR131" s="19">
        <f>IF(OR(BP131="",BP131=0,BQ131=""),"",BQ131/BP131)</f>
        <v/>
      </c>
      <c r="BS131" s="17" t="n"/>
      <c r="BT131" s="22" t="n"/>
      <c r="BU131" s="22" t="n"/>
      <c r="BV131" s="16" t="n"/>
      <c r="BW131" s="16" t="n"/>
      <c r="BX131" s="22">
        <f>IF(OR(BT131="",BU131=""),"",BT131-BU131)</f>
        <v/>
      </c>
      <c r="BY131" s="16" t="n"/>
      <c r="BZ131" s="17" t="n"/>
      <c r="CA131" s="16" t="n"/>
      <c r="CB131" s="16" t="n"/>
    </row>
    <row r="132">
      <c r="A132" s="23">
        <f>IF(C132="","","AYN-"&amp;IFERROR(VLOOKUP(E132,CATEGORY_PREFIX_TABLE,2,FALSE),"OTH")&amp;"-"&amp;TEXT(ROW()-2,"0000"))</f>
        <v/>
      </c>
      <c r="B132" s="24" t="n"/>
      <c r="C132" s="23" t="n"/>
      <c r="D132" s="23" t="n"/>
      <c r="E132" s="23" t="n"/>
      <c r="F132" s="23" t="n"/>
      <c r="G132" s="23" t="n"/>
      <c r="H132" s="23" t="n"/>
      <c r="I132" s="23" t="n"/>
      <c r="J132" s="23" t="n"/>
      <c r="K132" s="25">
        <f>IF(I132="","",IF(J132="BDT",I132,IF(J132="USD",I132*USD_BDT,IF(J132="RMB",I132*RMB_BDT,""))))</f>
        <v/>
      </c>
      <c r="L132" s="25" t="n"/>
      <c r="M132" s="26" t="n"/>
      <c r="N132" s="25" t="n"/>
      <c r="O132" s="25">
        <f>IF(K132="","",K132+IFERROR(L132,0)+(K132*IF(M132="",CUSTOMS_PCT,M132))+IF(N132="",MISC_FEE,N132))</f>
        <v/>
      </c>
      <c r="P132" s="25">
        <f>IF(O132="","",ROUND(O132*(1+MARKUP_PCT),-1)-1)</f>
        <v/>
      </c>
      <c r="Q132" s="25">
        <f>IF(P132="","",P132-O132)</f>
        <v/>
      </c>
      <c r="R132" s="26">
        <f>IF(OR(P132="",P132=0),"",Q132/P132)</f>
        <v/>
      </c>
      <c r="S132" s="23" t="n"/>
      <c r="T132" s="23" t="n"/>
      <c r="U132" s="23" t="n"/>
      <c r="V132" s="23" t="n"/>
      <c r="W132" s="23" t="n"/>
      <c r="X132" s="23" t="n"/>
      <c r="Y132" s="23" t="n"/>
      <c r="Z132" s="23" t="n"/>
      <c r="AA132" s="23" t="n"/>
      <c r="AB132" s="23" t="n"/>
      <c r="AC132" s="27">
        <f>IF(COUNT(S132:AB132)&lt;10,"",(S132*W_FEMININE+T132*W_TREND+U132*W_AESTHETIC+V132*W_STYLE+W132*W_LIGHT+X132*W_REELS+Y132*W_GIFT+Z132*W_PRICEFIT+AA132*W_DEMAND+AB132*W_QUALITY)/5*100)</f>
        <v/>
      </c>
      <c r="AD132" s="23">
        <f>IF(P132="","",IF(P132&gt;HARD_REJECT_PRICE,"Reject",IF(P132&gt;MAX_PRICE,"Price Review",IF(AC132="","",IF(AND(AC132&gt;=BUY_THRESHOLD,OR(AB132&lt;=2,U132&lt;=2)),"Maybe",IF(AC132&gt;=BUY_THRESHOLD,"Buy",IF(AC132&gt;=MAYBE_THRESHOLD,"Maybe","Reject")))))))</f>
        <v/>
      </c>
      <c r="AE132" s="23" t="n"/>
      <c r="AF132" s="23" t="n"/>
      <c r="AG132" s="23" t="n"/>
      <c r="AH132" s="23" t="n"/>
      <c r="AI132" s="24" t="n"/>
      <c r="AJ132">
        <f>IF(AC132="",-9999-ROW()*0.0000001,AC132-ROW()*0.0000001)</f>
        <v/>
      </c>
      <c r="AK132">
        <f>IF(OR(AC132="",P132="",P132&gt;MAX_PRICE),-9999-ROW()*0.0000001,AC132-ROW()*0.0000001)</f>
        <v/>
      </c>
      <c r="AL132">
        <f>IF(AC132="",-9999-ROW()*0.0000001,X132*1000+AC132-ROW()*0.0000001)</f>
        <v/>
      </c>
      <c r="AM132">
        <f>IF(AC132="",-9999-ROW()*0.0000001,Y132*1000+AC132-ROW()*0.0000001)</f>
        <v/>
      </c>
      <c r="AN132">
        <f>IF(AND(OR(AD132="Maybe",AD132="Price Review"),AG132&lt;&gt;"Approved",AG132&lt;&gt;"Rejected"),IF(AC132="",0,AC132)-ROW()*0.0000001,-9999-ROW()*0.0000001)</f>
        <v/>
      </c>
      <c r="AO132" s="28" t="n"/>
      <c r="AP132" s="28" t="n"/>
      <c r="AQ132" s="29" t="n"/>
      <c r="AR132" s="29" t="n"/>
      <c r="AS132" s="23" t="n"/>
      <c r="AT132" s="29" t="n"/>
      <c r="AU132" s="29" t="n"/>
      <c r="AV132" s="29" t="n"/>
      <c r="AW132" s="25">
        <f>IF(OR(O132="",AV132=""),"",O132*AV132)</f>
        <v/>
      </c>
      <c r="AX132" s="23" t="n"/>
      <c r="AY132" s="23" t="n"/>
      <c r="AZ132" s="23" t="n"/>
      <c r="BA132" s="23" t="n"/>
      <c r="BB132" s="23" t="n"/>
      <c r="BC132" s="25" t="n"/>
      <c r="BD132" s="23" t="n"/>
      <c r="BE132" s="23">
        <f>IF(C132="","",IF(AND(ISNUMBER(P132),P132&gt;MAX_PRICE),"Price too high",IF(AND(ISNUMBER(AB132),AB132&lt;=2),"Quality risk",IF(AND(ISNUMBER(U132),U132&lt;=2),"Aesthetic mismatch",IF(AY132="High","Too fragile",IF(AND(ISNUMBER(R132),R132&lt;LOW_PROFIT_PCT),"Low profit",IF(AND(ISNUMBER(AT132),AT132&gt;MOQ_WARNING),"MOQ too high",IF(OR(AD132="Maybe",AD132="Price Review"),"Needs partner review",IF(AD132="Buy","Good candidate","")))))))))</f>
        <v/>
      </c>
      <c r="BF132" s="23" t="n"/>
      <c r="BG132" s="23" t="n"/>
      <c r="BH132" s="23" t="n"/>
      <c r="BI132" s="23" t="n"/>
      <c r="BJ132" s="23" t="n"/>
      <c r="BK132" s="23" t="n"/>
      <c r="BL132" s="23">
        <f>IF(C132="","",IF(AND(BG132="Yes",BH132="Yes",BI132="Yes",BJ132="Yes",BK132="Yes"),"Yes","No"))</f>
        <v/>
      </c>
      <c r="BM132" s="25" t="n"/>
      <c r="BN132" s="25" t="n"/>
      <c r="BO132" s="25">
        <f>IF(OR(BM132="",BN132=""),"",BM132+BN132)</f>
        <v/>
      </c>
      <c r="BP132" s="25" t="n"/>
      <c r="BQ132" s="25">
        <f>IF(OR(BP132="",BO132=""),"",BP132-BO132)</f>
        <v/>
      </c>
      <c r="BR132" s="26">
        <f>IF(OR(BP132="",BP132=0,BQ132=""),"",BQ132/BP132)</f>
        <v/>
      </c>
      <c r="BS132" s="24" t="n"/>
      <c r="BT132" s="29" t="n"/>
      <c r="BU132" s="29" t="n"/>
      <c r="BV132" s="23" t="n"/>
      <c r="BW132" s="23" t="n"/>
      <c r="BX132" s="29">
        <f>IF(OR(BT132="",BU132=""),"",BT132-BU132)</f>
        <v/>
      </c>
      <c r="BY132" s="23" t="n"/>
      <c r="BZ132" s="24" t="n"/>
      <c r="CA132" s="23" t="n"/>
      <c r="CB132" s="23" t="n"/>
    </row>
    <row r="133">
      <c r="A133" s="16">
        <f>IF(C133="","","AYN-"&amp;IFERROR(VLOOKUP(E133,CATEGORY_PREFIX_TABLE,2,FALSE),"OTH")&amp;"-"&amp;TEXT(ROW()-2,"0000"))</f>
        <v/>
      </c>
      <c r="B133" s="17" t="n"/>
      <c r="C133" s="16" t="n"/>
      <c r="D133" s="16" t="n"/>
      <c r="E133" s="16" t="n"/>
      <c r="F133" s="16" t="n"/>
      <c r="G133" s="16" t="n"/>
      <c r="H133" s="16" t="n"/>
      <c r="I133" s="16" t="n"/>
      <c r="J133" s="16" t="n"/>
      <c r="K133" s="18">
        <f>IF(I133="","",IF(J133="BDT",I133,IF(J133="USD",I133*USD_BDT,IF(J133="RMB",I133*RMB_BDT,""))))</f>
        <v/>
      </c>
      <c r="L133" s="18" t="n"/>
      <c r="M133" s="19" t="n"/>
      <c r="N133" s="18" t="n"/>
      <c r="O133" s="18">
        <f>IF(K133="","",K133+IFERROR(L133,0)+(K133*IF(M133="",CUSTOMS_PCT,M133))+IF(N133="",MISC_FEE,N133))</f>
        <v/>
      </c>
      <c r="P133" s="18">
        <f>IF(O133="","",ROUND(O133*(1+MARKUP_PCT),-1)-1)</f>
        <v/>
      </c>
      <c r="Q133" s="18">
        <f>IF(P133="","",P133-O133)</f>
        <v/>
      </c>
      <c r="R133" s="19">
        <f>IF(OR(P133="",P133=0),"",Q133/P133)</f>
        <v/>
      </c>
      <c r="S133" s="16" t="n"/>
      <c r="T133" s="16" t="n"/>
      <c r="U133" s="16" t="n"/>
      <c r="V133" s="16" t="n"/>
      <c r="W133" s="16" t="n"/>
      <c r="X133" s="16" t="n"/>
      <c r="Y133" s="16" t="n"/>
      <c r="Z133" s="16" t="n"/>
      <c r="AA133" s="16" t="n"/>
      <c r="AB133" s="16" t="n"/>
      <c r="AC133" s="20">
        <f>IF(COUNT(S133:AB133)&lt;10,"",(S133*W_FEMININE+T133*W_TREND+U133*W_AESTHETIC+V133*W_STYLE+W133*W_LIGHT+X133*W_REELS+Y133*W_GIFT+Z133*W_PRICEFIT+AA133*W_DEMAND+AB133*W_QUALITY)/5*100)</f>
        <v/>
      </c>
      <c r="AD133" s="16">
        <f>IF(P133="","",IF(P133&gt;HARD_REJECT_PRICE,"Reject",IF(P133&gt;MAX_PRICE,"Price Review",IF(AC133="","",IF(AND(AC133&gt;=BUY_THRESHOLD,OR(AB133&lt;=2,U133&lt;=2)),"Maybe",IF(AC133&gt;=BUY_THRESHOLD,"Buy",IF(AC133&gt;=MAYBE_THRESHOLD,"Maybe","Reject")))))))</f>
        <v/>
      </c>
      <c r="AE133" s="16" t="n"/>
      <c r="AF133" s="16" t="n"/>
      <c r="AG133" s="16" t="n"/>
      <c r="AH133" s="16" t="n"/>
      <c r="AI133" s="17" t="n"/>
      <c r="AJ133">
        <f>IF(AC133="",-9999-ROW()*0.0000001,AC133-ROW()*0.0000001)</f>
        <v/>
      </c>
      <c r="AK133">
        <f>IF(OR(AC133="",P133="",P133&gt;MAX_PRICE),-9999-ROW()*0.0000001,AC133-ROW()*0.0000001)</f>
        <v/>
      </c>
      <c r="AL133">
        <f>IF(AC133="",-9999-ROW()*0.0000001,X133*1000+AC133-ROW()*0.0000001)</f>
        <v/>
      </c>
      <c r="AM133">
        <f>IF(AC133="",-9999-ROW()*0.0000001,Y133*1000+AC133-ROW()*0.0000001)</f>
        <v/>
      </c>
      <c r="AN133">
        <f>IF(AND(OR(AD133="Maybe",AD133="Price Review"),AG133&lt;&gt;"Approved",AG133&lt;&gt;"Rejected"),IF(AC133="",0,AC133)-ROW()*0.0000001,-9999-ROW()*0.0000001)</f>
        <v/>
      </c>
      <c r="AO133" s="21" t="n"/>
      <c r="AP133" s="21" t="n"/>
      <c r="AQ133" s="22" t="n"/>
      <c r="AR133" s="22" t="n"/>
      <c r="AS133" s="16" t="n"/>
      <c r="AT133" s="22" t="n"/>
      <c r="AU133" s="22" t="n"/>
      <c r="AV133" s="22" t="n"/>
      <c r="AW133" s="18">
        <f>IF(OR(O133="",AV133=""),"",O133*AV133)</f>
        <v/>
      </c>
      <c r="AX133" s="16" t="n"/>
      <c r="AY133" s="16" t="n"/>
      <c r="AZ133" s="16" t="n"/>
      <c r="BA133" s="16" t="n"/>
      <c r="BB133" s="16" t="n"/>
      <c r="BC133" s="18" t="n"/>
      <c r="BD133" s="16" t="n"/>
      <c r="BE133" s="16">
        <f>IF(C133="","",IF(AND(ISNUMBER(P133),P133&gt;MAX_PRICE),"Price too high",IF(AND(ISNUMBER(AB133),AB133&lt;=2),"Quality risk",IF(AND(ISNUMBER(U133),U133&lt;=2),"Aesthetic mismatch",IF(AY133="High","Too fragile",IF(AND(ISNUMBER(R133),R133&lt;LOW_PROFIT_PCT),"Low profit",IF(AND(ISNUMBER(AT133),AT133&gt;MOQ_WARNING),"MOQ too high",IF(OR(AD133="Maybe",AD133="Price Review"),"Needs partner review",IF(AD133="Buy","Good candidate","")))))))))</f>
        <v/>
      </c>
      <c r="BF133" s="16" t="n"/>
      <c r="BG133" s="16" t="n"/>
      <c r="BH133" s="16" t="n"/>
      <c r="BI133" s="16" t="n"/>
      <c r="BJ133" s="16" t="n"/>
      <c r="BK133" s="16" t="n"/>
      <c r="BL133" s="16">
        <f>IF(C133="","",IF(AND(BG133="Yes",BH133="Yes",BI133="Yes",BJ133="Yes",BK133="Yes"),"Yes","No"))</f>
        <v/>
      </c>
      <c r="BM133" s="18" t="n"/>
      <c r="BN133" s="18" t="n"/>
      <c r="BO133" s="18">
        <f>IF(OR(BM133="",BN133=""),"",BM133+BN133)</f>
        <v/>
      </c>
      <c r="BP133" s="18" t="n"/>
      <c r="BQ133" s="18">
        <f>IF(OR(BP133="",BO133=""),"",BP133-BO133)</f>
        <v/>
      </c>
      <c r="BR133" s="19">
        <f>IF(OR(BP133="",BP133=0,BQ133=""),"",BQ133/BP133)</f>
        <v/>
      </c>
      <c r="BS133" s="17" t="n"/>
      <c r="BT133" s="22" t="n"/>
      <c r="BU133" s="22" t="n"/>
      <c r="BV133" s="16" t="n"/>
      <c r="BW133" s="16" t="n"/>
      <c r="BX133" s="22">
        <f>IF(OR(BT133="",BU133=""),"",BT133-BU133)</f>
        <v/>
      </c>
      <c r="BY133" s="16" t="n"/>
      <c r="BZ133" s="17" t="n"/>
      <c r="CA133" s="16" t="n"/>
      <c r="CB133" s="16" t="n"/>
    </row>
    <row r="134">
      <c r="A134" s="23">
        <f>IF(C134="","","AYN-"&amp;IFERROR(VLOOKUP(E134,CATEGORY_PREFIX_TABLE,2,FALSE),"OTH")&amp;"-"&amp;TEXT(ROW()-2,"0000"))</f>
        <v/>
      </c>
      <c r="B134" s="24" t="n"/>
      <c r="C134" s="23" t="n"/>
      <c r="D134" s="23" t="n"/>
      <c r="E134" s="23" t="n"/>
      <c r="F134" s="23" t="n"/>
      <c r="G134" s="23" t="n"/>
      <c r="H134" s="23" t="n"/>
      <c r="I134" s="23" t="n"/>
      <c r="J134" s="23" t="n"/>
      <c r="K134" s="25">
        <f>IF(I134="","",IF(J134="BDT",I134,IF(J134="USD",I134*USD_BDT,IF(J134="RMB",I134*RMB_BDT,""))))</f>
        <v/>
      </c>
      <c r="L134" s="25" t="n"/>
      <c r="M134" s="26" t="n"/>
      <c r="N134" s="25" t="n"/>
      <c r="O134" s="25">
        <f>IF(K134="","",K134+IFERROR(L134,0)+(K134*IF(M134="",CUSTOMS_PCT,M134))+IF(N134="",MISC_FEE,N134))</f>
        <v/>
      </c>
      <c r="P134" s="25">
        <f>IF(O134="","",ROUND(O134*(1+MARKUP_PCT),-1)-1)</f>
        <v/>
      </c>
      <c r="Q134" s="25">
        <f>IF(P134="","",P134-O134)</f>
        <v/>
      </c>
      <c r="R134" s="26">
        <f>IF(OR(P134="",P134=0),"",Q134/P134)</f>
        <v/>
      </c>
      <c r="S134" s="23" t="n"/>
      <c r="T134" s="23" t="n"/>
      <c r="U134" s="23" t="n"/>
      <c r="V134" s="23" t="n"/>
      <c r="W134" s="23" t="n"/>
      <c r="X134" s="23" t="n"/>
      <c r="Y134" s="23" t="n"/>
      <c r="Z134" s="23" t="n"/>
      <c r="AA134" s="23" t="n"/>
      <c r="AB134" s="23" t="n"/>
      <c r="AC134" s="27">
        <f>IF(COUNT(S134:AB134)&lt;10,"",(S134*W_FEMININE+T134*W_TREND+U134*W_AESTHETIC+V134*W_STYLE+W134*W_LIGHT+X134*W_REELS+Y134*W_GIFT+Z134*W_PRICEFIT+AA134*W_DEMAND+AB134*W_QUALITY)/5*100)</f>
        <v/>
      </c>
      <c r="AD134" s="23">
        <f>IF(P134="","",IF(P134&gt;HARD_REJECT_PRICE,"Reject",IF(P134&gt;MAX_PRICE,"Price Review",IF(AC134="","",IF(AND(AC134&gt;=BUY_THRESHOLD,OR(AB134&lt;=2,U134&lt;=2)),"Maybe",IF(AC134&gt;=BUY_THRESHOLD,"Buy",IF(AC134&gt;=MAYBE_THRESHOLD,"Maybe","Reject")))))))</f>
        <v/>
      </c>
      <c r="AE134" s="23" t="n"/>
      <c r="AF134" s="23" t="n"/>
      <c r="AG134" s="23" t="n"/>
      <c r="AH134" s="23" t="n"/>
      <c r="AI134" s="24" t="n"/>
      <c r="AJ134">
        <f>IF(AC134="",-9999-ROW()*0.0000001,AC134-ROW()*0.0000001)</f>
        <v/>
      </c>
      <c r="AK134">
        <f>IF(OR(AC134="",P134="",P134&gt;MAX_PRICE),-9999-ROW()*0.0000001,AC134-ROW()*0.0000001)</f>
        <v/>
      </c>
      <c r="AL134">
        <f>IF(AC134="",-9999-ROW()*0.0000001,X134*1000+AC134-ROW()*0.0000001)</f>
        <v/>
      </c>
      <c r="AM134">
        <f>IF(AC134="",-9999-ROW()*0.0000001,Y134*1000+AC134-ROW()*0.0000001)</f>
        <v/>
      </c>
      <c r="AN134">
        <f>IF(AND(OR(AD134="Maybe",AD134="Price Review"),AG134&lt;&gt;"Approved",AG134&lt;&gt;"Rejected"),IF(AC134="",0,AC134)-ROW()*0.0000001,-9999-ROW()*0.0000001)</f>
        <v/>
      </c>
      <c r="AO134" s="28" t="n"/>
      <c r="AP134" s="28" t="n"/>
      <c r="AQ134" s="29" t="n"/>
      <c r="AR134" s="29" t="n"/>
      <c r="AS134" s="23" t="n"/>
      <c r="AT134" s="29" t="n"/>
      <c r="AU134" s="29" t="n"/>
      <c r="AV134" s="29" t="n"/>
      <c r="AW134" s="25">
        <f>IF(OR(O134="",AV134=""),"",O134*AV134)</f>
        <v/>
      </c>
      <c r="AX134" s="23" t="n"/>
      <c r="AY134" s="23" t="n"/>
      <c r="AZ134" s="23" t="n"/>
      <c r="BA134" s="23" t="n"/>
      <c r="BB134" s="23" t="n"/>
      <c r="BC134" s="25" t="n"/>
      <c r="BD134" s="23" t="n"/>
      <c r="BE134" s="23">
        <f>IF(C134="","",IF(AND(ISNUMBER(P134),P134&gt;MAX_PRICE),"Price too high",IF(AND(ISNUMBER(AB134),AB134&lt;=2),"Quality risk",IF(AND(ISNUMBER(U134),U134&lt;=2),"Aesthetic mismatch",IF(AY134="High","Too fragile",IF(AND(ISNUMBER(R134),R134&lt;LOW_PROFIT_PCT),"Low profit",IF(AND(ISNUMBER(AT134),AT134&gt;MOQ_WARNING),"MOQ too high",IF(OR(AD134="Maybe",AD134="Price Review"),"Needs partner review",IF(AD134="Buy","Good candidate","")))))))))</f>
        <v/>
      </c>
      <c r="BF134" s="23" t="n"/>
      <c r="BG134" s="23" t="n"/>
      <c r="BH134" s="23" t="n"/>
      <c r="BI134" s="23" t="n"/>
      <c r="BJ134" s="23" t="n"/>
      <c r="BK134" s="23" t="n"/>
      <c r="BL134" s="23">
        <f>IF(C134="","",IF(AND(BG134="Yes",BH134="Yes",BI134="Yes",BJ134="Yes",BK134="Yes"),"Yes","No"))</f>
        <v/>
      </c>
      <c r="BM134" s="25" t="n"/>
      <c r="BN134" s="25" t="n"/>
      <c r="BO134" s="25">
        <f>IF(OR(BM134="",BN134=""),"",BM134+BN134)</f>
        <v/>
      </c>
      <c r="BP134" s="25" t="n"/>
      <c r="BQ134" s="25">
        <f>IF(OR(BP134="",BO134=""),"",BP134-BO134)</f>
        <v/>
      </c>
      <c r="BR134" s="26">
        <f>IF(OR(BP134="",BP134=0,BQ134=""),"",BQ134/BP134)</f>
        <v/>
      </c>
      <c r="BS134" s="24" t="n"/>
      <c r="BT134" s="29" t="n"/>
      <c r="BU134" s="29" t="n"/>
      <c r="BV134" s="23" t="n"/>
      <c r="BW134" s="23" t="n"/>
      <c r="BX134" s="29">
        <f>IF(OR(BT134="",BU134=""),"",BT134-BU134)</f>
        <v/>
      </c>
      <c r="BY134" s="23" t="n"/>
      <c r="BZ134" s="24" t="n"/>
      <c r="CA134" s="23" t="n"/>
      <c r="CB134" s="23" t="n"/>
    </row>
    <row r="135">
      <c r="A135" s="16">
        <f>IF(C135="","","AYN-"&amp;IFERROR(VLOOKUP(E135,CATEGORY_PREFIX_TABLE,2,FALSE),"OTH")&amp;"-"&amp;TEXT(ROW()-2,"0000"))</f>
        <v/>
      </c>
      <c r="B135" s="17" t="n"/>
      <c r="C135" s="16" t="n"/>
      <c r="D135" s="16" t="n"/>
      <c r="E135" s="16" t="n"/>
      <c r="F135" s="16" t="n"/>
      <c r="G135" s="16" t="n"/>
      <c r="H135" s="16" t="n"/>
      <c r="I135" s="16" t="n"/>
      <c r="J135" s="16" t="n"/>
      <c r="K135" s="18">
        <f>IF(I135="","",IF(J135="BDT",I135,IF(J135="USD",I135*USD_BDT,IF(J135="RMB",I135*RMB_BDT,""))))</f>
        <v/>
      </c>
      <c r="L135" s="18" t="n"/>
      <c r="M135" s="19" t="n"/>
      <c r="N135" s="18" t="n"/>
      <c r="O135" s="18">
        <f>IF(K135="","",K135+IFERROR(L135,0)+(K135*IF(M135="",CUSTOMS_PCT,M135))+IF(N135="",MISC_FEE,N135))</f>
        <v/>
      </c>
      <c r="P135" s="18">
        <f>IF(O135="","",ROUND(O135*(1+MARKUP_PCT),-1)-1)</f>
        <v/>
      </c>
      <c r="Q135" s="18">
        <f>IF(P135="","",P135-O135)</f>
        <v/>
      </c>
      <c r="R135" s="19">
        <f>IF(OR(P135="",P135=0),"",Q135/P135)</f>
        <v/>
      </c>
      <c r="S135" s="16" t="n"/>
      <c r="T135" s="16" t="n"/>
      <c r="U135" s="16" t="n"/>
      <c r="V135" s="16" t="n"/>
      <c r="W135" s="16" t="n"/>
      <c r="X135" s="16" t="n"/>
      <c r="Y135" s="16" t="n"/>
      <c r="Z135" s="16" t="n"/>
      <c r="AA135" s="16" t="n"/>
      <c r="AB135" s="16" t="n"/>
      <c r="AC135" s="20">
        <f>IF(COUNT(S135:AB135)&lt;10,"",(S135*W_FEMININE+T135*W_TREND+U135*W_AESTHETIC+V135*W_STYLE+W135*W_LIGHT+X135*W_REELS+Y135*W_GIFT+Z135*W_PRICEFIT+AA135*W_DEMAND+AB135*W_QUALITY)/5*100)</f>
        <v/>
      </c>
      <c r="AD135" s="16">
        <f>IF(P135="","",IF(P135&gt;HARD_REJECT_PRICE,"Reject",IF(P135&gt;MAX_PRICE,"Price Review",IF(AC135="","",IF(AND(AC135&gt;=BUY_THRESHOLD,OR(AB135&lt;=2,U135&lt;=2)),"Maybe",IF(AC135&gt;=BUY_THRESHOLD,"Buy",IF(AC135&gt;=MAYBE_THRESHOLD,"Maybe","Reject")))))))</f>
        <v/>
      </c>
      <c r="AE135" s="16" t="n"/>
      <c r="AF135" s="16" t="n"/>
      <c r="AG135" s="16" t="n"/>
      <c r="AH135" s="16" t="n"/>
      <c r="AI135" s="17" t="n"/>
      <c r="AJ135">
        <f>IF(AC135="",-9999-ROW()*0.0000001,AC135-ROW()*0.0000001)</f>
        <v/>
      </c>
      <c r="AK135">
        <f>IF(OR(AC135="",P135="",P135&gt;MAX_PRICE),-9999-ROW()*0.0000001,AC135-ROW()*0.0000001)</f>
        <v/>
      </c>
      <c r="AL135">
        <f>IF(AC135="",-9999-ROW()*0.0000001,X135*1000+AC135-ROW()*0.0000001)</f>
        <v/>
      </c>
      <c r="AM135">
        <f>IF(AC135="",-9999-ROW()*0.0000001,Y135*1000+AC135-ROW()*0.0000001)</f>
        <v/>
      </c>
      <c r="AN135">
        <f>IF(AND(OR(AD135="Maybe",AD135="Price Review"),AG135&lt;&gt;"Approved",AG135&lt;&gt;"Rejected"),IF(AC135="",0,AC135)-ROW()*0.0000001,-9999-ROW()*0.0000001)</f>
        <v/>
      </c>
      <c r="AO135" s="21" t="n"/>
      <c r="AP135" s="21" t="n"/>
      <c r="AQ135" s="22" t="n"/>
      <c r="AR135" s="22" t="n"/>
      <c r="AS135" s="16" t="n"/>
      <c r="AT135" s="22" t="n"/>
      <c r="AU135" s="22" t="n"/>
      <c r="AV135" s="22" t="n"/>
      <c r="AW135" s="18">
        <f>IF(OR(O135="",AV135=""),"",O135*AV135)</f>
        <v/>
      </c>
      <c r="AX135" s="16" t="n"/>
      <c r="AY135" s="16" t="n"/>
      <c r="AZ135" s="16" t="n"/>
      <c r="BA135" s="16" t="n"/>
      <c r="BB135" s="16" t="n"/>
      <c r="BC135" s="18" t="n"/>
      <c r="BD135" s="16" t="n"/>
      <c r="BE135" s="16">
        <f>IF(C135="","",IF(AND(ISNUMBER(P135),P135&gt;MAX_PRICE),"Price too high",IF(AND(ISNUMBER(AB135),AB135&lt;=2),"Quality risk",IF(AND(ISNUMBER(U135),U135&lt;=2),"Aesthetic mismatch",IF(AY135="High","Too fragile",IF(AND(ISNUMBER(R135),R135&lt;LOW_PROFIT_PCT),"Low profit",IF(AND(ISNUMBER(AT135),AT135&gt;MOQ_WARNING),"MOQ too high",IF(OR(AD135="Maybe",AD135="Price Review"),"Needs partner review",IF(AD135="Buy","Good candidate","")))))))))</f>
        <v/>
      </c>
      <c r="BF135" s="16" t="n"/>
      <c r="BG135" s="16" t="n"/>
      <c r="BH135" s="16" t="n"/>
      <c r="BI135" s="16" t="n"/>
      <c r="BJ135" s="16" t="n"/>
      <c r="BK135" s="16" t="n"/>
      <c r="BL135" s="16">
        <f>IF(C135="","",IF(AND(BG135="Yes",BH135="Yes",BI135="Yes",BJ135="Yes",BK135="Yes"),"Yes","No"))</f>
        <v/>
      </c>
      <c r="BM135" s="18" t="n"/>
      <c r="BN135" s="18" t="n"/>
      <c r="BO135" s="18">
        <f>IF(OR(BM135="",BN135=""),"",BM135+BN135)</f>
        <v/>
      </c>
      <c r="BP135" s="18" t="n"/>
      <c r="BQ135" s="18">
        <f>IF(OR(BP135="",BO135=""),"",BP135-BO135)</f>
        <v/>
      </c>
      <c r="BR135" s="19">
        <f>IF(OR(BP135="",BP135=0,BQ135=""),"",BQ135/BP135)</f>
        <v/>
      </c>
      <c r="BS135" s="17" t="n"/>
      <c r="BT135" s="22" t="n"/>
      <c r="BU135" s="22" t="n"/>
      <c r="BV135" s="16" t="n"/>
      <c r="BW135" s="16" t="n"/>
      <c r="BX135" s="22">
        <f>IF(OR(BT135="",BU135=""),"",BT135-BU135)</f>
        <v/>
      </c>
      <c r="BY135" s="16" t="n"/>
      <c r="BZ135" s="17" t="n"/>
      <c r="CA135" s="16" t="n"/>
      <c r="CB135" s="16" t="n"/>
    </row>
    <row r="136">
      <c r="A136" s="23">
        <f>IF(C136="","","AYN-"&amp;IFERROR(VLOOKUP(E136,CATEGORY_PREFIX_TABLE,2,FALSE),"OTH")&amp;"-"&amp;TEXT(ROW()-2,"0000"))</f>
        <v/>
      </c>
      <c r="B136" s="24" t="n"/>
      <c r="C136" s="23" t="n"/>
      <c r="D136" s="23" t="n"/>
      <c r="E136" s="23" t="n"/>
      <c r="F136" s="23" t="n"/>
      <c r="G136" s="23" t="n"/>
      <c r="H136" s="23" t="n"/>
      <c r="I136" s="23" t="n"/>
      <c r="J136" s="23" t="n"/>
      <c r="K136" s="25">
        <f>IF(I136="","",IF(J136="BDT",I136,IF(J136="USD",I136*USD_BDT,IF(J136="RMB",I136*RMB_BDT,""))))</f>
        <v/>
      </c>
      <c r="L136" s="25" t="n"/>
      <c r="M136" s="26" t="n"/>
      <c r="N136" s="25" t="n"/>
      <c r="O136" s="25">
        <f>IF(K136="","",K136+IFERROR(L136,0)+(K136*IF(M136="",CUSTOMS_PCT,M136))+IF(N136="",MISC_FEE,N136))</f>
        <v/>
      </c>
      <c r="P136" s="25">
        <f>IF(O136="","",ROUND(O136*(1+MARKUP_PCT),-1)-1)</f>
        <v/>
      </c>
      <c r="Q136" s="25">
        <f>IF(P136="","",P136-O136)</f>
        <v/>
      </c>
      <c r="R136" s="26">
        <f>IF(OR(P136="",P136=0),"",Q136/P136)</f>
        <v/>
      </c>
      <c r="S136" s="23" t="n"/>
      <c r="T136" s="23" t="n"/>
      <c r="U136" s="23" t="n"/>
      <c r="V136" s="23" t="n"/>
      <c r="W136" s="23" t="n"/>
      <c r="X136" s="23" t="n"/>
      <c r="Y136" s="23" t="n"/>
      <c r="Z136" s="23" t="n"/>
      <c r="AA136" s="23" t="n"/>
      <c r="AB136" s="23" t="n"/>
      <c r="AC136" s="27">
        <f>IF(COUNT(S136:AB136)&lt;10,"",(S136*W_FEMININE+T136*W_TREND+U136*W_AESTHETIC+V136*W_STYLE+W136*W_LIGHT+X136*W_REELS+Y136*W_GIFT+Z136*W_PRICEFIT+AA136*W_DEMAND+AB136*W_QUALITY)/5*100)</f>
        <v/>
      </c>
      <c r="AD136" s="23">
        <f>IF(P136="","",IF(P136&gt;HARD_REJECT_PRICE,"Reject",IF(P136&gt;MAX_PRICE,"Price Review",IF(AC136="","",IF(AND(AC136&gt;=BUY_THRESHOLD,OR(AB136&lt;=2,U136&lt;=2)),"Maybe",IF(AC136&gt;=BUY_THRESHOLD,"Buy",IF(AC136&gt;=MAYBE_THRESHOLD,"Maybe","Reject")))))))</f>
        <v/>
      </c>
      <c r="AE136" s="23" t="n"/>
      <c r="AF136" s="23" t="n"/>
      <c r="AG136" s="23" t="n"/>
      <c r="AH136" s="23" t="n"/>
      <c r="AI136" s="24" t="n"/>
      <c r="AJ136">
        <f>IF(AC136="",-9999-ROW()*0.0000001,AC136-ROW()*0.0000001)</f>
        <v/>
      </c>
      <c r="AK136">
        <f>IF(OR(AC136="",P136="",P136&gt;MAX_PRICE),-9999-ROW()*0.0000001,AC136-ROW()*0.0000001)</f>
        <v/>
      </c>
      <c r="AL136">
        <f>IF(AC136="",-9999-ROW()*0.0000001,X136*1000+AC136-ROW()*0.0000001)</f>
        <v/>
      </c>
      <c r="AM136">
        <f>IF(AC136="",-9999-ROW()*0.0000001,Y136*1000+AC136-ROW()*0.0000001)</f>
        <v/>
      </c>
      <c r="AN136">
        <f>IF(AND(OR(AD136="Maybe",AD136="Price Review"),AG136&lt;&gt;"Approved",AG136&lt;&gt;"Rejected"),IF(AC136="",0,AC136)-ROW()*0.0000001,-9999-ROW()*0.0000001)</f>
        <v/>
      </c>
      <c r="AO136" s="28" t="n"/>
      <c r="AP136" s="28" t="n"/>
      <c r="AQ136" s="29" t="n"/>
      <c r="AR136" s="29" t="n"/>
      <c r="AS136" s="23" t="n"/>
      <c r="AT136" s="29" t="n"/>
      <c r="AU136" s="29" t="n"/>
      <c r="AV136" s="29" t="n"/>
      <c r="AW136" s="25">
        <f>IF(OR(O136="",AV136=""),"",O136*AV136)</f>
        <v/>
      </c>
      <c r="AX136" s="23" t="n"/>
      <c r="AY136" s="23" t="n"/>
      <c r="AZ136" s="23" t="n"/>
      <c r="BA136" s="23" t="n"/>
      <c r="BB136" s="23" t="n"/>
      <c r="BC136" s="25" t="n"/>
      <c r="BD136" s="23" t="n"/>
      <c r="BE136" s="23">
        <f>IF(C136="","",IF(AND(ISNUMBER(P136),P136&gt;MAX_PRICE),"Price too high",IF(AND(ISNUMBER(AB136),AB136&lt;=2),"Quality risk",IF(AND(ISNUMBER(U136),U136&lt;=2),"Aesthetic mismatch",IF(AY136="High","Too fragile",IF(AND(ISNUMBER(R136),R136&lt;LOW_PROFIT_PCT),"Low profit",IF(AND(ISNUMBER(AT136),AT136&gt;MOQ_WARNING),"MOQ too high",IF(OR(AD136="Maybe",AD136="Price Review"),"Needs partner review",IF(AD136="Buy","Good candidate","")))))))))</f>
        <v/>
      </c>
      <c r="BF136" s="23" t="n"/>
      <c r="BG136" s="23" t="n"/>
      <c r="BH136" s="23" t="n"/>
      <c r="BI136" s="23" t="n"/>
      <c r="BJ136" s="23" t="n"/>
      <c r="BK136" s="23" t="n"/>
      <c r="BL136" s="23">
        <f>IF(C136="","",IF(AND(BG136="Yes",BH136="Yes",BI136="Yes",BJ136="Yes",BK136="Yes"),"Yes","No"))</f>
        <v/>
      </c>
      <c r="BM136" s="25" t="n"/>
      <c r="BN136" s="25" t="n"/>
      <c r="BO136" s="25">
        <f>IF(OR(BM136="",BN136=""),"",BM136+BN136)</f>
        <v/>
      </c>
      <c r="BP136" s="25" t="n"/>
      <c r="BQ136" s="25">
        <f>IF(OR(BP136="",BO136=""),"",BP136-BO136)</f>
        <v/>
      </c>
      <c r="BR136" s="26">
        <f>IF(OR(BP136="",BP136=0,BQ136=""),"",BQ136/BP136)</f>
        <v/>
      </c>
      <c r="BS136" s="24" t="n"/>
      <c r="BT136" s="29" t="n"/>
      <c r="BU136" s="29" t="n"/>
      <c r="BV136" s="23" t="n"/>
      <c r="BW136" s="23" t="n"/>
      <c r="BX136" s="29">
        <f>IF(OR(BT136="",BU136=""),"",BT136-BU136)</f>
        <v/>
      </c>
      <c r="BY136" s="23" t="n"/>
      <c r="BZ136" s="24" t="n"/>
      <c r="CA136" s="23" t="n"/>
      <c r="CB136" s="23" t="n"/>
    </row>
    <row r="137">
      <c r="A137" s="16">
        <f>IF(C137="","","AYN-"&amp;IFERROR(VLOOKUP(E137,CATEGORY_PREFIX_TABLE,2,FALSE),"OTH")&amp;"-"&amp;TEXT(ROW()-2,"0000"))</f>
        <v/>
      </c>
      <c r="B137" s="17" t="n"/>
      <c r="C137" s="16" t="n"/>
      <c r="D137" s="16" t="n"/>
      <c r="E137" s="16" t="n"/>
      <c r="F137" s="16" t="n"/>
      <c r="G137" s="16" t="n"/>
      <c r="H137" s="16" t="n"/>
      <c r="I137" s="16" t="n"/>
      <c r="J137" s="16" t="n"/>
      <c r="K137" s="18">
        <f>IF(I137="","",IF(J137="BDT",I137,IF(J137="USD",I137*USD_BDT,IF(J137="RMB",I137*RMB_BDT,""))))</f>
        <v/>
      </c>
      <c r="L137" s="18" t="n"/>
      <c r="M137" s="19" t="n"/>
      <c r="N137" s="18" t="n"/>
      <c r="O137" s="18">
        <f>IF(K137="","",K137+IFERROR(L137,0)+(K137*IF(M137="",CUSTOMS_PCT,M137))+IF(N137="",MISC_FEE,N137))</f>
        <v/>
      </c>
      <c r="P137" s="18">
        <f>IF(O137="","",ROUND(O137*(1+MARKUP_PCT),-1)-1)</f>
        <v/>
      </c>
      <c r="Q137" s="18">
        <f>IF(P137="","",P137-O137)</f>
        <v/>
      </c>
      <c r="R137" s="19">
        <f>IF(OR(P137="",P137=0),"",Q137/P137)</f>
        <v/>
      </c>
      <c r="S137" s="16" t="n"/>
      <c r="T137" s="16" t="n"/>
      <c r="U137" s="16" t="n"/>
      <c r="V137" s="16" t="n"/>
      <c r="W137" s="16" t="n"/>
      <c r="X137" s="16" t="n"/>
      <c r="Y137" s="16" t="n"/>
      <c r="Z137" s="16" t="n"/>
      <c r="AA137" s="16" t="n"/>
      <c r="AB137" s="16" t="n"/>
      <c r="AC137" s="20">
        <f>IF(COUNT(S137:AB137)&lt;10,"",(S137*W_FEMININE+T137*W_TREND+U137*W_AESTHETIC+V137*W_STYLE+W137*W_LIGHT+X137*W_REELS+Y137*W_GIFT+Z137*W_PRICEFIT+AA137*W_DEMAND+AB137*W_QUALITY)/5*100)</f>
        <v/>
      </c>
      <c r="AD137" s="16">
        <f>IF(P137="","",IF(P137&gt;HARD_REJECT_PRICE,"Reject",IF(P137&gt;MAX_PRICE,"Price Review",IF(AC137="","",IF(AND(AC137&gt;=BUY_THRESHOLD,OR(AB137&lt;=2,U137&lt;=2)),"Maybe",IF(AC137&gt;=BUY_THRESHOLD,"Buy",IF(AC137&gt;=MAYBE_THRESHOLD,"Maybe","Reject")))))))</f>
        <v/>
      </c>
      <c r="AE137" s="16" t="n"/>
      <c r="AF137" s="16" t="n"/>
      <c r="AG137" s="16" t="n"/>
      <c r="AH137" s="16" t="n"/>
      <c r="AI137" s="17" t="n"/>
      <c r="AJ137">
        <f>IF(AC137="",-9999-ROW()*0.0000001,AC137-ROW()*0.0000001)</f>
        <v/>
      </c>
      <c r="AK137">
        <f>IF(OR(AC137="",P137="",P137&gt;MAX_PRICE),-9999-ROW()*0.0000001,AC137-ROW()*0.0000001)</f>
        <v/>
      </c>
      <c r="AL137">
        <f>IF(AC137="",-9999-ROW()*0.0000001,X137*1000+AC137-ROW()*0.0000001)</f>
        <v/>
      </c>
      <c r="AM137">
        <f>IF(AC137="",-9999-ROW()*0.0000001,Y137*1000+AC137-ROW()*0.0000001)</f>
        <v/>
      </c>
      <c r="AN137">
        <f>IF(AND(OR(AD137="Maybe",AD137="Price Review"),AG137&lt;&gt;"Approved",AG137&lt;&gt;"Rejected"),IF(AC137="",0,AC137)-ROW()*0.0000001,-9999-ROW()*0.0000001)</f>
        <v/>
      </c>
      <c r="AO137" s="21" t="n"/>
      <c r="AP137" s="21" t="n"/>
      <c r="AQ137" s="22" t="n"/>
      <c r="AR137" s="22" t="n"/>
      <c r="AS137" s="16" t="n"/>
      <c r="AT137" s="22" t="n"/>
      <c r="AU137" s="22" t="n"/>
      <c r="AV137" s="22" t="n"/>
      <c r="AW137" s="18">
        <f>IF(OR(O137="",AV137=""),"",O137*AV137)</f>
        <v/>
      </c>
      <c r="AX137" s="16" t="n"/>
      <c r="AY137" s="16" t="n"/>
      <c r="AZ137" s="16" t="n"/>
      <c r="BA137" s="16" t="n"/>
      <c r="BB137" s="16" t="n"/>
      <c r="BC137" s="18" t="n"/>
      <c r="BD137" s="16" t="n"/>
      <c r="BE137" s="16">
        <f>IF(C137="","",IF(AND(ISNUMBER(P137),P137&gt;MAX_PRICE),"Price too high",IF(AND(ISNUMBER(AB137),AB137&lt;=2),"Quality risk",IF(AND(ISNUMBER(U137),U137&lt;=2),"Aesthetic mismatch",IF(AY137="High","Too fragile",IF(AND(ISNUMBER(R137),R137&lt;LOW_PROFIT_PCT),"Low profit",IF(AND(ISNUMBER(AT137),AT137&gt;MOQ_WARNING),"MOQ too high",IF(OR(AD137="Maybe",AD137="Price Review"),"Needs partner review",IF(AD137="Buy","Good candidate","")))))))))</f>
        <v/>
      </c>
      <c r="BF137" s="16" t="n"/>
      <c r="BG137" s="16" t="n"/>
      <c r="BH137" s="16" t="n"/>
      <c r="BI137" s="16" t="n"/>
      <c r="BJ137" s="16" t="n"/>
      <c r="BK137" s="16" t="n"/>
      <c r="BL137" s="16">
        <f>IF(C137="","",IF(AND(BG137="Yes",BH137="Yes",BI137="Yes",BJ137="Yes",BK137="Yes"),"Yes","No"))</f>
        <v/>
      </c>
      <c r="BM137" s="18" t="n"/>
      <c r="BN137" s="18" t="n"/>
      <c r="BO137" s="18">
        <f>IF(OR(BM137="",BN137=""),"",BM137+BN137)</f>
        <v/>
      </c>
      <c r="BP137" s="18" t="n"/>
      <c r="BQ137" s="18">
        <f>IF(OR(BP137="",BO137=""),"",BP137-BO137)</f>
        <v/>
      </c>
      <c r="BR137" s="19">
        <f>IF(OR(BP137="",BP137=0,BQ137=""),"",BQ137/BP137)</f>
        <v/>
      </c>
      <c r="BS137" s="17" t="n"/>
      <c r="BT137" s="22" t="n"/>
      <c r="BU137" s="22" t="n"/>
      <c r="BV137" s="16" t="n"/>
      <c r="BW137" s="16" t="n"/>
      <c r="BX137" s="22">
        <f>IF(OR(BT137="",BU137=""),"",BT137-BU137)</f>
        <v/>
      </c>
      <c r="BY137" s="16" t="n"/>
      <c r="BZ137" s="17" t="n"/>
      <c r="CA137" s="16" t="n"/>
      <c r="CB137" s="16" t="n"/>
    </row>
    <row r="138">
      <c r="A138" s="23">
        <f>IF(C138="","","AYN-"&amp;IFERROR(VLOOKUP(E138,CATEGORY_PREFIX_TABLE,2,FALSE),"OTH")&amp;"-"&amp;TEXT(ROW()-2,"0000"))</f>
        <v/>
      </c>
      <c r="B138" s="24" t="n"/>
      <c r="C138" s="23" t="n"/>
      <c r="D138" s="23" t="n"/>
      <c r="E138" s="23" t="n"/>
      <c r="F138" s="23" t="n"/>
      <c r="G138" s="23" t="n"/>
      <c r="H138" s="23" t="n"/>
      <c r="I138" s="23" t="n"/>
      <c r="J138" s="23" t="n"/>
      <c r="K138" s="25">
        <f>IF(I138="","",IF(J138="BDT",I138,IF(J138="USD",I138*USD_BDT,IF(J138="RMB",I138*RMB_BDT,""))))</f>
        <v/>
      </c>
      <c r="L138" s="25" t="n"/>
      <c r="M138" s="26" t="n"/>
      <c r="N138" s="25" t="n"/>
      <c r="O138" s="25">
        <f>IF(K138="","",K138+IFERROR(L138,0)+(K138*IF(M138="",CUSTOMS_PCT,M138))+IF(N138="",MISC_FEE,N138))</f>
        <v/>
      </c>
      <c r="P138" s="25">
        <f>IF(O138="","",ROUND(O138*(1+MARKUP_PCT),-1)-1)</f>
        <v/>
      </c>
      <c r="Q138" s="25">
        <f>IF(P138="","",P138-O138)</f>
        <v/>
      </c>
      <c r="R138" s="26">
        <f>IF(OR(P138="",P138=0),"",Q138/P138)</f>
        <v/>
      </c>
      <c r="S138" s="23" t="n"/>
      <c r="T138" s="23" t="n"/>
      <c r="U138" s="23" t="n"/>
      <c r="V138" s="23" t="n"/>
      <c r="W138" s="23" t="n"/>
      <c r="X138" s="23" t="n"/>
      <c r="Y138" s="23" t="n"/>
      <c r="Z138" s="23" t="n"/>
      <c r="AA138" s="23" t="n"/>
      <c r="AB138" s="23" t="n"/>
      <c r="AC138" s="27">
        <f>IF(COUNT(S138:AB138)&lt;10,"",(S138*W_FEMININE+T138*W_TREND+U138*W_AESTHETIC+V138*W_STYLE+W138*W_LIGHT+X138*W_REELS+Y138*W_GIFT+Z138*W_PRICEFIT+AA138*W_DEMAND+AB138*W_QUALITY)/5*100)</f>
        <v/>
      </c>
      <c r="AD138" s="23">
        <f>IF(P138="","",IF(P138&gt;HARD_REJECT_PRICE,"Reject",IF(P138&gt;MAX_PRICE,"Price Review",IF(AC138="","",IF(AND(AC138&gt;=BUY_THRESHOLD,OR(AB138&lt;=2,U138&lt;=2)),"Maybe",IF(AC138&gt;=BUY_THRESHOLD,"Buy",IF(AC138&gt;=MAYBE_THRESHOLD,"Maybe","Reject")))))))</f>
        <v/>
      </c>
      <c r="AE138" s="23" t="n"/>
      <c r="AF138" s="23" t="n"/>
      <c r="AG138" s="23" t="n"/>
      <c r="AH138" s="23" t="n"/>
      <c r="AI138" s="24" t="n"/>
      <c r="AJ138">
        <f>IF(AC138="",-9999-ROW()*0.0000001,AC138-ROW()*0.0000001)</f>
        <v/>
      </c>
      <c r="AK138">
        <f>IF(OR(AC138="",P138="",P138&gt;MAX_PRICE),-9999-ROW()*0.0000001,AC138-ROW()*0.0000001)</f>
        <v/>
      </c>
      <c r="AL138">
        <f>IF(AC138="",-9999-ROW()*0.0000001,X138*1000+AC138-ROW()*0.0000001)</f>
        <v/>
      </c>
      <c r="AM138">
        <f>IF(AC138="",-9999-ROW()*0.0000001,Y138*1000+AC138-ROW()*0.0000001)</f>
        <v/>
      </c>
      <c r="AN138">
        <f>IF(AND(OR(AD138="Maybe",AD138="Price Review"),AG138&lt;&gt;"Approved",AG138&lt;&gt;"Rejected"),IF(AC138="",0,AC138)-ROW()*0.0000001,-9999-ROW()*0.0000001)</f>
        <v/>
      </c>
      <c r="AO138" s="28" t="n"/>
      <c r="AP138" s="28" t="n"/>
      <c r="AQ138" s="29" t="n"/>
      <c r="AR138" s="29" t="n"/>
      <c r="AS138" s="23" t="n"/>
      <c r="AT138" s="29" t="n"/>
      <c r="AU138" s="29" t="n"/>
      <c r="AV138" s="29" t="n"/>
      <c r="AW138" s="25">
        <f>IF(OR(O138="",AV138=""),"",O138*AV138)</f>
        <v/>
      </c>
      <c r="AX138" s="23" t="n"/>
      <c r="AY138" s="23" t="n"/>
      <c r="AZ138" s="23" t="n"/>
      <c r="BA138" s="23" t="n"/>
      <c r="BB138" s="23" t="n"/>
      <c r="BC138" s="25" t="n"/>
      <c r="BD138" s="23" t="n"/>
      <c r="BE138" s="23">
        <f>IF(C138="","",IF(AND(ISNUMBER(P138),P138&gt;MAX_PRICE),"Price too high",IF(AND(ISNUMBER(AB138),AB138&lt;=2),"Quality risk",IF(AND(ISNUMBER(U138),U138&lt;=2),"Aesthetic mismatch",IF(AY138="High","Too fragile",IF(AND(ISNUMBER(R138),R138&lt;LOW_PROFIT_PCT),"Low profit",IF(AND(ISNUMBER(AT138),AT138&gt;MOQ_WARNING),"MOQ too high",IF(OR(AD138="Maybe",AD138="Price Review"),"Needs partner review",IF(AD138="Buy","Good candidate","")))))))))</f>
        <v/>
      </c>
      <c r="BF138" s="23" t="n"/>
      <c r="BG138" s="23" t="n"/>
      <c r="BH138" s="23" t="n"/>
      <c r="BI138" s="23" t="n"/>
      <c r="BJ138" s="23" t="n"/>
      <c r="BK138" s="23" t="n"/>
      <c r="BL138" s="23">
        <f>IF(C138="","",IF(AND(BG138="Yes",BH138="Yes",BI138="Yes",BJ138="Yes",BK138="Yes"),"Yes","No"))</f>
        <v/>
      </c>
      <c r="BM138" s="25" t="n"/>
      <c r="BN138" s="25" t="n"/>
      <c r="BO138" s="25">
        <f>IF(OR(BM138="",BN138=""),"",BM138+BN138)</f>
        <v/>
      </c>
      <c r="BP138" s="25" t="n"/>
      <c r="BQ138" s="25">
        <f>IF(OR(BP138="",BO138=""),"",BP138-BO138)</f>
        <v/>
      </c>
      <c r="BR138" s="26">
        <f>IF(OR(BP138="",BP138=0,BQ138=""),"",BQ138/BP138)</f>
        <v/>
      </c>
      <c r="BS138" s="24" t="n"/>
      <c r="BT138" s="29" t="n"/>
      <c r="BU138" s="29" t="n"/>
      <c r="BV138" s="23" t="n"/>
      <c r="BW138" s="23" t="n"/>
      <c r="BX138" s="29">
        <f>IF(OR(BT138="",BU138=""),"",BT138-BU138)</f>
        <v/>
      </c>
      <c r="BY138" s="23" t="n"/>
      <c r="BZ138" s="24" t="n"/>
      <c r="CA138" s="23" t="n"/>
      <c r="CB138" s="23" t="n"/>
    </row>
    <row r="139">
      <c r="A139" s="16">
        <f>IF(C139="","","AYN-"&amp;IFERROR(VLOOKUP(E139,CATEGORY_PREFIX_TABLE,2,FALSE),"OTH")&amp;"-"&amp;TEXT(ROW()-2,"0000"))</f>
        <v/>
      </c>
      <c r="B139" s="17" t="n"/>
      <c r="C139" s="16" t="n"/>
      <c r="D139" s="16" t="n"/>
      <c r="E139" s="16" t="n"/>
      <c r="F139" s="16" t="n"/>
      <c r="G139" s="16" t="n"/>
      <c r="H139" s="16" t="n"/>
      <c r="I139" s="16" t="n"/>
      <c r="J139" s="16" t="n"/>
      <c r="K139" s="18">
        <f>IF(I139="","",IF(J139="BDT",I139,IF(J139="USD",I139*USD_BDT,IF(J139="RMB",I139*RMB_BDT,""))))</f>
        <v/>
      </c>
      <c r="L139" s="18" t="n"/>
      <c r="M139" s="19" t="n"/>
      <c r="N139" s="18" t="n"/>
      <c r="O139" s="18">
        <f>IF(K139="","",K139+IFERROR(L139,0)+(K139*IF(M139="",CUSTOMS_PCT,M139))+IF(N139="",MISC_FEE,N139))</f>
        <v/>
      </c>
      <c r="P139" s="18">
        <f>IF(O139="","",ROUND(O139*(1+MARKUP_PCT),-1)-1)</f>
        <v/>
      </c>
      <c r="Q139" s="18">
        <f>IF(P139="","",P139-O139)</f>
        <v/>
      </c>
      <c r="R139" s="19">
        <f>IF(OR(P139="",P139=0),"",Q139/P139)</f>
        <v/>
      </c>
      <c r="S139" s="16" t="n"/>
      <c r="T139" s="16" t="n"/>
      <c r="U139" s="16" t="n"/>
      <c r="V139" s="16" t="n"/>
      <c r="W139" s="16" t="n"/>
      <c r="X139" s="16" t="n"/>
      <c r="Y139" s="16" t="n"/>
      <c r="Z139" s="16" t="n"/>
      <c r="AA139" s="16" t="n"/>
      <c r="AB139" s="16" t="n"/>
      <c r="AC139" s="20">
        <f>IF(COUNT(S139:AB139)&lt;10,"",(S139*W_FEMININE+T139*W_TREND+U139*W_AESTHETIC+V139*W_STYLE+W139*W_LIGHT+X139*W_REELS+Y139*W_GIFT+Z139*W_PRICEFIT+AA139*W_DEMAND+AB139*W_QUALITY)/5*100)</f>
        <v/>
      </c>
      <c r="AD139" s="16">
        <f>IF(P139="","",IF(P139&gt;HARD_REJECT_PRICE,"Reject",IF(P139&gt;MAX_PRICE,"Price Review",IF(AC139="","",IF(AND(AC139&gt;=BUY_THRESHOLD,OR(AB139&lt;=2,U139&lt;=2)),"Maybe",IF(AC139&gt;=BUY_THRESHOLD,"Buy",IF(AC139&gt;=MAYBE_THRESHOLD,"Maybe","Reject")))))))</f>
        <v/>
      </c>
      <c r="AE139" s="16" t="n"/>
      <c r="AF139" s="16" t="n"/>
      <c r="AG139" s="16" t="n"/>
      <c r="AH139" s="16" t="n"/>
      <c r="AI139" s="17" t="n"/>
      <c r="AJ139">
        <f>IF(AC139="",-9999-ROW()*0.0000001,AC139-ROW()*0.0000001)</f>
        <v/>
      </c>
      <c r="AK139">
        <f>IF(OR(AC139="",P139="",P139&gt;MAX_PRICE),-9999-ROW()*0.0000001,AC139-ROW()*0.0000001)</f>
        <v/>
      </c>
      <c r="AL139">
        <f>IF(AC139="",-9999-ROW()*0.0000001,X139*1000+AC139-ROW()*0.0000001)</f>
        <v/>
      </c>
      <c r="AM139">
        <f>IF(AC139="",-9999-ROW()*0.0000001,Y139*1000+AC139-ROW()*0.0000001)</f>
        <v/>
      </c>
      <c r="AN139">
        <f>IF(AND(OR(AD139="Maybe",AD139="Price Review"),AG139&lt;&gt;"Approved",AG139&lt;&gt;"Rejected"),IF(AC139="",0,AC139)-ROW()*0.0000001,-9999-ROW()*0.0000001)</f>
        <v/>
      </c>
      <c r="AO139" s="21" t="n"/>
      <c r="AP139" s="21" t="n"/>
      <c r="AQ139" s="22" t="n"/>
      <c r="AR139" s="22" t="n"/>
      <c r="AS139" s="16" t="n"/>
      <c r="AT139" s="22" t="n"/>
      <c r="AU139" s="22" t="n"/>
      <c r="AV139" s="22" t="n"/>
      <c r="AW139" s="18">
        <f>IF(OR(O139="",AV139=""),"",O139*AV139)</f>
        <v/>
      </c>
      <c r="AX139" s="16" t="n"/>
      <c r="AY139" s="16" t="n"/>
      <c r="AZ139" s="16" t="n"/>
      <c r="BA139" s="16" t="n"/>
      <c r="BB139" s="16" t="n"/>
      <c r="BC139" s="18" t="n"/>
      <c r="BD139" s="16" t="n"/>
      <c r="BE139" s="16">
        <f>IF(C139="","",IF(AND(ISNUMBER(P139),P139&gt;MAX_PRICE),"Price too high",IF(AND(ISNUMBER(AB139),AB139&lt;=2),"Quality risk",IF(AND(ISNUMBER(U139),U139&lt;=2),"Aesthetic mismatch",IF(AY139="High","Too fragile",IF(AND(ISNUMBER(R139),R139&lt;LOW_PROFIT_PCT),"Low profit",IF(AND(ISNUMBER(AT139),AT139&gt;MOQ_WARNING),"MOQ too high",IF(OR(AD139="Maybe",AD139="Price Review"),"Needs partner review",IF(AD139="Buy","Good candidate","")))))))))</f>
        <v/>
      </c>
      <c r="BF139" s="16" t="n"/>
      <c r="BG139" s="16" t="n"/>
      <c r="BH139" s="16" t="n"/>
      <c r="BI139" s="16" t="n"/>
      <c r="BJ139" s="16" t="n"/>
      <c r="BK139" s="16" t="n"/>
      <c r="BL139" s="16">
        <f>IF(C139="","",IF(AND(BG139="Yes",BH139="Yes",BI139="Yes",BJ139="Yes",BK139="Yes"),"Yes","No"))</f>
        <v/>
      </c>
      <c r="BM139" s="18" t="n"/>
      <c r="BN139" s="18" t="n"/>
      <c r="BO139" s="18">
        <f>IF(OR(BM139="",BN139=""),"",BM139+BN139)</f>
        <v/>
      </c>
      <c r="BP139" s="18" t="n"/>
      <c r="BQ139" s="18">
        <f>IF(OR(BP139="",BO139=""),"",BP139-BO139)</f>
        <v/>
      </c>
      <c r="BR139" s="19">
        <f>IF(OR(BP139="",BP139=0,BQ139=""),"",BQ139/BP139)</f>
        <v/>
      </c>
      <c r="BS139" s="17" t="n"/>
      <c r="BT139" s="22" t="n"/>
      <c r="BU139" s="22" t="n"/>
      <c r="BV139" s="16" t="n"/>
      <c r="BW139" s="16" t="n"/>
      <c r="BX139" s="22">
        <f>IF(OR(BT139="",BU139=""),"",BT139-BU139)</f>
        <v/>
      </c>
      <c r="BY139" s="16" t="n"/>
      <c r="BZ139" s="17" t="n"/>
      <c r="CA139" s="16" t="n"/>
      <c r="CB139" s="16" t="n"/>
    </row>
    <row r="140">
      <c r="A140" s="23">
        <f>IF(C140="","","AYN-"&amp;IFERROR(VLOOKUP(E140,CATEGORY_PREFIX_TABLE,2,FALSE),"OTH")&amp;"-"&amp;TEXT(ROW()-2,"0000"))</f>
        <v/>
      </c>
      <c r="B140" s="24" t="n"/>
      <c r="C140" s="23" t="n"/>
      <c r="D140" s="23" t="n"/>
      <c r="E140" s="23" t="n"/>
      <c r="F140" s="23" t="n"/>
      <c r="G140" s="23" t="n"/>
      <c r="H140" s="23" t="n"/>
      <c r="I140" s="23" t="n"/>
      <c r="J140" s="23" t="n"/>
      <c r="K140" s="25">
        <f>IF(I140="","",IF(J140="BDT",I140,IF(J140="USD",I140*USD_BDT,IF(J140="RMB",I140*RMB_BDT,""))))</f>
        <v/>
      </c>
      <c r="L140" s="25" t="n"/>
      <c r="M140" s="26" t="n"/>
      <c r="N140" s="25" t="n"/>
      <c r="O140" s="25">
        <f>IF(K140="","",K140+IFERROR(L140,0)+(K140*IF(M140="",CUSTOMS_PCT,M140))+IF(N140="",MISC_FEE,N140))</f>
        <v/>
      </c>
      <c r="P140" s="25">
        <f>IF(O140="","",ROUND(O140*(1+MARKUP_PCT),-1)-1)</f>
        <v/>
      </c>
      <c r="Q140" s="25">
        <f>IF(P140="","",P140-O140)</f>
        <v/>
      </c>
      <c r="R140" s="26">
        <f>IF(OR(P140="",P140=0),"",Q140/P140)</f>
        <v/>
      </c>
      <c r="S140" s="23" t="n"/>
      <c r="T140" s="23" t="n"/>
      <c r="U140" s="23" t="n"/>
      <c r="V140" s="23" t="n"/>
      <c r="W140" s="23" t="n"/>
      <c r="X140" s="23" t="n"/>
      <c r="Y140" s="23" t="n"/>
      <c r="Z140" s="23" t="n"/>
      <c r="AA140" s="23" t="n"/>
      <c r="AB140" s="23" t="n"/>
      <c r="AC140" s="27">
        <f>IF(COUNT(S140:AB140)&lt;10,"",(S140*W_FEMININE+T140*W_TREND+U140*W_AESTHETIC+V140*W_STYLE+W140*W_LIGHT+X140*W_REELS+Y140*W_GIFT+Z140*W_PRICEFIT+AA140*W_DEMAND+AB140*W_QUALITY)/5*100)</f>
        <v/>
      </c>
      <c r="AD140" s="23">
        <f>IF(P140="","",IF(P140&gt;HARD_REJECT_PRICE,"Reject",IF(P140&gt;MAX_PRICE,"Price Review",IF(AC140="","",IF(AND(AC140&gt;=BUY_THRESHOLD,OR(AB140&lt;=2,U140&lt;=2)),"Maybe",IF(AC140&gt;=BUY_THRESHOLD,"Buy",IF(AC140&gt;=MAYBE_THRESHOLD,"Maybe","Reject")))))))</f>
        <v/>
      </c>
      <c r="AE140" s="23" t="n"/>
      <c r="AF140" s="23" t="n"/>
      <c r="AG140" s="23" t="n"/>
      <c r="AH140" s="23" t="n"/>
      <c r="AI140" s="24" t="n"/>
      <c r="AJ140">
        <f>IF(AC140="",-9999-ROW()*0.0000001,AC140-ROW()*0.0000001)</f>
        <v/>
      </c>
      <c r="AK140">
        <f>IF(OR(AC140="",P140="",P140&gt;MAX_PRICE),-9999-ROW()*0.0000001,AC140-ROW()*0.0000001)</f>
        <v/>
      </c>
      <c r="AL140">
        <f>IF(AC140="",-9999-ROW()*0.0000001,X140*1000+AC140-ROW()*0.0000001)</f>
        <v/>
      </c>
      <c r="AM140">
        <f>IF(AC140="",-9999-ROW()*0.0000001,Y140*1000+AC140-ROW()*0.0000001)</f>
        <v/>
      </c>
      <c r="AN140">
        <f>IF(AND(OR(AD140="Maybe",AD140="Price Review"),AG140&lt;&gt;"Approved",AG140&lt;&gt;"Rejected"),IF(AC140="",0,AC140)-ROW()*0.0000001,-9999-ROW()*0.0000001)</f>
        <v/>
      </c>
      <c r="AO140" s="28" t="n"/>
      <c r="AP140" s="28" t="n"/>
      <c r="AQ140" s="29" t="n"/>
      <c r="AR140" s="29" t="n"/>
      <c r="AS140" s="23" t="n"/>
      <c r="AT140" s="29" t="n"/>
      <c r="AU140" s="29" t="n"/>
      <c r="AV140" s="29" t="n"/>
      <c r="AW140" s="25">
        <f>IF(OR(O140="",AV140=""),"",O140*AV140)</f>
        <v/>
      </c>
      <c r="AX140" s="23" t="n"/>
      <c r="AY140" s="23" t="n"/>
      <c r="AZ140" s="23" t="n"/>
      <c r="BA140" s="23" t="n"/>
      <c r="BB140" s="23" t="n"/>
      <c r="BC140" s="25" t="n"/>
      <c r="BD140" s="23" t="n"/>
      <c r="BE140" s="23">
        <f>IF(C140="","",IF(AND(ISNUMBER(P140),P140&gt;MAX_PRICE),"Price too high",IF(AND(ISNUMBER(AB140),AB140&lt;=2),"Quality risk",IF(AND(ISNUMBER(U140),U140&lt;=2),"Aesthetic mismatch",IF(AY140="High","Too fragile",IF(AND(ISNUMBER(R140),R140&lt;LOW_PROFIT_PCT),"Low profit",IF(AND(ISNUMBER(AT140),AT140&gt;MOQ_WARNING),"MOQ too high",IF(OR(AD140="Maybe",AD140="Price Review"),"Needs partner review",IF(AD140="Buy","Good candidate","")))))))))</f>
        <v/>
      </c>
      <c r="BF140" s="23" t="n"/>
      <c r="BG140" s="23" t="n"/>
      <c r="BH140" s="23" t="n"/>
      <c r="BI140" s="23" t="n"/>
      <c r="BJ140" s="23" t="n"/>
      <c r="BK140" s="23" t="n"/>
      <c r="BL140" s="23">
        <f>IF(C140="","",IF(AND(BG140="Yes",BH140="Yes",BI140="Yes",BJ140="Yes",BK140="Yes"),"Yes","No"))</f>
        <v/>
      </c>
      <c r="BM140" s="25" t="n"/>
      <c r="BN140" s="25" t="n"/>
      <c r="BO140" s="25">
        <f>IF(OR(BM140="",BN140=""),"",BM140+BN140)</f>
        <v/>
      </c>
      <c r="BP140" s="25" t="n"/>
      <c r="BQ140" s="25">
        <f>IF(OR(BP140="",BO140=""),"",BP140-BO140)</f>
        <v/>
      </c>
      <c r="BR140" s="26">
        <f>IF(OR(BP140="",BP140=0,BQ140=""),"",BQ140/BP140)</f>
        <v/>
      </c>
      <c r="BS140" s="24" t="n"/>
      <c r="BT140" s="29" t="n"/>
      <c r="BU140" s="29" t="n"/>
      <c r="BV140" s="23" t="n"/>
      <c r="BW140" s="23" t="n"/>
      <c r="BX140" s="29">
        <f>IF(OR(BT140="",BU140=""),"",BT140-BU140)</f>
        <v/>
      </c>
      <c r="BY140" s="23" t="n"/>
      <c r="BZ140" s="24" t="n"/>
      <c r="CA140" s="23" t="n"/>
      <c r="CB140" s="23" t="n"/>
    </row>
    <row r="141">
      <c r="A141" s="16">
        <f>IF(C141="","","AYN-"&amp;IFERROR(VLOOKUP(E141,CATEGORY_PREFIX_TABLE,2,FALSE),"OTH")&amp;"-"&amp;TEXT(ROW()-2,"0000"))</f>
        <v/>
      </c>
      <c r="B141" s="17" t="n"/>
      <c r="C141" s="16" t="n"/>
      <c r="D141" s="16" t="n"/>
      <c r="E141" s="16" t="n"/>
      <c r="F141" s="16" t="n"/>
      <c r="G141" s="16" t="n"/>
      <c r="H141" s="16" t="n"/>
      <c r="I141" s="16" t="n"/>
      <c r="J141" s="16" t="n"/>
      <c r="K141" s="18">
        <f>IF(I141="","",IF(J141="BDT",I141,IF(J141="USD",I141*USD_BDT,IF(J141="RMB",I141*RMB_BDT,""))))</f>
        <v/>
      </c>
      <c r="L141" s="18" t="n"/>
      <c r="M141" s="19" t="n"/>
      <c r="N141" s="18" t="n"/>
      <c r="O141" s="18">
        <f>IF(K141="","",K141+IFERROR(L141,0)+(K141*IF(M141="",CUSTOMS_PCT,M141))+IF(N141="",MISC_FEE,N141))</f>
        <v/>
      </c>
      <c r="P141" s="18">
        <f>IF(O141="","",ROUND(O141*(1+MARKUP_PCT),-1)-1)</f>
        <v/>
      </c>
      <c r="Q141" s="18">
        <f>IF(P141="","",P141-O141)</f>
        <v/>
      </c>
      <c r="R141" s="19">
        <f>IF(OR(P141="",P141=0),"",Q141/P141)</f>
        <v/>
      </c>
      <c r="S141" s="16" t="n"/>
      <c r="T141" s="16" t="n"/>
      <c r="U141" s="16" t="n"/>
      <c r="V141" s="16" t="n"/>
      <c r="W141" s="16" t="n"/>
      <c r="X141" s="16" t="n"/>
      <c r="Y141" s="16" t="n"/>
      <c r="Z141" s="16" t="n"/>
      <c r="AA141" s="16" t="n"/>
      <c r="AB141" s="16" t="n"/>
      <c r="AC141" s="20">
        <f>IF(COUNT(S141:AB141)&lt;10,"",(S141*W_FEMININE+T141*W_TREND+U141*W_AESTHETIC+V141*W_STYLE+W141*W_LIGHT+X141*W_REELS+Y141*W_GIFT+Z141*W_PRICEFIT+AA141*W_DEMAND+AB141*W_QUALITY)/5*100)</f>
        <v/>
      </c>
      <c r="AD141" s="16">
        <f>IF(P141="","",IF(P141&gt;HARD_REJECT_PRICE,"Reject",IF(P141&gt;MAX_PRICE,"Price Review",IF(AC141="","",IF(AND(AC141&gt;=BUY_THRESHOLD,OR(AB141&lt;=2,U141&lt;=2)),"Maybe",IF(AC141&gt;=BUY_THRESHOLD,"Buy",IF(AC141&gt;=MAYBE_THRESHOLD,"Maybe","Reject")))))))</f>
        <v/>
      </c>
      <c r="AE141" s="16" t="n"/>
      <c r="AF141" s="16" t="n"/>
      <c r="AG141" s="16" t="n"/>
      <c r="AH141" s="16" t="n"/>
      <c r="AI141" s="17" t="n"/>
      <c r="AJ141">
        <f>IF(AC141="",-9999-ROW()*0.0000001,AC141-ROW()*0.0000001)</f>
        <v/>
      </c>
      <c r="AK141">
        <f>IF(OR(AC141="",P141="",P141&gt;MAX_PRICE),-9999-ROW()*0.0000001,AC141-ROW()*0.0000001)</f>
        <v/>
      </c>
      <c r="AL141">
        <f>IF(AC141="",-9999-ROW()*0.0000001,X141*1000+AC141-ROW()*0.0000001)</f>
        <v/>
      </c>
      <c r="AM141">
        <f>IF(AC141="",-9999-ROW()*0.0000001,Y141*1000+AC141-ROW()*0.0000001)</f>
        <v/>
      </c>
      <c r="AN141">
        <f>IF(AND(OR(AD141="Maybe",AD141="Price Review"),AG141&lt;&gt;"Approved",AG141&lt;&gt;"Rejected"),IF(AC141="",0,AC141)-ROW()*0.0000001,-9999-ROW()*0.0000001)</f>
        <v/>
      </c>
      <c r="AO141" s="21" t="n"/>
      <c r="AP141" s="21" t="n"/>
      <c r="AQ141" s="22" t="n"/>
      <c r="AR141" s="22" t="n"/>
      <c r="AS141" s="16" t="n"/>
      <c r="AT141" s="22" t="n"/>
      <c r="AU141" s="22" t="n"/>
      <c r="AV141" s="22" t="n"/>
      <c r="AW141" s="18">
        <f>IF(OR(O141="",AV141=""),"",O141*AV141)</f>
        <v/>
      </c>
      <c r="AX141" s="16" t="n"/>
      <c r="AY141" s="16" t="n"/>
      <c r="AZ141" s="16" t="n"/>
      <c r="BA141" s="16" t="n"/>
      <c r="BB141" s="16" t="n"/>
      <c r="BC141" s="18" t="n"/>
      <c r="BD141" s="16" t="n"/>
      <c r="BE141" s="16">
        <f>IF(C141="","",IF(AND(ISNUMBER(P141),P141&gt;MAX_PRICE),"Price too high",IF(AND(ISNUMBER(AB141),AB141&lt;=2),"Quality risk",IF(AND(ISNUMBER(U141),U141&lt;=2),"Aesthetic mismatch",IF(AY141="High","Too fragile",IF(AND(ISNUMBER(R141),R141&lt;LOW_PROFIT_PCT),"Low profit",IF(AND(ISNUMBER(AT141),AT141&gt;MOQ_WARNING),"MOQ too high",IF(OR(AD141="Maybe",AD141="Price Review"),"Needs partner review",IF(AD141="Buy","Good candidate","")))))))))</f>
        <v/>
      </c>
      <c r="BF141" s="16" t="n"/>
      <c r="BG141" s="16" t="n"/>
      <c r="BH141" s="16" t="n"/>
      <c r="BI141" s="16" t="n"/>
      <c r="BJ141" s="16" t="n"/>
      <c r="BK141" s="16" t="n"/>
      <c r="BL141" s="16">
        <f>IF(C141="","",IF(AND(BG141="Yes",BH141="Yes",BI141="Yes",BJ141="Yes",BK141="Yes"),"Yes","No"))</f>
        <v/>
      </c>
      <c r="BM141" s="18" t="n"/>
      <c r="BN141" s="18" t="n"/>
      <c r="BO141" s="18">
        <f>IF(OR(BM141="",BN141=""),"",BM141+BN141)</f>
        <v/>
      </c>
      <c r="BP141" s="18" t="n"/>
      <c r="BQ141" s="18">
        <f>IF(OR(BP141="",BO141=""),"",BP141-BO141)</f>
        <v/>
      </c>
      <c r="BR141" s="19">
        <f>IF(OR(BP141="",BP141=0,BQ141=""),"",BQ141/BP141)</f>
        <v/>
      </c>
      <c r="BS141" s="17" t="n"/>
      <c r="BT141" s="22" t="n"/>
      <c r="BU141" s="22" t="n"/>
      <c r="BV141" s="16" t="n"/>
      <c r="BW141" s="16" t="n"/>
      <c r="BX141" s="22">
        <f>IF(OR(BT141="",BU141=""),"",BT141-BU141)</f>
        <v/>
      </c>
      <c r="BY141" s="16" t="n"/>
      <c r="BZ141" s="17" t="n"/>
      <c r="CA141" s="16" t="n"/>
      <c r="CB141" s="16" t="n"/>
    </row>
    <row r="142">
      <c r="A142" s="23">
        <f>IF(C142="","","AYN-"&amp;IFERROR(VLOOKUP(E142,CATEGORY_PREFIX_TABLE,2,FALSE),"OTH")&amp;"-"&amp;TEXT(ROW()-2,"0000"))</f>
        <v/>
      </c>
      <c r="B142" s="24" t="n"/>
      <c r="C142" s="23" t="n"/>
      <c r="D142" s="23" t="n"/>
      <c r="E142" s="23" t="n"/>
      <c r="F142" s="23" t="n"/>
      <c r="G142" s="23" t="n"/>
      <c r="H142" s="23" t="n"/>
      <c r="I142" s="23" t="n"/>
      <c r="J142" s="23" t="n"/>
      <c r="K142" s="25">
        <f>IF(I142="","",IF(J142="BDT",I142,IF(J142="USD",I142*USD_BDT,IF(J142="RMB",I142*RMB_BDT,""))))</f>
        <v/>
      </c>
      <c r="L142" s="25" t="n"/>
      <c r="M142" s="26" t="n"/>
      <c r="N142" s="25" t="n"/>
      <c r="O142" s="25">
        <f>IF(K142="","",K142+IFERROR(L142,0)+(K142*IF(M142="",CUSTOMS_PCT,M142))+IF(N142="",MISC_FEE,N142))</f>
        <v/>
      </c>
      <c r="P142" s="25">
        <f>IF(O142="","",ROUND(O142*(1+MARKUP_PCT),-1)-1)</f>
        <v/>
      </c>
      <c r="Q142" s="25">
        <f>IF(P142="","",P142-O142)</f>
        <v/>
      </c>
      <c r="R142" s="26">
        <f>IF(OR(P142="",P142=0),"",Q142/P142)</f>
        <v/>
      </c>
      <c r="S142" s="23" t="n"/>
      <c r="T142" s="23" t="n"/>
      <c r="U142" s="23" t="n"/>
      <c r="V142" s="23" t="n"/>
      <c r="W142" s="23" t="n"/>
      <c r="X142" s="23" t="n"/>
      <c r="Y142" s="23" t="n"/>
      <c r="Z142" s="23" t="n"/>
      <c r="AA142" s="23" t="n"/>
      <c r="AB142" s="23" t="n"/>
      <c r="AC142" s="27">
        <f>IF(COUNT(S142:AB142)&lt;10,"",(S142*W_FEMININE+T142*W_TREND+U142*W_AESTHETIC+V142*W_STYLE+W142*W_LIGHT+X142*W_REELS+Y142*W_GIFT+Z142*W_PRICEFIT+AA142*W_DEMAND+AB142*W_QUALITY)/5*100)</f>
        <v/>
      </c>
      <c r="AD142" s="23">
        <f>IF(P142="","",IF(P142&gt;HARD_REJECT_PRICE,"Reject",IF(P142&gt;MAX_PRICE,"Price Review",IF(AC142="","",IF(AND(AC142&gt;=BUY_THRESHOLD,OR(AB142&lt;=2,U142&lt;=2)),"Maybe",IF(AC142&gt;=BUY_THRESHOLD,"Buy",IF(AC142&gt;=MAYBE_THRESHOLD,"Maybe","Reject")))))))</f>
        <v/>
      </c>
      <c r="AE142" s="23" t="n"/>
      <c r="AF142" s="23" t="n"/>
      <c r="AG142" s="23" t="n"/>
      <c r="AH142" s="23" t="n"/>
      <c r="AI142" s="24" t="n"/>
      <c r="AJ142">
        <f>IF(AC142="",-9999-ROW()*0.0000001,AC142-ROW()*0.0000001)</f>
        <v/>
      </c>
      <c r="AK142">
        <f>IF(OR(AC142="",P142="",P142&gt;MAX_PRICE),-9999-ROW()*0.0000001,AC142-ROW()*0.0000001)</f>
        <v/>
      </c>
      <c r="AL142">
        <f>IF(AC142="",-9999-ROW()*0.0000001,X142*1000+AC142-ROW()*0.0000001)</f>
        <v/>
      </c>
      <c r="AM142">
        <f>IF(AC142="",-9999-ROW()*0.0000001,Y142*1000+AC142-ROW()*0.0000001)</f>
        <v/>
      </c>
      <c r="AN142">
        <f>IF(AND(OR(AD142="Maybe",AD142="Price Review"),AG142&lt;&gt;"Approved",AG142&lt;&gt;"Rejected"),IF(AC142="",0,AC142)-ROW()*0.0000001,-9999-ROW()*0.0000001)</f>
        <v/>
      </c>
      <c r="AO142" s="28" t="n"/>
      <c r="AP142" s="28" t="n"/>
      <c r="AQ142" s="29" t="n"/>
      <c r="AR142" s="29" t="n"/>
      <c r="AS142" s="23" t="n"/>
      <c r="AT142" s="29" t="n"/>
      <c r="AU142" s="29" t="n"/>
      <c r="AV142" s="29" t="n"/>
      <c r="AW142" s="25">
        <f>IF(OR(O142="",AV142=""),"",O142*AV142)</f>
        <v/>
      </c>
      <c r="AX142" s="23" t="n"/>
      <c r="AY142" s="23" t="n"/>
      <c r="AZ142" s="23" t="n"/>
      <c r="BA142" s="23" t="n"/>
      <c r="BB142" s="23" t="n"/>
      <c r="BC142" s="25" t="n"/>
      <c r="BD142" s="23" t="n"/>
      <c r="BE142" s="23">
        <f>IF(C142="","",IF(AND(ISNUMBER(P142),P142&gt;MAX_PRICE),"Price too high",IF(AND(ISNUMBER(AB142),AB142&lt;=2),"Quality risk",IF(AND(ISNUMBER(U142),U142&lt;=2),"Aesthetic mismatch",IF(AY142="High","Too fragile",IF(AND(ISNUMBER(R142),R142&lt;LOW_PROFIT_PCT),"Low profit",IF(AND(ISNUMBER(AT142),AT142&gt;MOQ_WARNING),"MOQ too high",IF(OR(AD142="Maybe",AD142="Price Review"),"Needs partner review",IF(AD142="Buy","Good candidate","")))))))))</f>
        <v/>
      </c>
      <c r="BF142" s="23" t="n"/>
      <c r="BG142" s="23" t="n"/>
      <c r="BH142" s="23" t="n"/>
      <c r="BI142" s="23" t="n"/>
      <c r="BJ142" s="23" t="n"/>
      <c r="BK142" s="23" t="n"/>
      <c r="BL142" s="23">
        <f>IF(C142="","",IF(AND(BG142="Yes",BH142="Yes",BI142="Yes",BJ142="Yes",BK142="Yes"),"Yes","No"))</f>
        <v/>
      </c>
      <c r="BM142" s="25" t="n"/>
      <c r="BN142" s="25" t="n"/>
      <c r="BO142" s="25">
        <f>IF(OR(BM142="",BN142=""),"",BM142+BN142)</f>
        <v/>
      </c>
      <c r="BP142" s="25" t="n"/>
      <c r="BQ142" s="25">
        <f>IF(OR(BP142="",BO142=""),"",BP142-BO142)</f>
        <v/>
      </c>
      <c r="BR142" s="26">
        <f>IF(OR(BP142="",BP142=0,BQ142=""),"",BQ142/BP142)</f>
        <v/>
      </c>
      <c r="BS142" s="24" t="n"/>
      <c r="BT142" s="29" t="n"/>
      <c r="BU142" s="29" t="n"/>
      <c r="BV142" s="23" t="n"/>
      <c r="BW142" s="23" t="n"/>
      <c r="BX142" s="29">
        <f>IF(OR(BT142="",BU142=""),"",BT142-BU142)</f>
        <v/>
      </c>
      <c r="BY142" s="23" t="n"/>
      <c r="BZ142" s="24" t="n"/>
      <c r="CA142" s="23" t="n"/>
      <c r="CB142" s="23" t="n"/>
    </row>
    <row r="143">
      <c r="A143" s="16">
        <f>IF(C143="","","AYN-"&amp;IFERROR(VLOOKUP(E143,CATEGORY_PREFIX_TABLE,2,FALSE),"OTH")&amp;"-"&amp;TEXT(ROW()-2,"0000"))</f>
        <v/>
      </c>
      <c r="B143" s="17" t="n"/>
      <c r="C143" s="16" t="n"/>
      <c r="D143" s="16" t="n"/>
      <c r="E143" s="16" t="n"/>
      <c r="F143" s="16" t="n"/>
      <c r="G143" s="16" t="n"/>
      <c r="H143" s="16" t="n"/>
      <c r="I143" s="16" t="n"/>
      <c r="J143" s="16" t="n"/>
      <c r="K143" s="18">
        <f>IF(I143="","",IF(J143="BDT",I143,IF(J143="USD",I143*USD_BDT,IF(J143="RMB",I143*RMB_BDT,""))))</f>
        <v/>
      </c>
      <c r="L143" s="18" t="n"/>
      <c r="M143" s="19" t="n"/>
      <c r="N143" s="18" t="n"/>
      <c r="O143" s="18">
        <f>IF(K143="","",K143+IFERROR(L143,0)+(K143*IF(M143="",CUSTOMS_PCT,M143))+IF(N143="",MISC_FEE,N143))</f>
        <v/>
      </c>
      <c r="P143" s="18">
        <f>IF(O143="","",ROUND(O143*(1+MARKUP_PCT),-1)-1)</f>
        <v/>
      </c>
      <c r="Q143" s="18">
        <f>IF(P143="","",P143-O143)</f>
        <v/>
      </c>
      <c r="R143" s="19">
        <f>IF(OR(P143="",P143=0),"",Q143/P143)</f>
        <v/>
      </c>
      <c r="S143" s="16" t="n"/>
      <c r="T143" s="16" t="n"/>
      <c r="U143" s="16" t="n"/>
      <c r="V143" s="16" t="n"/>
      <c r="W143" s="16" t="n"/>
      <c r="X143" s="16" t="n"/>
      <c r="Y143" s="16" t="n"/>
      <c r="Z143" s="16" t="n"/>
      <c r="AA143" s="16" t="n"/>
      <c r="AB143" s="16" t="n"/>
      <c r="AC143" s="20">
        <f>IF(COUNT(S143:AB143)&lt;10,"",(S143*W_FEMININE+T143*W_TREND+U143*W_AESTHETIC+V143*W_STYLE+W143*W_LIGHT+X143*W_REELS+Y143*W_GIFT+Z143*W_PRICEFIT+AA143*W_DEMAND+AB143*W_QUALITY)/5*100)</f>
        <v/>
      </c>
      <c r="AD143" s="16">
        <f>IF(P143="","",IF(P143&gt;HARD_REJECT_PRICE,"Reject",IF(P143&gt;MAX_PRICE,"Price Review",IF(AC143="","",IF(AND(AC143&gt;=BUY_THRESHOLD,OR(AB143&lt;=2,U143&lt;=2)),"Maybe",IF(AC143&gt;=BUY_THRESHOLD,"Buy",IF(AC143&gt;=MAYBE_THRESHOLD,"Maybe","Reject")))))))</f>
        <v/>
      </c>
      <c r="AE143" s="16" t="n"/>
      <c r="AF143" s="16" t="n"/>
      <c r="AG143" s="16" t="n"/>
      <c r="AH143" s="16" t="n"/>
      <c r="AI143" s="17" t="n"/>
      <c r="AJ143">
        <f>IF(AC143="",-9999-ROW()*0.0000001,AC143-ROW()*0.0000001)</f>
        <v/>
      </c>
      <c r="AK143">
        <f>IF(OR(AC143="",P143="",P143&gt;MAX_PRICE),-9999-ROW()*0.0000001,AC143-ROW()*0.0000001)</f>
        <v/>
      </c>
      <c r="AL143">
        <f>IF(AC143="",-9999-ROW()*0.0000001,X143*1000+AC143-ROW()*0.0000001)</f>
        <v/>
      </c>
      <c r="AM143">
        <f>IF(AC143="",-9999-ROW()*0.0000001,Y143*1000+AC143-ROW()*0.0000001)</f>
        <v/>
      </c>
      <c r="AN143">
        <f>IF(AND(OR(AD143="Maybe",AD143="Price Review"),AG143&lt;&gt;"Approved",AG143&lt;&gt;"Rejected"),IF(AC143="",0,AC143)-ROW()*0.0000001,-9999-ROW()*0.0000001)</f>
        <v/>
      </c>
      <c r="AO143" s="21" t="n"/>
      <c r="AP143" s="21" t="n"/>
      <c r="AQ143" s="22" t="n"/>
      <c r="AR143" s="22" t="n"/>
      <c r="AS143" s="16" t="n"/>
      <c r="AT143" s="22" t="n"/>
      <c r="AU143" s="22" t="n"/>
      <c r="AV143" s="22" t="n"/>
      <c r="AW143" s="18">
        <f>IF(OR(O143="",AV143=""),"",O143*AV143)</f>
        <v/>
      </c>
      <c r="AX143" s="16" t="n"/>
      <c r="AY143" s="16" t="n"/>
      <c r="AZ143" s="16" t="n"/>
      <c r="BA143" s="16" t="n"/>
      <c r="BB143" s="16" t="n"/>
      <c r="BC143" s="18" t="n"/>
      <c r="BD143" s="16" t="n"/>
      <c r="BE143" s="16">
        <f>IF(C143="","",IF(AND(ISNUMBER(P143),P143&gt;MAX_PRICE),"Price too high",IF(AND(ISNUMBER(AB143),AB143&lt;=2),"Quality risk",IF(AND(ISNUMBER(U143),U143&lt;=2),"Aesthetic mismatch",IF(AY143="High","Too fragile",IF(AND(ISNUMBER(R143),R143&lt;LOW_PROFIT_PCT),"Low profit",IF(AND(ISNUMBER(AT143),AT143&gt;MOQ_WARNING),"MOQ too high",IF(OR(AD143="Maybe",AD143="Price Review"),"Needs partner review",IF(AD143="Buy","Good candidate","")))))))))</f>
        <v/>
      </c>
      <c r="BF143" s="16" t="n"/>
      <c r="BG143" s="16" t="n"/>
      <c r="BH143" s="16" t="n"/>
      <c r="BI143" s="16" t="n"/>
      <c r="BJ143" s="16" t="n"/>
      <c r="BK143" s="16" t="n"/>
      <c r="BL143" s="16">
        <f>IF(C143="","",IF(AND(BG143="Yes",BH143="Yes",BI143="Yes",BJ143="Yes",BK143="Yes"),"Yes","No"))</f>
        <v/>
      </c>
      <c r="BM143" s="18" t="n"/>
      <c r="BN143" s="18" t="n"/>
      <c r="BO143" s="18">
        <f>IF(OR(BM143="",BN143=""),"",BM143+BN143)</f>
        <v/>
      </c>
      <c r="BP143" s="18" t="n"/>
      <c r="BQ143" s="18">
        <f>IF(OR(BP143="",BO143=""),"",BP143-BO143)</f>
        <v/>
      </c>
      <c r="BR143" s="19">
        <f>IF(OR(BP143="",BP143=0,BQ143=""),"",BQ143/BP143)</f>
        <v/>
      </c>
      <c r="BS143" s="17" t="n"/>
      <c r="BT143" s="22" t="n"/>
      <c r="BU143" s="22" t="n"/>
      <c r="BV143" s="16" t="n"/>
      <c r="BW143" s="16" t="n"/>
      <c r="BX143" s="22">
        <f>IF(OR(BT143="",BU143=""),"",BT143-BU143)</f>
        <v/>
      </c>
      <c r="BY143" s="16" t="n"/>
      <c r="BZ143" s="17" t="n"/>
      <c r="CA143" s="16" t="n"/>
      <c r="CB143" s="16" t="n"/>
    </row>
    <row r="144">
      <c r="A144" s="23">
        <f>IF(C144="","","AYN-"&amp;IFERROR(VLOOKUP(E144,CATEGORY_PREFIX_TABLE,2,FALSE),"OTH")&amp;"-"&amp;TEXT(ROW()-2,"0000"))</f>
        <v/>
      </c>
      <c r="B144" s="24" t="n"/>
      <c r="C144" s="23" t="n"/>
      <c r="D144" s="23" t="n"/>
      <c r="E144" s="23" t="n"/>
      <c r="F144" s="23" t="n"/>
      <c r="G144" s="23" t="n"/>
      <c r="H144" s="23" t="n"/>
      <c r="I144" s="23" t="n"/>
      <c r="J144" s="23" t="n"/>
      <c r="K144" s="25">
        <f>IF(I144="","",IF(J144="BDT",I144,IF(J144="USD",I144*USD_BDT,IF(J144="RMB",I144*RMB_BDT,""))))</f>
        <v/>
      </c>
      <c r="L144" s="25" t="n"/>
      <c r="M144" s="26" t="n"/>
      <c r="N144" s="25" t="n"/>
      <c r="O144" s="25">
        <f>IF(K144="","",K144+IFERROR(L144,0)+(K144*IF(M144="",CUSTOMS_PCT,M144))+IF(N144="",MISC_FEE,N144))</f>
        <v/>
      </c>
      <c r="P144" s="25">
        <f>IF(O144="","",ROUND(O144*(1+MARKUP_PCT),-1)-1)</f>
        <v/>
      </c>
      <c r="Q144" s="25">
        <f>IF(P144="","",P144-O144)</f>
        <v/>
      </c>
      <c r="R144" s="26">
        <f>IF(OR(P144="",P144=0),"",Q144/P144)</f>
        <v/>
      </c>
      <c r="S144" s="23" t="n"/>
      <c r="T144" s="23" t="n"/>
      <c r="U144" s="23" t="n"/>
      <c r="V144" s="23" t="n"/>
      <c r="W144" s="23" t="n"/>
      <c r="X144" s="23" t="n"/>
      <c r="Y144" s="23" t="n"/>
      <c r="Z144" s="23" t="n"/>
      <c r="AA144" s="23" t="n"/>
      <c r="AB144" s="23" t="n"/>
      <c r="AC144" s="27">
        <f>IF(COUNT(S144:AB144)&lt;10,"",(S144*W_FEMININE+T144*W_TREND+U144*W_AESTHETIC+V144*W_STYLE+W144*W_LIGHT+X144*W_REELS+Y144*W_GIFT+Z144*W_PRICEFIT+AA144*W_DEMAND+AB144*W_QUALITY)/5*100)</f>
        <v/>
      </c>
      <c r="AD144" s="23">
        <f>IF(P144="","",IF(P144&gt;HARD_REJECT_PRICE,"Reject",IF(P144&gt;MAX_PRICE,"Price Review",IF(AC144="","",IF(AND(AC144&gt;=BUY_THRESHOLD,OR(AB144&lt;=2,U144&lt;=2)),"Maybe",IF(AC144&gt;=BUY_THRESHOLD,"Buy",IF(AC144&gt;=MAYBE_THRESHOLD,"Maybe","Reject")))))))</f>
        <v/>
      </c>
      <c r="AE144" s="23" t="n"/>
      <c r="AF144" s="23" t="n"/>
      <c r="AG144" s="23" t="n"/>
      <c r="AH144" s="23" t="n"/>
      <c r="AI144" s="24" t="n"/>
      <c r="AJ144">
        <f>IF(AC144="",-9999-ROW()*0.0000001,AC144-ROW()*0.0000001)</f>
        <v/>
      </c>
      <c r="AK144">
        <f>IF(OR(AC144="",P144="",P144&gt;MAX_PRICE),-9999-ROW()*0.0000001,AC144-ROW()*0.0000001)</f>
        <v/>
      </c>
      <c r="AL144">
        <f>IF(AC144="",-9999-ROW()*0.0000001,X144*1000+AC144-ROW()*0.0000001)</f>
        <v/>
      </c>
      <c r="AM144">
        <f>IF(AC144="",-9999-ROW()*0.0000001,Y144*1000+AC144-ROW()*0.0000001)</f>
        <v/>
      </c>
      <c r="AN144">
        <f>IF(AND(OR(AD144="Maybe",AD144="Price Review"),AG144&lt;&gt;"Approved",AG144&lt;&gt;"Rejected"),IF(AC144="",0,AC144)-ROW()*0.0000001,-9999-ROW()*0.0000001)</f>
        <v/>
      </c>
      <c r="AO144" s="28" t="n"/>
      <c r="AP144" s="28" t="n"/>
      <c r="AQ144" s="29" t="n"/>
      <c r="AR144" s="29" t="n"/>
      <c r="AS144" s="23" t="n"/>
      <c r="AT144" s="29" t="n"/>
      <c r="AU144" s="29" t="n"/>
      <c r="AV144" s="29" t="n"/>
      <c r="AW144" s="25">
        <f>IF(OR(O144="",AV144=""),"",O144*AV144)</f>
        <v/>
      </c>
      <c r="AX144" s="23" t="n"/>
      <c r="AY144" s="23" t="n"/>
      <c r="AZ144" s="23" t="n"/>
      <c r="BA144" s="23" t="n"/>
      <c r="BB144" s="23" t="n"/>
      <c r="BC144" s="25" t="n"/>
      <c r="BD144" s="23" t="n"/>
      <c r="BE144" s="23">
        <f>IF(C144="","",IF(AND(ISNUMBER(P144),P144&gt;MAX_PRICE),"Price too high",IF(AND(ISNUMBER(AB144),AB144&lt;=2),"Quality risk",IF(AND(ISNUMBER(U144),U144&lt;=2),"Aesthetic mismatch",IF(AY144="High","Too fragile",IF(AND(ISNUMBER(R144),R144&lt;LOW_PROFIT_PCT),"Low profit",IF(AND(ISNUMBER(AT144),AT144&gt;MOQ_WARNING),"MOQ too high",IF(OR(AD144="Maybe",AD144="Price Review"),"Needs partner review",IF(AD144="Buy","Good candidate","")))))))))</f>
        <v/>
      </c>
      <c r="BF144" s="23" t="n"/>
      <c r="BG144" s="23" t="n"/>
      <c r="BH144" s="23" t="n"/>
      <c r="BI144" s="23" t="n"/>
      <c r="BJ144" s="23" t="n"/>
      <c r="BK144" s="23" t="n"/>
      <c r="BL144" s="23">
        <f>IF(C144="","",IF(AND(BG144="Yes",BH144="Yes",BI144="Yes",BJ144="Yes",BK144="Yes"),"Yes","No"))</f>
        <v/>
      </c>
      <c r="BM144" s="25" t="n"/>
      <c r="BN144" s="25" t="n"/>
      <c r="BO144" s="25">
        <f>IF(OR(BM144="",BN144=""),"",BM144+BN144)</f>
        <v/>
      </c>
      <c r="BP144" s="25" t="n"/>
      <c r="BQ144" s="25">
        <f>IF(OR(BP144="",BO144=""),"",BP144-BO144)</f>
        <v/>
      </c>
      <c r="BR144" s="26">
        <f>IF(OR(BP144="",BP144=0,BQ144=""),"",BQ144/BP144)</f>
        <v/>
      </c>
      <c r="BS144" s="24" t="n"/>
      <c r="BT144" s="29" t="n"/>
      <c r="BU144" s="29" t="n"/>
      <c r="BV144" s="23" t="n"/>
      <c r="BW144" s="23" t="n"/>
      <c r="BX144" s="29">
        <f>IF(OR(BT144="",BU144=""),"",BT144-BU144)</f>
        <v/>
      </c>
      <c r="BY144" s="23" t="n"/>
      <c r="BZ144" s="24" t="n"/>
      <c r="CA144" s="23" t="n"/>
      <c r="CB144" s="23" t="n"/>
    </row>
    <row r="145">
      <c r="A145" s="16">
        <f>IF(C145="","","AYN-"&amp;IFERROR(VLOOKUP(E145,CATEGORY_PREFIX_TABLE,2,FALSE),"OTH")&amp;"-"&amp;TEXT(ROW()-2,"0000"))</f>
        <v/>
      </c>
      <c r="B145" s="17" t="n"/>
      <c r="C145" s="16" t="n"/>
      <c r="D145" s="16" t="n"/>
      <c r="E145" s="16" t="n"/>
      <c r="F145" s="16" t="n"/>
      <c r="G145" s="16" t="n"/>
      <c r="H145" s="16" t="n"/>
      <c r="I145" s="16" t="n"/>
      <c r="J145" s="16" t="n"/>
      <c r="K145" s="18">
        <f>IF(I145="","",IF(J145="BDT",I145,IF(J145="USD",I145*USD_BDT,IF(J145="RMB",I145*RMB_BDT,""))))</f>
        <v/>
      </c>
      <c r="L145" s="18" t="n"/>
      <c r="M145" s="19" t="n"/>
      <c r="N145" s="18" t="n"/>
      <c r="O145" s="18">
        <f>IF(K145="","",K145+IFERROR(L145,0)+(K145*IF(M145="",CUSTOMS_PCT,M145))+IF(N145="",MISC_FEE,N145))</f>
        <v/>
      </c>
      <c r="P145" s="18">
        <f>IF(O145="","",ROUND(O145*(1+MARKUP_PCT),-1)-1)</f>
        <v/>
      </c>
      <c r="Q145" s="18">
        <f>IF(P145="","",P145-O145)</f>
        <v/>
      </c>
      <c r="R145" s="19">
        <f>IF(OR(P145="",P145=0),"",Q145/P145)</f>
        <v/>
      </c>
      <c r="S145" s="16" t="n"/>
      <c r="T145" s="16" t="n"/>
      <c r="U145" s="16" t="n"/>
      <c r="V145" s="16" t="n"/>
      <c r="W145" s="16" t="n"/>
      <c r="X145" s="16" t="n"/>
      <c r="Y145" s="16" t="n"/>
      <c r="Z145" s="16" t="n"/>
      <c r="AA145" s="16" t="n"/>
      <c r="AB145" s="16" t="n"/>
      <c r="AC145" s="20">
        <f>IF(COUNT(S145:AB145)&lt;10,"",(S145*W_FEMININE+T145*W_TREND+U145*W_AESTHETIC+V145*W_STYLE+W145*W_LIGHT+X145*W_REELS+Y145*W_GIFT+Z145*W_PRICEFIT+AA145*W_DEMAND+AB145*W_QUALITY)/5*100)</f>
        <v/>
      </c>
      <c r="AD145" s="16">
        <f>IF(P145="","",IF(P145&gt;HARD_REJECT_PRICE,"Reject",IF(P145&gt;MAX_PRICE,"Price Review",IF(AC145="","",IF(AND(AC145&gt;=BUY_THRESHOLD,OR(AB145&lt;=2,U145&lt;=2)),"Maybe",IF(AC145&gt;=BUY_THRESHOLD,"Buy",IF(AC145&gt;=MAYBE_THRESHOLD,"Maybe","Reject")))))))</f>
        <v/>
      </c>
      <c r="AE145" s="16" t="n"/>
      <c r="AF145" s="16" t="n"/>
      <c r="AG145" s="16" t="n"/>
      <c r="AH145" s="16" t="n"/>
      <c r="AI145" s="17" t="n"/>
      <c r="AJ145">
        <f>IF(AC145="",-9999-ROW()*0.0000001,AC145-ROW()*0.0000001)</f>
        <v/>
      </c>
      <c r="AK145">
        <f>IF(OR(AC145="",P145="",P145&gt;MAX_PRICE),-9999-ROW()*0.0000001,AC145-ROW()*0.0000001)</f>
        <v/>
      </c>
      <c r="AL145">
        <f>IF(AC145="",-9999-ROW()*0.0000001,X145*1000+AC145-ROW()*0.0000001)</f>
        <v/>
      </c>
      <c r="AM145">
        <f>IF(AC145="",-9999-ROW()*0.0000001,Y145*1000+AC145-ROW()*0.0000001)</f>
        <v/>
      </c>
      <c r="AN145">
        <f>IF(AND(OR(AD145="Maybe",AD145="Price Review"),AG145&lt;&gt;"Approved",AG145&lt;&gt;"Rejected"),IF(AC145="",0,AC145)-ROW()*0.0000001,-9999-ROW()*0.0000001)</f>
        <v/>
      </c>
      <c r="AO145" s="21" t="n"/>
      <c r="AP145" s="21" t="n"/>
      <c r="AQ145" s="22" t="n"/>
      <c r="AR145" s="22" t="n"/>
      <c r="AS145" s="16" t="n"/>
      <c r="AT145" s="22" t="n"/>
      <c r="AU145" s="22" t="n"/>
      <c r="AV145" s="22" t="n"/>
      <c r="AW145" s="18">
        <f>IF(OR(O145="",AV145=""),"",O145*AV145)</f>
        <v/>
      </c>
      <c r="AX145" s="16" t="n"/>
      <c r="AY145" s="16" t="n"/>
      <c r="AZ145" s="16" t="n"/>
      <c r="BA145" s="16" t="n"/>
      <c r="BB145" s="16" t="n"/>
      <c r="BC145" s="18" t="n"/>
      <c r="BD145" s="16" t="n"/>
      <c r="BE145" s="16">
        <f>IF(C145="","",IF(AND(ISNUMBER(P145),P145&gt;MAX_PRICE),"Price too high",IF(AND(ISNUMBER(AB145),AB145&lt;=2),"Quality risk",IF(AND(ISNUMBER(U145),U145&lt;=2),"Aesthetic mismatch",IF(AY145="High","Too fragile",IF(AND(ISNUMBER(R145),R145&lt;LOW_PROFIT_PCT),"Low profit",IF(AND(ISNUMBER(AT145),AT145&gt;MOQ_WARNING),"MOQ too high",IF(OR(AD145="Maybe",AD145="Price Review"),"Needs partner review",IF(AD145="Buy","Good candidate","")))))))))</f>
        <v/>
      </c>
      <c r="BF145" s="16" t="n"/>
      <c r="BG145" s="16" t="n"/>
      <c r="BH145" s="16" t="n"/>
      <c r="BI145" s="16" t="n"/>
      <c r="BJ145" s="16" t="n"/>
      <c r="BK145" s="16" t="n"/>
      <c r="BL145" s="16">
        <f>IF(C145="","",IF(AND(BG145="Yes",BH145="Yes",BI145="Yes",BJ145="Yes",BK145="Yes"),"Yes","No"))</f>
        <v/>
      </c>
      <c r="BM145" s="18" t="n"/>
      <c r="BN145" s="18" t="n"/>
      <c r="BO145" s="18">
        <f>IF(OR(BM145="",BN145=""),"",BM145+BN145)</f>
        <v/>
      </c>
      <c r="BP145" s="18" t="n"/>
      <c r="BQ145" s="18">
        <f>IF(OR(BP145="",BO145=""),"",BP145-BO145)</f>
        <v/>
      </c>
      <c r="BR145" s="19">
        <f>IF(OR(BP145="",BP145=0,BQ145=""),"",BQ145/BP145)</f>
        <v/>
      </c>
      <c r="BS145" s="17" t="n"/>
      <c r="BT145" s="22" t="n"/>
      <c r="BU145" s="22" t="n"/>
      <c r="BV145" s="16" t="n"/>
      <c r="BW145" s="16" t="n"/>
      <c r="BX145" s="22">
        <f>IF(OR(BT145="",BU145=""),"",BT145-BU145)</f>
        <v/>
      </c>
      <c r="BY145" s="16" t="n"/>
      <c r="BZ145" s="17" t="n"/>
      <c r="CA145" s="16" t="n"/>
      <c r="CB145" s="16" t="n"/>
    </row>
    <row r="146">
      <c r="A146" s="23">
        <f>IF(C146="","","AYN-"&amp;IFERROR(VLOOKUP(E146,CATEGORY_PREFIX_TABLE,2,FALSE),"OTH")&amp;"-"&amp;TEXT(ROW()-2,"0000"))</f>
        <v/>
      </c>
      <c r="B146" s="24" t="n"/>
      <c r="C146" s="23" t="n"/>
      <c r="D146" s="23" t="n"/>
      <c r="E146" s="23" t="n"/>
      <c r="F146" s="23" t="n"/>
      <c r="G146" s="23" t="n"/>
      <c r="H146" s="23" t="n"/>
      <c r="I146" s="23" t="n"/>
      <c r="J146" s="23" t="n"/>
      <c r="K146" s="25">
        <f>IF(I146="","",IF(J146="BDT",I146,IF(J146="USD",I146*USD_BDT,IF(J146="RMB",I146*RMB_BDT,""))))</f>
        <v/>
      </c>
      <c r="L146" s="25" t="n"/>
      <c r="M146" s="26" t="n"/>
      <c r="N146" s="25" t="n"/>
      <c r="O146" s="25">
        <f>IF(K146="","",K146+IFERROR(L146,0)+(K146*IF(M146="",CUSTOMS_PCT,M146))+IF(N146="",MISC_FEE,N146))</f>
        <v/>
      </c>
      <c r="P146" s="25">
        <f>IF(O146="","",ROUND(O146*(1+MARKUP_PCT),-1)-1)</f>
        <v/>
      </c>
      <c r="Q146" s="25">
        <f>IF(P146="","",P146-O146)</f>
        <v/>
      </c>
      <c r="R146" s="26">
        <f>IF(OR(P146="",P146=0),"",Q146/P146)</f>
        <v/>
      </c>
      <c r="S146" s="23" t="n"/>
      <c r="T146" s="23" t="n"/>
      <c r="U146" s="23" t="n"/>
      <c r="V146" s="23" t="n"/>
      <c r="W146" s="23" t="n"/>
      <c r="X146" s="23" t="n"/>
      <c r="Y146" s="23" t="n"/>
      <c r="Z146" s="23" t="n"/>
      <c r="AA146" s="23" t="n"/>
      <c r="AB146" s="23" t="n"/>
      <c r="AC146" s="27">
        <f>IF(COUNT(S146:AB146)&lt;10,"",(S146*W_FEMININE+T146*W_TREND+U146*W_AESTHETIC+V146*W_STYLE+W146*W_LIGHT+X146*W_REELS+Y146*W_GIFT+Z146*W_PRICEFIT+AA146*W_DEMAND+AB146*W_QUALITY)/5*100)</f>
        <v/>
      </c>
      <c r="AD146" s="23">
        <f>IF(P146="","",IF(P146&gt;HARD_REJECT_PRICE,"Reject",IF(P146&gt;MAX_PRICE,"Price Review",IF(AC146="","",IF(AND(AC146&gt;=BUY_THRESHOLD,OR(AB146&lt;=2,U146&lt;=2)),"Maybe",IF(AC146&gt;=BUY_THRESHOLD,"Buy",IF(AC146&gt;=MAYBE_THRESHOLD,"Maybe","Reject")))))))</f>
        <v/>
      </c>
      <c r="AE146" s="23" t="n"/>
      <c r="AF146" s="23" t="n"/>
      <c r="AG146" s="23" t="n"/>
      <c r="AH146" s="23" t="n"/>
      <c r="AI146" s="24" t="n"/>
      <c r="AJ146">
        <f>IF(AC146="",-9999-ROW()*0.0000001,AC146-ROW()*0.0000001)</f>
        <v/>
      </c>
      <c r="AK146">
        <f>IF(OR(AC146="",P146="",P146&gt;MAX_PRICE),-9999-ROW()*0.0000001,AC146-ROW()*0.0000001)</f>
        <v/>
      </c>
      <c r="AL146">
        <f>IF(AC146="",-9999-ROW()*0.0000001,X146*1000+AC146-ROW()*0.0000001)</f>
        <v/>
      </c>
      <c r="AM146">
        <f>IF(AC146="",-9999-ROW()*0.0000001,Y146*1000+AC146-ROW()*0.0000001)</f>
        <v/>
      </c>
      <c r="AN146">
        <f>IF(AND(OR(AD146="Maybe",AD146="Price Review"),AG146&lt;&gt;"Approved",AG146&lt;&gt;"Rejected"),IF(AC146="",0,AC146)-ROW()*0.0000001,-9999-ROW()*0.0000001)</f>
        <v/>
      </c>
      <c r="AO146" s="28" t="n"/>
      <c r="AP146" s="28" t="n"/>
      <c r="AQ146" s="29" t="n"/>
      <c r="AR146" s="29" t="n"/>
      <c r="AS146" s="23" t="n"/>
      <c r="AT146" s="29" t="n"/>
      <c r="AU146" s="29" t="n"/>
      <c r="AV146" s="29" t="n"/>
      <c r="AW146" s="25">
        <f>IF(OR(O146="",AV146=""),"",O146*AV146)</f>
        <v/>
      </c>
      <c r="AX146" s="23" t="n"/>
      <c r="AY146" s="23" t="n"/>
      <c r="AZ146" s="23" t="n"/>
      <c r="BA146" s="23" t="n"/>
      <c r="BB146" s="23" t="n"/>
      <c r="BC146" s="25" t="n"/>
      <c r="BD146" s="23" t="n"/>
      <c r="BE146" s="23">
        <f>IF(C146="","",IF(AND(ISNUMBER(P146),P146&gt;MAX_PRICE),"Price too high",IF(AND(ISNUMBER(AB146),AB146&lt;=2),"Quality risk",IF(AND(ISNUMBER(U146),U146&lt;=2),"Aesthetic mismatch",IF(AY146="High","Too fragile",IF(AND(ISNUMBER(R146),R146&lt;LOW_PROFIT_PCT),"Low profit",IF(AND(ISNUMBER(AT146),AT146&gt;MOQ_WARNING),"MOQ too high",IF(OR(AD146="Maybe",AD146="Price Review"),"Needs partner review",IF(AD146="Buy","Good candidate","")))))))))</f>
        <v/>
      </c>
      <c r="BF146" s="23" t="n"/>
      <c r="BG146" s="23" t="n"/>
      <c r="BH146" s="23" t="n"/>
      <c r="BI146" s="23" t="n"/>
      <c r="BJ146" s="23" t="n"/>
      <c r="BK146" s="23" t="n"/>
      <c r="BL146" s="23">
        <f>IF(C146="","",IF(AND(BG146="Yes",BH146="Yes",BI146="Yes",BJ146="Yes",BK146="Yes"),"Yes","No"))</f>
        <v/>
      </c>
      <c r="BM146" s="25" t="n"/>
      <c r="BN146" s="25" t="n"/>
      <c r="BO146" s="25">
        <f>IF(OR(BM146="",BN146=""),"",BM146+BN146)</f>
        <v/>
      </c>
      <c r="BP146" s="25" t="n"/>
      <c r="BQ146" s="25">
        <f>IF(OR(BP146="",BO146=""),"",BP146-BO146)</f>
        <v/>
      </c>
      <c r="BR146" s="26">
        <f>IF(OR(BP146="",BP146=0,BQ146=""),"",BQ146/BP146)</f>
        <v/>
      </c>
      <c r="BS146" s="24" t="n"/>
      <c r="BT146" s="29" t="n"/>
      <c r="BU146" s="29" t="n"/>
      <c r="BV146" s="23" t="n"/>
      <c r="BW146" s="23" t="n"/>
      <c r="BX146" s="29">
        <f>IF(OR(BT146="",BU146=""),"",BT146-BU146)</f>
        <v/>
      </c>
      <c r="BY146" s="23" t="n"/>
      <c r="BZ146" s="24" t="n"/>
      <c r="CA146" s="23" t="n"/>
      <c r="CB146" s="23" t="n"/>
    </row>
    <row r="147">
      <c r="A147" s="16">
        <f>IF(C147="","","AYN-"&amp;IFERROR(VLOOKUP(E147,CATEGORY_PREFIX_TABLE,2,FALSE),"OTH")&amp;"-"&amp;TEXT(ROW()-2,"0000"))</f>
        <v/>
      </c>
      <c r="B147" s="17" t="n"/>
      <c r="C147" s="16" t="n"/>
      <c r="D147" s="16" t="n"/>
      <c r="E147" s="16" t="n"/>
      <c r="F147" s="16" t="n"/>
      <c r="G147" s="16" t="n"/>
      <c r="H147" s="16" t="n"/>
      <c r="I147" s="16" t="n"/>
      <c r="J147" s="16" t="n"/>
      <c r="K147" s="18">
        <f>IF(I147="","",IF(J147="BDT",I147,IF(J147="USD",I147*USD_BDT,IF(J147="RMB",I147*RMB_BDT,""))))</f>
        <v/>
      </c>
      <c r="L147" s="18" t="n"/>
      <c r="M147" s="19" t="n"/>
      <c r="N147" s="18" t="n"/>
      <c r="O147" s="18">
        <f>IF(K147="","",K147+IFERROR(L147,0)+(K147*IF(M147="",CUSTOMS_PCT,M147))+IF(N147="",MISC_FEE,N147))</f>
        <v/>
      </c>
      <c r="P147" s="18">
        <f>IF(O147="","",ROUND(O147*(1+MARKUP_PCT),-1)-1)</f>
        <v/>
      </c>
      <c r="Q147" s="18">
        <f>IF(P147="","",P147-O147)</f>
        <v/>
      </c>
      <c r="R147" s="19">
        <f>IF(OR(P147="",P147=0),"",Q147/P147)</f>
        <v/>
      </c>
      <c r="S147" s="16" t="n"/>
      <c r="T147" s="16" t="n"/>
      <c r="U147" s="16" t="n"/>
      <c r="V147" s="16" t="n"/>
      <c r="W147" s="16" t="n"/>
      <c r="X147" s="16" t="n"/>
      <c r="Y147" s="16" t="n"/>
      <c r="Z147" s="16" t="n"/>
      <c r="AA147" s="16" t="n"/>
      <c r="AB147" s="16" t="n"/>
      <c r="AC147" s="20">
        <f>IF(COUNT(S147:AB147)&lt;10,"",(S147*W_FEMININE+T147*W_TREND+U147*W_AESTHETIC+V147*W_STYLE+W147*W_LIGHT+X147*W_REELS+Y147*W_GIFT+Z147*W_PRICEFIT+AA147*W_DEMAND+AB147*W_QUALITY)/5*100)</f>
        <v/>
      </c>
      <c r="AD147" s="16">
        <f>IF(P147="","",IF(P147&gt;HARD_REJECT_PRICE,"Reject",IF(P147&gt;MAX_PRICE,"Price Review",IF(AC147="","",IF(AND(AC147&gt;=BUY_THRESHOLD,OR(AB147&lt;=2,U147&lt;=2)),"Maybe",IF(AC147&gt;=BUY_THRESHOLD,"Buy",IF(AC147&gt;=MAYBE_THRESHOLD,"Maybe","Reject")))))))</f>
        <v/>
      </c>
      <c r="AE147" s="16" t="n"/>
      <c r="AF147" s="16" t="n"/>
      <c r="AG147" s="16" t="n"/>
      <c r="AH147" s="16" t="n"/>
      <c r="AI147" s="17" t="n"/>
      <c r="AJ147">
        <f>IF(AC147="",-9999-ROW()*0.0000001,AC147-ROW()*0.0000001)</f>
        <v/>
      </c>
      <c r="AK147">
        <f>IF(OR(AC147="",P147="",P147&gt;MAX_PRICE),-9999-ROW()*0.0000001,AC147-ROW()*0.0000001)</f>
        <v/>
      </c>
      <c r="AL147">
        <f>IF(AC147="",-9999-ROW()*0.0000001,X147*1000+AC147-ROW()*0.0000001)</f>
        <v/>
      </c>
      <c r="AM147">
        <f>IF(AC147="",-9999-ROW()*0.0000001,Y147*1000+AC147-ROW()*0.0000001)</f>
        <v/>
      </c>
      <c r="AN147">
        <f>IF(AND(OR(AD147="Maybe",AD147="Price Review"),AG147&lt;&gt;"Approved",AG147&lt;&gt;"Rejected"),IF(AC147="",0,AC147)-ROW()*0.0000001,-9999-ROW()*0.0000001)</f>
        <v/>
      </c>
      <c r="AO147" s="21" t="n"/>
      <c r="AP147" s="21" t="n"/>
      <c r="AQ147" s="22" t="n"/>
      <c r="AR147" s="22" t="n"/>
      <c r="AS147" s="16" t="n"/>
      <c r="AT147" s="22" t="n"/>
      <c r="AU147" s="22" t="n"/>
      <c r="AV147" s="22" t="n"/>
      <c r="AW147" s="18">
        <f>IF(OR(O147="",AV147=""),"",O147*AV147)</f>
        <v/>
      </c>
      <c r="AX147" s="16" t="n"/>
      <c r="AY147" s="16" t="n"/>
      <c r="AZ147" s="16" t="n"/>
      <c r="BA147" s="16" t="n"/>
      <c r="BB147" s="16" t="n"/>
      <c r="BC147" s="18" t="n"/>
      <c r="BD147" s="16" t="n"/>
      <c r="BE147" s="16">
        <f>IF(C147="","",IF(AND(ISNUMBER(P147),P147&gt;MAX_PRICE),"Price too high",IF(AND(ISNUMBER(AB147),AB147&lt;=2),"Quality risk",IF(AND(ISNUMBER(U147),U147&lt;=2),"Aesthetic mismatch",IF(AY147="High","Too fragile",IF(AND(ISNUMBER(R147),R147&lt;LOW_PROFIT_PCT),"Low profit",IF(AND(ISNUMBER(AT147),AT147&gt;MOQ_WARNING),"MOQ too high",IF(OR(AD147="Maybe",AD147="Price Review"),"Needs partner review",IF(AD147="Buy","Good candidate","")))))))))</f>
        <v/>
      </c>
      <c r="BF147" s="16" t="n"/>
      <c r="BG147" s="16" t="n"/>
      <c r="BH147" s="16" t="n"/>
      <c r="BI147" s="16" t="n"/>
      <c r="BJ147" s="16" t="n"/>
      <c r="BK147" s="16" t="n"/>
      <c r="BL147" s="16">
        <f>IF(C147="","",IF(AND(BG147="Yes",BH147="Yes",BI147="Yes",BJ147="Yes",BK147="Yes"),"Yes","No"))</f>
        <v/>
      </c>
      <c r="BM147" s="18" t="n"/>
      <c r="BN147" s="18" t="n"/>
      <c r="BO147" s="18">
        <f>IF(OR(BM147="",BN147=""),"",BM147+BN147)</f>
        <v/>
      </c>
      <c r="BP147" s="18" t="n"/>
      <c r="BQ147" s="18">
        <f>IF(OR(BP147="",BO147=""),"",BP147-BO147)</f>
        <v/>
      </c>
      <c r="BR147" s="19">
        <f>IF(OR(BP147="",BP147=0,BQ147=""),"",BQ147/BP147)</f>
        <v/>
      </c>
      <c r="BS147" s="17" t="n"/>
      <c r="BT147" s="22" t="n"/>
      <c r="BU147" s="22" t="n"/>
      <c r="BV147" s="16" t="n"/>
      <c r="BW147" s="16" t="n"/>
      <c r="BX147" s="22">
        <f>IF(OR(BT147="",BU147=""),"",BT147-BU147)</f>
        <v/>
      </c>
      <c r="BY147" s="16" t="n"/>
      <c r="BZ147" s="17" t="n"/>
      <c r="CA147" s="16" t="n"/>
      <c r="CB147" s="16" t="n"/>
    </row>
    <row r="148">
      <c r="A148" s="23">
        <f>IF(C148="","","AYN-"&amp;IFERROR(VLOOKUP(E148,CATEGORY_PREFIX_TABLE,2,FALSE),"OTH")&amp;"-"&amp;TEXT(ROW()-2,"0000"))</f>
        <v/>
      </c>
      <c r="B148" s="24" t="n"/>
      <c r="C148" s="23" t="n"/>
      <c r="D148" s="23" t="n"/>
      <c r="E148" s="23" t="n"/>
      <c r="F148" s="23" t="n"/>
      <c r="G148" s="23" t="n"/>
      <c r="H148" s="23" t="n"/>
      <c r="I148" s="23" t="n"/>
      <c r="J148" s="23" t="n"/>
      <c r="K148" s="25">
        <f>IF(I148="","",IF(J148="BDT",I148,IF(J148="USD",I148*USD_BDT,IF(J148="RMB",I148*RMB_BDT,""))))</f>
        <v/>
      </c>
      <c r="L148" s="25" t="n"/>
      <c r="M148" s="26" t="n"/>
      <c r="N148" s="25" t="n"/>
      <c r="O148" s="25">
        <f>IF(K148="","",K148+IFERROR(L148,0)+(K148*IF(M148="",CUSTOMS_PCT,M148))+IF(N148="",MISC_FEE,N148))</f>
        <v/>
      </c>
      <c r="P148" s="25">
        <f>IF(O148="","",ROUND(O148*(1+MARKUP_PCT),-1)-1)</f>
        <v/>
      </c>
      <c r="Q148" s="25">
        <f>IF(P148="","",P148-O148)</f>
        <v/>
      </c>
      <c r="R148" s="26">
        <f>IF(OR(P148="",P148=0),"",Q148/P148)</f>
        <v/>
      </c>
      <c r="S148" s="23" t="n"/>
      <c r="T148" s="23" t="n"/>
      <c r="U148" s="23" t="n"/>
      <c r="V148" s="23" t="n"/>
      <c r="W148" s="23" t="n"/>
      <c r="X148" s="23" t="n"/>
      <c r="Y148" s="23" t="n"/>
      <c r="Z148" s="23" t="n"/>
      <c r="AA148" s="23" t="n"/>
      <c r="AB148" s="23" t="n"/>
      <c r="AC148" s="27">
        <f>IF(COUNT(S148:AB148)&lt;10,"",(S148*W_FEMININE+T148*W_TREND+U148*W_AESTHETIC+V148*W_STYLE+W148*W_LIGHT+X148*W_REELS+Y148*W_GIFT+Z148*W_PRICEFIT+AA148*W_DEMAND+AB148*W_QUALITY)/5*100)</f>
        <v/>
      </c>
      <c r="AD148" s="23">
        <f>IF(P148="","",IF(P148&gt;HARD_REJECT_PRICE,"Reject",IF(P148&gt;MAX_PRICE,"Price Review",IF(AC148="","",IF(AND(AC148&gt;=BUY_THRESHOLD,OR(AB148&lt;=2,U148&lt;=2)),"Maybe",IF(AC148&gt;=BUY_THRESHOLD,"Buy",IF(AC148&gt;=MAYBE_THRESHOLD,"Maybe","Reject")))))))</f>
        <v/>
      </c>
      <c r="AE148" s="23" t="n"/>
      <c r="AF148" s="23" t="n"/>
      <c r="AG148" s="23" t="n"/>
      <c r="AH148" s="23" t="n"/>
      <c r="AI148" s="24" t="n"/>
      <c r="AJ148">
        <f>IF(AC148="",-9999-ROW()*0.0000001,AC148-ROW()*0.0000001)</f>
        <v/>
      </c>
      <c r="AK148">
        <f>IF(OR(AC148="",P148="",P148&gt;MAX_PRICE),-9999-ROW()*0.0000001,AC148-ROW()*0.0000001)</f>
        <v/>
      </c>
      <c r="AL148">
        <f>IF(AC148="",-9999-ROW()*0.0000001,X148*1000+AC148-ROW()*0.0000001)</f>
        <v/>
      </c>
      <c r="AM148">
        <f>IF(AC148="",-9999-ROW()*0.0000001,Y148*1000+AC148-ROW()*0.0000001)</f>
        <v/>
      </c>
      <c r="AN148">
        <f>IF(AND(OR(AD148="Maybe",AD148="Price Review"),AG148&lt;&gt;"Approved",AG148&lt;&gt;"Rejected"),IF(AC148="",0,AC148)-ROW()*0.0000001,-9999-ROW()*0.0000001)</f>
        <v/>
      </c>
      <c r="AO148" s="28" t="n"/>
      <c r="AP148" s="28" t="n"/>
      <c r="AQ148" s="29" t="n"/>
      <c r="AR148" s="29" t="n"/>
      <c r="AS148" s="23" t="n"/>
      <c r="AT148" s="29" t="n"/>
      <c r="AU148" s="29" t="n"/>
      <c r="AV148" s="29" t="n"/>
      <c r="AW148" s="25">
        <f>IF(OR(O148="",AV148=""),"",O148*AV148)</f>
        <v/>
      </c>
      <c r="AX148" s="23" t="n"/>
      <c r="AY148" s="23" t="n"/>
      <c r="AZ148" s="23" t="n"/>
      <c r="BA148" s="23" t="n"/>
      <c r="BB148" s="23" t="n"/>
      <c r="BC148" s="25" t="n"/>
      <c r="BD148" s="23" t="n"/>
      <c r="BE148" s="23">
        <f>IF(C148="","",IF(AND(ISNUMBER(P148),P148&gt;MAX_PRICE),"Price too high",IF(AND(ISNUMBER(AB148),AB148&lt;=2),"Quality risk",IF(AND(ISNUMBER(U148),U148&lt;=2),"Aesthetic mismatch",IF(AY148="High","Too fragile",IF(AND(ISNUMBER(R148),R148&lt;LOW_PROFIT_PCT),"Low profit",IF(AND(ISNUMBER(AT148),AT148&gt;MOQ_WARNING),"MOQ too high",IF(OR(AD148="Maybe",AD148="Price Review"),"Needs partner review",IF(AD148="Buy","Good candidate","")))))))))</f>
        <v/>
      </c>
      <c r="BF148" s="23" t="n"/>
      <c r="BG148" s="23" t="n"/>
      <c r="BH148" s="23" t="n"/>
      <c r="BI148" s="23" t="n"/>
      <c r="BJ148" s="23" t="n"/>
      <c r="BK148" s="23" t="n"/>
      <c r="BL148" s="23">
        <f>IF(C148="","",IF(AND(BG148="Yes",BH148="Yes",BI148="Yes",BJ148="Yes",BK148="Yes"),"Yes","No"))</f>
        <v/>
      </c>
      <c r="BM148" s="25" t="n"/>
      <c r="BN148" s="25" t="n"/>
      <c r="BO148" s="25">
        <f>IF(OR(BM148="",BN148=""),"",BM148+BN148)</f>
        <v/>
      </c>
      <c r="BP148" s="25" t="n"/>
      <c r="BQ148" s="25">
        <f>IF(OR(BP148="",BO148=""),"",BP148-BO148)</f>
        <v/>
      </c>
      <c r="BR148" s="26">
        <f>IF(OR(BP148="",BP148=0,BQ148=""),"",BQ148/BP148)</f>
        <v/>
      </c>
      <c r="BS148" s="24" t="n"/>
      <c r="BT148" s="29" t="n"/>
      <c r="BU148" s="29" t="n"/>
      <c r="BV148" s="23" t="n"/>
      <c r="BW148" s="23" t="n"/>
      <c r="BX148" s="29">
        <f>IF(OR(BT148="",BU148=""),"",BT148-BU148)</f>
        <v/>
      </c>
      <c r="BY148" s="23" t="n"/>
      <c r="BZ148" s="24" t="n"/>
      <c r="CA148" s="23" t="n"/>
      <c r="CB148" s="23" t="n"/>
    </row>
    <row r="149">
      <c r="A149" s="16">
        <f>IF(C149="","","AYN-"&amp;IFERROR(VLOOKUP(E149,CATEGORY_PREFIX_TABLE,2,FALSE),"OTH")&amp;"-"&amp;TEXT(ROW()-2,"0000"))</f>
        <v/>
      </c>
      <c r="B149" s="17" t="n"/>
      <c r="C149" s="16" t="n"/>
      <c r="D149" s="16" t="n"/>
      <c r="E149" s="16" t="n"/>
      <c r="F149" s="16" t="n"/>
      <c r="G149" s="16" t="n"/>
      <c r="H149" s="16" t="n"/>
      <c r="I149" s="16" t="n"/>
      <c r="J149" s="16" t="n"/>
      <c r="K149" s="18">
        <f>IF(I149="","",IF(J149="BDT",I149,IF(J149="USD",I149*USD_BDT,IF(J149="RMB",I149*RMB_BDT,""))))</f>
        <v/>
      </c>
      <c r="L149" s="18" t="n"/>
      <c r="M149" s="19" t="n"/>
      <c r="N149" s="18" t="n"/>
      <c r="O149" s="18">
        <f>IF(K149="","",K149+IFERROR(L149,0)+(K149*IF(M149="",CUSTOMS_PCT,M149))+IF(N149="",MISC_FEE,N149))</f>
        <v/>
      </c>
      <c r="P149" s="18">
        <f>IF(O149="","",ROUND(O149*(1+MARKUP_PCT),-1)-1)</f>
        <v/>
      </c>
      <c r="Q149" s="18">
        <f>IF(P149="","",P149-O149)</f>
        <v/>
      </c>
      <c r="R149" s="19">
        <f>IF(OR(P149="",P149=0),"",Q149/P149)</f>
        <v/>
      </c>
      <c r="S149" s="16" t="n"/>
      <c r="T149" s="16" t="n"/>
      <c r="U149" s="16" t="n"/>
      <c r="V149" s="16" t="n"/>
      <c r="W149" s="16" t="n"/>
      <c r="X149" s="16" t="n"/>
      <c r="Y149" s="16" t="n"/>
      <c r="Z149" s="16" t="n"/>
      <c r="AA149" s="16" t="n"/>
      <c r="AB149" s="16" t="n"/>
      <c r="AC149" s="20">
        <f>IF(COUNT(S149:AB149)&lt;10,"",(S149*W_FEMININE+T149*W_TREND+U149*W_AESTHETIC+V149*W_STYLE+W149*W_LIGHT+X149*W_REELS+Y149*W_GIFT+Z149*W_PRICEFIT+AA149*W_DEMAND+AB149*W_QUALITY)/5*100)</f>
        <v/>
      </c>
      <c r="AD149" s="16">
        <f>IF(P149="","",IF(P149&gt;HARD_REJECT_PRICE,"Reject",IF(P149&gt;MAX_PRICE,"Price Review",IF(AC149="","",IF(AND(AC149&gt;=BUY_THRESHOLD,OR(AB149&lt;=2,U149&lt;=2)),"Maybe",IF(AC149&gt;=BUY_THRESHOLD,"Buy",IF(AC149&gt;=MAYBE_THRESHOLD,"Maybe","Reject")))))))</f>
        <v/>
      </c>
      <c r="AE149" s="16" t="n"/>
      <c r="AF149" s="16" t="n"/>
      <c r="AG149" s="16" t="n"/>
      <c r="AH149" s="16" t="n"/>
      <c r="AI149" s="17" t="n"/>
      <c r="AJ149">
        <f>IF(AC149="",-9999-ROW()*0.0000001,AC149-ROW()*0.0000001)</f>
        <v/>
      </c>
      <c r="AK149">
        <f>IF(OR(AC149="",P149="",P149&gt;MAX_PRICE),-9999-ROW()*0.0000001,AC149-ROW()*0.0000001)</f>
        <v/>
      </c>
      <c r="AL149">
        <f>IF(AC149="",-9999-ROW()*0.0000001,X149*1000+AC149-ROW()*0.0000001)</f>
        <v/>
      </c>
      <c r="AM149">
        <f>IF(AC149="",-9999-ROW()*0.0000001,Y149*1000+AC149-ROW()*0.0000001)</f>
        <v/>
      </c>
      <c r="AN149">
        <f>IF(AND(OR(AD149="Maybe",AD149="Price Review"),AG149&lt;&gt;"Approved",AG149&lt;&gt;"Rejected"),IF(AC149="",0,AC149)-ROW()*0.0000001,-9999-ROW()*0.0000001)</f>
        <v/>
      </c>
      <c r="AO149" s="21" t="n"/>
      <c r="AP149" s="21" t="n"/>
      <c r="AQ149" s="22" t="n"/>
      <c r="AR149" s="22" t="n"/>
      <c r="AS149" s="16" t="n"/>
      <c r="AT149" s="22" t="n"/>
      <c r="AU149" s="22" t="n"/>
      <c r="AV149" s="22" t="n"/>
      <c r="AW149" s="18">
        <f>IF(OR(O149="",AV149=""),"",O149*AV149)</f>
        <v/>
      </c>
      <c r="AX149" s="16" t="n"/>
      <c r="AY149" s="16" t="n"/>
      <c r="AZ149" s="16" t="n"/>
      <c r="BA149" s="16" t="n"/>
      <c r="BB149" s="16" t="n"/>
      <c r="BC149" s="18" t="n"/>
      <c r="BD149" s="16" t="n"/>
      <c r="BE149" s="16">
        <f>IF(C149="","",IF(AND(ISNUMBER(P149),P149&gt;MAX_PRICE),"Price too high",IF(AND(ISNUMBER(AB149),AB149&lt;=2),"Quality risk",IF(AND(ISNUMBER(U149),U149&lt;=2),"Aesthetic mismatch",IF(AY149="High","Too fragile",IF(AND(ISNUMBER(R149),R149&lt;LOW_PROFIT_PCT),"Low profit",IF(AND(ISNUMBER(AT149),AT149&gt;MOQ_WARNING),"MOQ too high",IF(OR(AD149="Maybe",AD149="Price Review"),"Needs partner review",IF(AD149="Buy","Good candidate","")))))))))</f>
        <v/>
      </c>
      <c r="BF149" s="16" t="n"/>
      <c r="BG149" s="16" t="n"/>
      <c r="BH149" s="16" t="n"/>
      <c r="BI149" s="16" t="n"/>
      <c r="BJ149" s="16" t="n"/>
      <c r="BK149" s="16" t="n"/>
      <c r="BL149" s="16">
        <f>IF(C149="","",IF(AND(BG149="Yes",BH149="Yes",BI149="Yes",BJ149="Yes",BK149="Yes"),"Yes","No"))</f>
        <v/>
      </c>
      <c r="BM149" s="18" t="n"/>
      <c r="BN149" s="18" t="n"/>
      <c r="BO149" s="18">
        <f>IF(OR(BM149="",BN149=""),"",BM149+BN149)</f>
        <v/>
      </c>
      <c r="BP149" s="18" t="n"/>
      <c r="BQ149" s="18">
        <f>IF(OR(BP149="",BO149=""),"",BP149-BO149)</f>
        <v/>
      </c>
      <c r="BR149" s="19">
        <f>IF(OR(BP149="",BP149=0,BQ149=""),"",BQ149/BP149)</f>
        <v/>
      </c>
      <c r="BS149" s="17" t="n"/>
      <c r="BT149" s="22" t="n"/>
      <c r="BU149" s="22" t="n"/>
      <c r="BV149" s="16" t="n"/>
      <c r="BW149" s="16" t="n"/>
      <c r="BX149" s="22">
        <f>IF(OR(BT149="",BU149=""),"",BT149-BU149)</f>
        <v/>
      </c>
      <c r="BY149" s="16" t="n"/>
      <c r="BZ149" s="17" t="n"/>
      <c r="CA149" s="16" t="n"/>
      <c r="CB149" s="16" t="n"/>
    </row>
    <row r="150">
      <c r="A150" s="23">
        <f>IF(C150="","","AYN-"&amp;IFERROR(VLOOKUP(E150,CATEGORY_PREFIX_TABLE,2,FALSE),"OTH")&amp;"-"&amp;TEXT(ROW()-2,"0000"))</f>
        <v/>
      </c>
      <c r="B150" s="24" t="n"/>
      <c r="C150" s="23" t="n"/>
      <c r="D150" s="23" t="n"/>
      <c r="E150" s="23" t="n"/>
      <c r="F150" s="23" t="n"/>
      <c r="G150" s="23" t="n"/>
      <c r="H150" s="23" t="n"/>
      <c r="I150" s="23" t="n"/>
      <c r="J150" s="23" t="n"/>
      <c r="K150" s="25">
        <f>IF(I150="","",IF(J150="BDT",I150,IF(J150="USD",I150*USD_BDT,IF(J150="RMB",I150*RMB_BDT,""))))</f>
        <v/>
      </c>
      <c r="L150" s="25" t="n"/>
      <c r="M150" s="26" t="n"/>
      <c r="N150" s="25" t="n"/>
      <c r="O150" s="25">
        <f>IF(K150="","",K150+IFERROR(L150,0)+(K150*IF(M150="",CUSTOMS_PCT,M150))+IF(N150="",MISC_FEE,N150))</f>
        <v/>
      </c>
      <c r="P150" s="25">
        <f>IF(O150="","",ROUND(O150*(1+MARKUP_PCT),-1)-1)</f>
        <v/>
      </c>
      <c r="Q150" s="25">
        <f>IF(P150="","",P150-O150)</f>
        <v/>
      </c>
      <c r="R150" s="26">
        <f>IF(OR(P150="",P150=0),"",Q150/P150)</f>
        <v/>
      </c>
      <c r="S150" s="23" t="n"/>
      <c r="T150" s="23" t="n"/>
      <c r="U150" s="23" t="n"/>
      <c r="V150" s="23" t="n"/>
      <c r="W150" s="23" t="n"/>
      <c r="X150" s="23" t="n"/>
      <c r="Y150" s="23" t="n"/>
      <c r="Z150" s="23" t="n"/>
      <c r="AA150" s="23" t="n"/>
      <c r="AB150" s="23" t="n"/>
      <c r="AC150" s="27">
        <f>IF(COUNT(S150:AB150)&lt;10,"",(S150*W_FEMININE+T150*W_TREND+U150*W_AESTHETIC+V150*W_STYLE+W150*W_LIGHT+X150*W_REELS+Y150*W_GIFT+Z150*W_PRICEFIT+AA150*W_DEMAND+AB150*W_QUALITY)/5*100)</f>
        <v/>
      </c>
      <c r="AD150" s="23">
        <f>IF(P150="","",IF(P150&gt;HARD_REJECT_PRICE,"Reject",IF(P150&gt;MAX_PRICE,"Price Review",IF(AC150="","",IF(AND(AC150&gt;=BUY_THRESHOLD,OR(AB150&lt;=2,U150&lt;=2)),"Maybe",IF(AC150&gt;=BUY_THRESHOLD,"Buy",IF(AC150&gt;=MAYBE_THRESHOLD,"Maybe","Reject")))))))</f>
        <v/>
      </c>
      <c r="AE150" s="23" t="n"/>
      <c r="AF150" s="23" t="n"/>
      <c r="AG150" s="23" t="n"/>
      <c r="AH150" s="23" t="n"/>
      <c r="AI150" s="24" t="n"/>
      <c r="AJ150">
        <f>IF(AC150="",-9999-ROW()*0.0000001,AC150-ROW()*0.0000001)</f>
        <v/>
      </c>
      <c r="AK150">
        <f>IF(OR(AC150="",P150="",P150&gt;MAX_PRICE),-9999-ROW()*0.0000001,AC150-ROW()*0.0000001)</f>
        <v/>
      </c>
      <c r="AL150">
        <f>IF(AC150="",-9999-ROW()*0.0000001,X150*1000+AC150-ROW()*0.0000001)</f>
        <v/>
      </c>
      <c r="AM150">
        <f>IF(AC150="",-9999-ROW()*0.0000001,Y150*1000+AC150-ROW()*0.0000001)</f>
        <v/>
      </c>
      <c r="AN150">
        <f>IF(AND(OR(AD150="Maybe",AD150="Price Review"),AG150&lt;&gt;"Approved",AG150&lt;&gt;"Rejected"),IF(AC150="",0,AC150)-ROW()*0.0000001,-9999-ROW()*0.0000001)</f>
        <v/>
      </c>
      <c r="AO150" s="28" t="n"/>
      <c r="AP150" s="28" t="n"/>
      <c r="AQ150" s="29" t="n"/>
      <c r="AR150" s="29" t="n"/>
      <c r="AS150" s="23" t="n"/>
      <c r="AT150" s="29" t="n"/>
      <c r="AU150" s="29" t="n"/>
      <c r="AV150" s="29" t="n"/>
      <c r="AW150" s="25">
        <f>IF(OR(O150="",AV150=""),"",O150*AV150)</f>
        <v/>
      </c>
      <c r="AX150" s="23" t="n"/>
      <c r="AY150" s="23" t="n"/>
      <c r="AZ150" s="23" t="n"/>
      <c r="BA150" s="23" t="n"/>
      <c r="BB150" s="23" t="n"/>
      <c r="BC150" s="25" t="n"/>
      <c r="BD150" s="23" t="n"/>
      <c r="BE150" s="23">
        <f>IF(C150="","",IF(AND(ISNUMBER(P150),P150&gt;MAX_PRICE),"Price too high",IF(AND(ISNUMBER(AB150),AB150&lt;=2),"Quality risk",IF(AND(ISNUMBER(U150),U150&lt;=2),"Aesthetic mismatch",IF(AY150="High","Too fragile",IF(AND(ISNUMBER(R150),R150&lt;LOW_PROFIT_PCT),"Low profit",IF(AND(ISNUMBER(AT150),AT150&gt;MOQ_WARNING),"MOQ too high",IF(OR(AD150="Maybe",AD150="Price Review"),"Needs partner review",IF(AD150="Buy","Good candidate","")))))))))</f>
        <v/>
      </c>
      <c r="BF150" s="23" t="n"/>
      <c r="BG150" s="23" t="n"/>
      <c r="BH150" s="23" t="n"/>
      <c r="BI150" s="23" t="n"/>
      <c r="BJ150" s="23" t="n"/>
      <c r="BK150" s="23" t="n"/>
      <c r="BL150" s="23">
        <f>IF(C150="","",IF(AND(BG150="Yes",BH150="Yes",BI150="Yes",BJ150="Yes",BK150="Yes"),"Yes","No"))</f>
        <v/>
      </c>
      <c r="BM150" s="25" t="n"/>
      <c r="BN150" s="25" t="n"/>
      <c r="BO150" s="25">
        <f>IF(OR(BM150="",BN150=""),"",BM150+BN150)</f>
        <v/>
      </c>
      <c r="BP150" s="25" t="n"/>
      <c r="BQ150" s="25">
        <f>IF(OR(BP150="",BO150=""),"",BP150-BO150)</f>
        <v/>
      </c>
      <c r="BR150" s="26">
        <f>IF(OR(BP150="",BP150=0,BQ150=""),"",BQ150/BP150)</f>
        <v/>
      </c>
      <c r="BS150" s="24" t="n"/>
      <c r="BT150" s="29" t="n"/>
      <c r="BU150" s="29" t="n"/>
      <c r="BV150" s="23" t="n"/>
      <c r="BW150" s="23" t="n"/>
      <c r="BX150" s="29">
        <f>IF(OR(BT150="",BU150=""),"",BT150-BU150)</f>
        <v/>
      </c>
      <c r="BY150" s="23" t="n"/>
      <c r="BZ150" s="24" t="n"/>
      <c r="CA150" s="23" t="n"/>
      <c r="CB150" s="23" t="n"/>
    </row>
    <row r="151">
      <c r="A151" s="16">
        <f>IF(C151="","","AYN-"&amp;IFERROR(VLOOKUP(E151,CATEGORY_PREFIX_TABLE,2,FALSE),"OTH")&amp;"-"&amp;TEXT(ROW()-2,"0000"))</f>
        <v/>
      </c>
      <c r="B151" s="17" t="n"/>
      <c r="C151" s="16" t="n"/>
      <c r="D151" s="16" t="n"/>
      <c r="E151" s="16" t="n"/>
      <c r="F151" s="16" t="n"/>
      <c r="G151" s="16" t="n"/>
      <c r="H151" s="16" t="n"/>
      <c r="I151" s="16" t="n"/>
      <c r="J151" s="16" t="n"/>
      <c r="K151" s="18">
        <f>IF(I151="","",IF(J151="BDT",I151,IF(J151="USD",I151*USD_BDT,IF(J151="RMB",I151*RMB_BDT,""))))</f>
        <v/>
      </c>
      <c r="L151" s="18" t="n"/>
      <c r="M151" s="19" t="n"/>
      <c r="N151" s="18" t="n"/>
      <c r="O151" s="18">
        <f>IF(K151="","",K151+IFERROR(L151,0)+(K151*IF(M151="",CUSTOMS_PCT,M151))+IF(N151="",MISC_FEE,N151))</f>
        <v/>
      </c>
      <c r="P151" s="18">
        <f>IF(O151="","",ROUND(O151*(1+MARKUP_PCT),-1)-1)</f>
        <v/>
      </c>
      <c r="Q151" s="18">
        <f>IF(P151="","",P151-O151)</f>
        <v/>
      </c>
      <c r="R151" s="19">
        <f>IF(OR(P151="",P151=0),"",Q151/P151)</f>
        <v/>
      </c>
      <c r="S151" s="16" t="n"/>
      <c r="T151" s="16" t="n"/>
      <c r="U151" s="16" t="n"/>
      <c r="V151" s="16" t="n"/>
      <c r="W151" s="16" t="n"/>
      <c r="X151" s="16" t="n"/>
      <c r="Y151" s="16" t="n"/>
      <c r="Z151" s="16" t="n"/>
      <c r="AA151" s="16" t="n"/>
      <c r="AB151" s="16" t="n"/>
      <c r="AC151" s="20">
        <f>IF(COUNT(S151:AB151)&lt;10,"",(S151*W_FEMININE+T151*W_TREND+U151*W_AESTHETIC+V151*W_STYLE+W151*W_LIGHT+X151*W_REELS+Y151*W_GIFT+Z151*W_PRICEFIT+AA151*W_DEMAND+AB151*W_QUALITY)/5*100)</f>
        <v/>
      </c>
      <c r="AD151" s="16">
        <f>IF(P151="","",IF(P151&gt;HARD_REJECT_PRICE,"Reject",IF(P151&gt;MAX_PRICE,"Price Review",IF(AC151="","",IF(AND(AC151&gt;=BUY_THRESHOLD,OR(AB151&lt;=2,U151&lt;=2)),"Maybe",IF(AC151&gt;=BUY_THRESHOLD,"Buy",IF(AC151&gt;=MAYBE_THRESHOLD,"Maybe","Reject")))))))</f>
        <v/>
      </c>
      <c r="AE151" s="16" t="n"/>
      <c r="AF151" s="16" t="n"/>
      <c r="AG151" s="16" t="n"/>
      <c r="AH151" s="16" t="n"/>
      <c r="AI151" s="17" t="n"/>
      <c r="AJ151">
        <f>IF(AC151="",-9999-ROW()*0.0000001,AC151-ROW()*0.0000001)</f>
        <v/>
      </c>
      <c r="AK151">
        <f>IF(OR(AC151="",P151="",P151&gt;MAX_PRICE),-9999-ROW()*0.0000001,AC151-ROW()*0.0000001)</f>
        <v/>
      </c>
      <c r="AL151">
        <f>IF(AC151="",-9999-ROW()*0.0000001,X151*1000+AC151-ROW()*0.0000001)</f>
        <v/>
      </c>
      <c r="AM151">
        <f>IF(AC151="",-9999-ROW()*0.0000001,Y151*1000+AC151-ROW()*0.0000001)</f>
        <v/>
      </c>
      <c r="AN151">
        <f>IF(AND(OR(AD151="Maybe",AD151="Price Review"),AG151&lt;&gt;"Approved",AG151&lt;&gt;"Rejected"),IF(AC151="",0,AC151)-ROW()*0.0000001,-9999-ROW()*0.0000001)</f>
        <v/>
      </c>
      <c r="AO151" s="21" t="n"/>
      <c r="AP151" s="21" t="n"/>
      <c r="AQ151" s="22" t="n"/>
      <c r="AR151" s="22" t="n"/>
      <c r="AS151" s="16" t="n"/>
      <c r="AT151" s="22" t="n"/>
      <c r="AU151" s="22" t="n"/>
      <c r="AV151" s="22" t="n"/>
      <c r="AW151" s="18">
        <f>IF(OR(O151="",AV151=""),"",O151*AV151)</f>
        <v/>
      </c>
      <c r="AX151" s="16" t="n"/>
      <c r="AY151" s="16" t="n"/>
      <c r="AZ151" s="16" t="n"/>
      <c r="BA151" s="16" t="n"/>
      <c r="BB151" s="16" t="n"/>
      <c r="BC151" s="18" t="n"/>
      <c r="BD151" s="16" t="n"/>
      <c r="BE151" s="16">
        <f>IF(C151="","",IF(AND(ISNUMBER(P151),P151&gt;MAX_PRICE),"Price too high",IF(AND(ISNUMBER(AB151),AB151&lt;=2),"Quality risk",IF(AND(ISNUMBER(U151),U151&lt;=2),"Aesthetic mismatch",IF(AY151="High","Too fragile",IF(AND(ISNUMBER(R151),R151&lt;LOW_PROFIT_PCT),"Low profit",IF(AND(ISNUMBER(AT151),AT151&gt;MOQ_WARNING),"MOQ too high",IF(OR(AD151="Maybe",AD151="Price Review"),"Needs partner review",IF(AD151="Buy","Good candidate","")))))))))</f>
        <v/>
      </c>
      <c r="BF151" s="16" t="n"/>
      <c r="BG151" s="16" t="n"/>
      <c r="BH151" s="16" t="n"/>
      <c r="BI151" s="16" t="n"/>
      <c r="BJ151" s="16" t="n"/>
      <c r="BK151" s="16" t="n"/>
      <c r="BL151" s="16">
        <f>IF(C151="","",IF(AND(BG151="Yes",BH151="Yes",BI151="Yes",BJ151="Yes",BK151="Yes"),"Yes","No"))</f>
        <v/>
      </c>
      <c r="BM151" s="18" t="n"/>
      <c r="BN151" s="18" t="n"/>
      <c r="BO151" s="18">
        <f>IF(OR(BM151="",BN151=""),"",BM151+BN151)</f>
        <v/>
      </c>
      <c r="BP151" s="18" t="n"/>
      <c r="BQ151" s="18">
        <f>IF(OR(BP151="",BO151=""),"",BP151-BO151)</f>
        <v/>
      </c>
      <c r="BR151" s="19">
        <f>IF(OR(BP151="",BP151=0,BQ151=""),"",BQ151/BP151)</f>
        <v/>
      </c>
      <c r="BS151" s="17" t="n"/>
      <c r="BT151" s="22" t="n"/>
      <c r="BU151" s="22" t="n"/>
      <c r="BV151" s="16" t="n"/>
      <c r="BW151" s="16" t="n"/>
      <c r="BX151" s="22">
        <f>IF(OR(BT151="",BU151=""),"",BT151-BU151)</f>
        <v/>
      </c>
      <c r="BY151" s="16" t="n"/>
      <c r="BZ151" s="17" t="n"/>
      <c r="CA151" s="16" t="n"/>
      <c r="CB151" s="16" t="n"/>
    </row>
    <row r="152">
      <c r="A152" s="23">
        <f>IF(C152="","","AYN-"&amp;IFERROR(VLOOKUP(E152,CATEGORY_PREFIX_TABLE,2,FALSE),"OTH")&amp;"-"&amp;TEXT(ROW()-2,"0000"))</f>
        <v/>
      </c>
      <c r="B152" s="24" t="n"/>
      <c r="C152" s="23" t="n"/>
      <c r="D152" s="23" t="n"/>
      <c r="E152" s="23" t="n"/>
      <c r="F152" s="23" t="n"/>
      <c r="G152" s="23" t="n"/>
      <c r="H152" s="23" t="n"/>
      <c r="I152" s="23" t="n"/>
      <c r="J152" s="23" t="n"/>
      <c r="K152" s="25">
        <f>IF(I152="","",IF(J152="BDT",I152,IF(J152="USD",I152*USD_BDT,IF(J152="RMB",I152*RMB_BDT,""))))</f>
        <v/>
      </c>
      <c r="L152" s="25" t="n"/>
      <c r="M152" s="26" t="n"/>
      <c r="N152" s="25" t="n"/>
      <c r="O152" s="25">
        <f>IF(K152="","",K152+IFERROR(L152,0)+(K152*IF(M152="",CUSTOMS_PCT,M152))+IF(N152="",MISC_FEE,N152))</f>
        <v/>
      </c>
      <c r="P152" s="25">
        <f>IF(O152="","",ROUND(O152*(1+MARKUP_PCT),-1)-1)</f>
        <v/>
      </c>
      <c r="Q152" s="25">
        <f>IF(P152="","",P152-O152)</f>
        <v/>
      </c>
      <c r="R152" s="26">
        <f>IF(OR(P152="",P152=0),"",Q152/P152)</f>
        <v/>
      </c>
      <c r="S152" s="23" t="n"/>
      <c r="T152" s="23" t="n"/>
      <c r="U152" s="23" t="n"/>
      <c r="V152" s="23" t="n"/>
      <c r="W152" s="23" t="n"/>
      <c r="X152" s="23" t="n"/>
      <c r="Y152" s="23" t="n"/>
      <c r="Z152" s="23" t="n"/>
      <c r="AA152" s="23" t="n"/>
      <c r="AB152" s="23" t="n"/>
      <c r="AC152" s="27">
        <f>IF(COUNT(S152:AB152)&lt;10,"",(S152*W_FEMININE+T152*W_TREND+U152*W_AESTHETIC+V152*W_STYLE+W152*W_LIGHT+X152*W_REELS+Y152*W_GIFT+Z152*W_PRICEFIT+AA152*W_DEMAND+AB152*W_QUALITY)/5*100)</f>
        <v/>
      </c>
      <c r="AD152" s="23">
        <f>IF(P152="","",IF(P152&gt;HARD_REJECT_PRICE,"Reject",IF(P152&gt;MAX_PRICE,"Price Review",IF(AC152="","",IF(AND(AC152&gt;=BUY_THRESHOLD,OR(AB152&lt;=2,U152&lt;=2)),"Maybe",IF(AC152&gt;=BUY_THRESHOLD,"Buy",IF(AC152&gt;=MAYBE_THRESHOLD,"Maybe","Reject")))))))</f>
        <v/>
      </c>
      <c r="AE152" s="23" t="n"/>
      <c r="AF152" s="23" t="n"/>
      <c r="AG152" s="23" t="n"/>
      <c r="AH152" s="23" t="n"/>
      <c r="AI152" s="24" t="n"/>
      <c r="AJ152">
        <f>IF(AC152="",-9999-ROW()*0.0000001,AC152-ROW()*0.0000001)</f>
        <v/>
      </c>
      <c r="AK152">
        <f>IF(OR(AC152="",P152="",P152&gt;MAX_PRICE),-9999-ROW()*0.0000001,AC152-ROW()*0.0000001)</f>
        <v/>
      </c>
      <c r="AL152">
        <f>IF(AC152="",-9999-ROW()*0.0000001,X152*1000+AC152-ROW()*0.0000001)</f>
        <v/>
      </c>
      <c r="AM152">
        <f>IF(AC152="",-9999-ROW()*0.0000001,Y152*1000+AC152-ROW()*0.0000001)</f>
        <v/>
      </c>
      <c r="AN152">
        <f>IF(AND(OR(AD152="Maybe",AD152="Price Review"),AG152&lt;&gt;"Approved",AG152&lt;&gt;"Rejected"),IF(AC152="",0,AC152)-ROW()*0.0000001,-9999-ROW()*0.0000001)</f>
        <v/>
      </c>
      <c r="AO152" s="28" t="n"/>
      <c r="AP152" s="28" t="n"/>
      <c r="AQ152" s="29" t="n"/>
      <c r="AR152" s="29" t="n"/>
      <c r="AS152" s="23" t="n"/>
      <c r="AT152" s="29" t="n"/>
      <c r="AU152" s="29" t="n"/>
      <c r="AV152" s="29" t="n"/>
      <c r="AW152" s="25">
        <f>IF(OR(O152="",AV152=""),"",O152*AV152)</f>
        <v/>
      </c>
      <c r="AX152" s="23" t="n"/>
      <c r="AY152" s="23" t="n"/>
      <c r="AZ152" s="23" t="n"/>
      <c r="BA152" s="23" t="n"/>
      <c r="BB152" s="23" t="n"/>
      <c r="BC152" s="25" t="n"/>
      <c r="BD152" s="23" t="n"/>
      <c r="BE152" s="23">
        <f>IF(C152="","",IF(AND(ISNUMBER(P152),P152&gt;MAX_PRICE),"Price too high",IF(AND(ISNUMBER(AB152),AB152&lt;=2),"Quality risk",IF(AND(ISNUMBER(U152),U152&lt;=2),"Aesthetic mismatch",IF(AY152="High","Too fragile",IF(AND(ISNUMBER(R152),R152&lt;LOW_PROFIT_PCT),"Low profit",IF(AND(ISNUMBER(AT152),AT152&gt;MOQ_WARNING),"MOQ too high",IF(OR(AD152="Maybe",AD152="Price Review"),"Needs partner review",IF(AD152="Buy","Good candidate","")))))))))</f>
        <v/>
      </c>
      <c r="BF152" s="23" t="n"/>
      <c r="BG152" s="23" t="n"/>
      <c r="BH152" s="23" t="n"/>
      <c r="BI152" s="23" t="n"/>
      <c r="BJ152" s="23" t="n"/>
      <c r="BK152" s="23" t="n"/>
      <c r="BL152" s="23">
        <f>IF(C152="","",IF(AND(BG152="Yes",BH152="Yes",BI152="Yes",BJ152="Yes",BK152="Yes"),"Yes","No"))</f>
        <v/>
      </c>
      <c r="BM152" s="25" t="n"/>
      <c r="BN152" s="25" t="n"/>
      <c r="BO152" s="25">
        <f>IF(OR(BM152="",BN152=""),"",BM152+BN152)</f>
        <v/>
      </c>
      <c r="BP152" s="25" t="n"/>
      <c r="BQ152" s="25">
        <f>IF(OR(BP152="",BO152=""),"",BP152-BO152)</f>
        <v/>
      </c>
      <c r="BR152" s="26">
        <f>IF(OR(BP152="",BP152=0,BQ152=""),"",BQ152/BP152)</f>
        <v/>
      </c>
      <c r="BS152" s="24" t="n"/>
      <c r="BT152" s="29" t="n"/>
      <c r="BU152" s="29" t="n"/>
      <c r="BV152" s="23" t="n"/>
      <c r="BW152" s="23" t="n"/>
      <c r="BX152" s="29">
        <f>IF(OR(BT152="",BU152=""),"",BT152-BU152)</f>
        <v/>
      </c>
      <c r="BY152" s="23" t="n"/>
      <c r="BZ152" s="24" t="n"/>
      <c r="CA152" s="23" t="n"/>
      <c r="CB152" s="23" t="n"/>
    </row>
    <row r="153">
      <c r="A153" s="16">
        <f>IF(C153="","","AYN-"&amp;IFERROR(VLOOKUP(E153,CATEGORY_PREFIX_TABLE,2,FALSE),"OTH")&amp;"-"&amp;TEXT(ROW()-2,"0000"))</f>
        <v/>
      </c>
      <c r="B153" s="17" t="n"/>
      <c r="C153" s="16" t="n"/>
      <c r="D153" s="16" t="n"/>
      <c r="E153" s="16" t="n"/>
      <c r="F153" s="16" t="n"/>
      <c r="G153" s="16" t="n"/>
      <c r="H153" s="16" t="n"/>
      <c r="I153" s="16" t="n"/>
      <c r="J153" s="16" t="n"/>
      <c r="K153" s="18">
        <f>IF(I153="","",IF(J153="BDT",I153,IF(J153="USD",I153*USD_BDT,IF(J153="RMB",I153*RMB_BDT,""))))</f>
        <v/>
      </c>
      <c r="L153" s="18" t="n"/>
      <c r="M153" s="19" t="n"/>
      <c r="N153" s="18" t="n"/>
      <c r="O153" s="18">
        <f>IF(K153="","",K153+IFERROR(L153,0)+(K153*IF(M153="",CUSTOMS_PCT,M153))+IF(N153="",MISC_FEE,N153))</f>
        <v/>
      </c>
      <c r="P153" s="18">
        <f>IF(O153="","",ROUND(O153*(1+MARKUP_PCT),-1)-1)</f>
        <v/>
      </c>
      <c r="Q153" s="18">
        <f>IF(P153="","",P153-O153)</f>
        <v/>
      </c>
      <c r="R153" s="19">
        <f>IF(OR(P153="",P153=0),"",Q153/P153)</f>
        <v/>
      </c>
      <c r="S153" s="16" t="n"/>
      <c r="T153" s="16" t="n"/>
      <c r="U153" s="16" t="n"/>
      <c r="V153" s="16" t="n"/>
      <c r="W153" s="16" t="n"/>
      <c r="X153" s="16" t="n"/>
      <c r="Y153" s="16" t="n"/>
      <c r="Z153" s="16" t="n"/>
      <c r="AA153" s="16" t="n"/>
      <c r="AB153" s="16" t="n"/>
      <c r="AC153" s="20">
        <f>IF(COUNT(S153:AB153)&lt;10,"",(S153*W_FEMININE+T153*W_TREND+U153*W_AESTHETIC+V153*W_STYLE+W153*W_LIGHT+X153*W_REELS+Y153*W_GIFT+Z153*W_PRICEFIT+AA153*W_DEMAND+AB153*W_QUALITY)/5*100)</f>
        <v/>
      </c>
      <c r="AD153" s="16">
        <f>IF(P153="","",IF(P153&gt;HARD_REJECT_PRICE,"Reject",IF(P153&gt;MAX_PRICE,"Price Review",IF(AC153="","",IF(AND(AC153&gt;=BUY_THRESHOLD,OR(AB153&lt;=2,U153&lt;=2)),"Maybe",IF(AC153&gt;=BUY_THRESHOLD,"Buy",IF(AC153&gt;=MAYBE_THRESHOLD,"Maybe","Reject")))))))</f>
        <v/>
      </c>
      <c r="AE153" s="16" t="n"/>
      <c r="AF153" s="16" t="n"/>
      <c r="AG153" s="16" t="n"/>
      <c r="AH153" s="16" t="n"/>
      <c r="AI153" s="17" t="n"/>
      <c r="AJ153">
        <f>IF(AC153="",-9999-ROW()*0.0000001,AC153-ROW()*0.0000001)</f>
        <v/>
      </c>
      <c r="AK153">
        <f>IF(OR(AC153="",P153="",P153&gt;MAX_PRICE),-9999-ROW()*0.0000001,AC153-ROW()*0.0000001)</f>
        <v/>
      </c>
      <c r="AL153">
        <f>IF(AC153="",-9999-ROW()*0.0000001,X153*1000+AC153-ROW()*0.0000001)</f>
        <v/>
      </c>
      <c r="AM153">
        <f>IF(AC153="",-9999-ROW()*0.0000001,Y153*1000+AC153-ROW()*0.0000001)</f>
        <v/>
      </c>
      <c r="AN153">
        <f>IF(AND(OR(AD153="Maybe",AD153="Price Review"),AG153&lt;&gt;"Approved",AG153&lt;&gt;"Rejected"),IF(AC153="",0,AC153)-ROW()*0.0000001,-9999-ROW()*0.0000001)</f>
        <v/>
      </c>
      <c r="AO153" s="21" t="n"/>
      <c r="AP153" s="21" t="n"/>
      <c r="AQ153" s="22" t="n"/>
      <c r="AR153" s="22" t="n"/>
      <c r="AS153" s="16" t="n"/>
      <c r="AT153" s="22" t="n"/>
      <c r="AU153" s="22" t="n"/>
      <c r="AV153" s="22" t="n"/>
      <c r="AW153" s="18">
        <f>IF(OR(O153="",AV153=""),"",O153*AV153)</f>
        <v/>
      </c>
      <c r="AX153" s="16" t="n"/>
      <c r="AY153" s="16" t="n"/>
      <c r="AZ153" s="16" t="n"/>
      <c r="BA153" s="16" t="n"/>
      <c r="BB153" s="16" t="n"/>
      <c r="BC153" s="18" t="n"/>
      <c r="BD153" s="16" t="n"/>
      <c r="BE153" s="16">
        <f>IF(C153="","",IF(AND(ISNUMBER(P153),P153&gt;MAX_PRICE),"Price too high",IF(AND(ISNUMBER(AB153),AB153&lt;=2),"Quality risk",IF(AND(ISNUMBER(U153),U153&lt;=2),"Aesthetic mismatch",IF(AY153="High","Too fragile",IF(AND(ISNUMBER(R153),R153&lt;LOW_PROFIT_PCT),"Low profit",IF(AND(ISNUMBER(AT153),AT153&gt;MOQ_WARNING),"MOQ too high",IF(OR(AD153="Maybe",AD153="Price Review"),"Needs partner review",IF(AD153="Buy","Good candidate","")))))))))</f>
        <v/>
      </c>
      <c r="BF153" s="16" t="n"/>
      <c r="BG153" s="16" t="n"/>
      <c r="BH153" s="16" t="n"/>
      <c r="BI153" s="16" t="n"/>
      <c r="BJ153" s="16" t="n"/>
      <c r="BK153" s="16" t="n"/>
      <c r="BL153" s="16">
        <f>IF(C153="","",IF(AND(BG153="Yes",BH153="Yes",BI153="Yes",BJ153="Yes",BK153="Yes"),"Yes","No"))</f>
        <v/>
      </c>
      <c r="BM153" s="18" t="n"/>
      <c r="BN153" s="18" t="n"/>
      <c r="BO153" s="18">
        <f>IF(OR(BM153="",BN153=""),"",BM153+BN153)</f>
        <v/>
      </c>
      <c r="BP153" s="18" t="n"/>
      <c r="BQ153" s="18">
        <f>IF(OR(BP153="",BO153=""),"",BP153-BO153)</f>
        <v/>
      </c>
      <c r="BR153" s="19">
        <f>IF(OR(BP153="",BP153=0,BQ153=""),"",BQ153/BP153)</f>
        <v/>
      </c>
      <c r="BS153" s="17" t="n"/>
      <c r="BT153" s="22" t="n"/>
      <c r="BU153" s="22" t="n"/>
      <c r="BV153" s="16" t="n"/>
      <c r="BW153" s="16" t="n"/>
      <c r="BX153" s="22">
        <f>IF(OR(BT153="",BU153=""),"",BT153-BU153)</f>
        <v/>
      </c>
      <c r="BY153" s="16" t="n"/>
      <c r="BZ153" s="17" t="n"/>
      <c r="CA153" s="16" t="n"/>
      <c r="CB153" s="16" t="n"/>
    </row>
    <row r="154">
      <c r="A154" s="23">
        <f>IF(C154="","","AYN-"&amp;IFERROR(VLOOKUP(E154,CATEGORY_PREFIX_TABLE,2,FALSE),"OTH")&amp;"-"&amp;TEXT(ROW()-2,"0000"))</f>
        <v/>
      </c>
      <c r="B154" s="24" t="n"/>
      <c r="C154" s="23" t="n"/>
      <c r="D154" s="23" t="n"/>
      <c r="E154" s="23" t="n"/>
      <c r="F154" s="23" t="n"/>
      <c r="G154" s="23" t="n"/>
      <c r="H154" s="23" t="n"/>
      <c r="I154" s="23" t="n"/>
      <c r="J154" s="23" t="n"/>
      <c r="K154" s="25">
        <f>IF(I154="","",IF(J154="BDT",I154,IF(J154="USD",I154*USD_BDT,IF(J154="RMB",I154*RMB_BDT,""))))</f>
        <v/>
      </c>
      <c r="L154" s="25" t="n"/>
      <c r="M154" s="26" t="n"/>
      <c r="N154" s="25" t="n"/>
      <c r="O154" s="25">
        <f>IF(K154="","",K154+IFERROR(L154,0)+(K154*IF(M154="",CUSTOMS_PCT,M154))+IF(N154="",MISC_FEE,N154))</f>
        <v/>
      </c>
      <c r="P154" s="25">
        <f>IF(O154="","",ROUND(O154*(1+MARKUP_PCT),-1)-1)</f>
        <v/>
      </c>
      <c r="Q154" s="25">
        <f>IF(P154="","",P154-O154)</f>
        <v/>
      </c>
      <c r="R154" s="26">
        <f>IF(OR(P154="",P154=0),"",Q154/P154)</f>
        <v/>
      </c>
      <c r="S154" s="23" t="n"/>
      <c r="T154" s="23" t="n"/>
      <c r="U154" s="23" t="n"/>
      <c r="V154" s="23" t="n"/>
      <c r="W154" s="23" t="n"/>
      <c r="X154" s="23" t="n"/>
      <c r="Y154" s="23" t="n"/>
      <c r="Z154" s="23" t="n"/>
      <c r="AA154" s="23" t="n"/>
      <c r="AB154" s="23" t="n"/>
      <c r="AC154" s="27">
        <f>IF(COUNT(S154:AB154)&lt;10,"",(S154*W_FEMININE+T154*W_TREND+U154*W_AESTHETIC+V154*W_STYLE+W154*W_LIGHT+X154*W_REELS+Y154*W_GIFT+Z154*W_PRICEFIT+AA154*W_DEMAND+AB154*W_QUALITY)/5*100)</f>
        <v/>
      </c>
      <c r="AD154" s="23">
        <f>IF(P154="","",IF(P154&gt;HARD_REJECT_PRICE,"Reject",IF(P154&gt;MAX_PRICE,"Price Review",IF(AC154="","",IF(AND(AC154&gt;=BUY_THRESHOLD,OR(AB154&lt;=2,U154&lt;=2)),"Maybe",IF(AC154&gt;=BUY_THRESHOLD,"Buy",IF(AC154&gt;=MAYBE_THRESHOLD,"Maybe","Reject")))))))</f>
        <v/>
      </c>
      <c r="AE154" s="23" t="n"/>
      <c r="AF154" s="23" t="n"/>
      <c r="AG154" s="23" t="n"/>
      <c r="AH154" s="23" t="n"/>
      <c r="AI154" s="24" t="n"/>
      <c r="AJ154">
        <f>IF(AC154="",-9999-ROW()*0.0000001,AC154-ROW()*0.0000001)</f>
        <v/>
      </c>
      <c r="AK154">
        <f>IF(OR(AC154="",P154="",P154&gt;MAX_PRICE),-9999-ROW()*0.0000001,AC154-ROW()*0.0000001)</f>
        <v/>
      </c>
      <c r="AL154">
        <f>IF(AC154="",-9999-ROW()*0.0000001,X154*1000+AC154-ROW()*0.0000001)</f>
        <v/>
      </c>
      <c r="AM154">
        <f>IF(AC154="",-9999-ROW()*0.0000001,Y154*1000+AC154-ROW()*0.0000001)</f>
        <v/>
      </c>
      <c r="AN154">
        <f>IF(AND(OR(AD154="Maybe",AD154="Price Review"),AG154&lt;&gt;"Approved",AG154&lt;&gt;"Rejected"),IF(AC154="",0,AC154)-ROW()*0.0000001,-9999-ROW()*0.0000001)</f>
        <v/>
      </c>
      <c r="AO154" s="28" t="n"/>
      <c r="AP154" s="28" t="n"/>
      <c r="AQ154" s="29" t="n"/>
      <c r="AR154" s="29" t="n"/>
      <c r="AS154" s="23" t="n"/>
      <c r="AT154" s="29" t="n"/>
      <c r="AU154" s="29" t="n"/>
      <c r="AV154" s="29" t="n"/>
      <c r="AW154" s="25">
        <f>IF(OR(O154="",AV154=""),"",O154*AV154)</f>
        <v/>
      </c>
      <c r="AX154" s="23" t="n"/>
      <c r="AY154" s="23" t="n"/>
      <c r="AZ154" s="23" t="n"/>
      <c r="BA154" s="23" t="n"/>
      <c r="BB154" s="23" t="n"/>
      <c r="BC154" s="25" t="n"/>
      <c r="BD154" s="23" t="n"/>
      <c r="BE154" s="23">
        <f>IF(C154="","",IF(AND(ISNUMBER(P154),P154&gt;MAX_PRICE),"Price too high",IF(AND(ISNUMBER(AB154),AB154&lt;=2),"Quality risk",IF(AND(ISNUMBER(U154),U154&lt;=2),"Aesthetic mismatch",IF(AY154="High","Too fragile",IF(AND(ISNUMBER(R154),R154&lt;LOW_PROFIT_PCT),"Low profit",IF(AND(ISNUMBER(AT154),AT154&gt;MOQ_WARNING),"MOQ too high",IF(OR(AD154="Maybe",AD154="Price Review"),"Needs partner review",IF(AD154="Buy","Good candidate","")))))))))</f>
        <v/>
      </c>
      <c r="BF154" s="23" t="n"/>
      <c r="BG154" s="23" t="n"/>
      <c r="BH154" s="23" t="n"/>
      <c r="BI154" s="23" t="n"/>
      <c r="BJ154" s="23" t="n"/>
      <c r="BK154" s="23" t="n"/>
      <c r="BL154" s="23">
        <f>IF(C154="","",IF(AND(BG154="Yes",BH154="Yes",BI154="Yes",BJ154="Yes",BK154="Yes"),"Yes","No"))</f>
        <v/>
      </c>
      <c r="BM154" s="25" t="n"/>
      <c r="BN154" s="25" t="n"/>
      <c r="BO154" s="25">
        <f>IF(OR(BM154="",BN154=""),"",BM154+BN154)</f>
        <v/>
      </c>
      <c r="BP154" s="25" t="n"/>
      <c r="BQ154" s="25">
        <f>IF(OR(BP154="",BO154=""),"",BP154-BO154)</f>
        <v/>
      </c>
      <c r="BR154" s="26">
        <f>IF(OR(BP154="",BP154=0,BQ154=""),"",BQ154/BP154)</f>
        <v/>
      </c>
      <c r="BS154" s="24" t="n"/>
      <c r="BT154" s="29" t="n"/>
      <c r="BU154" s="29" t="n"/>
      <c r="BV154" s="23" t="n"/>
      <c r="BW154" s="23" t="n"/>
      <c r="BX154" s="29">
        <f>IF(OR(BT154="",BU154=""),"",BT154-BU154)</f>
        <v/>
      </c>
      <c r="BY154" s="23" t="n"/>
      <c r="BZ154" s="24" t="n"/>
      <c r="CA154" s="23" t="n"/>
      <c r="CB154" s="23" t="n"/>
    </row>
    <row r="155">
      <c r="A155" s="16">
        <f>IF(C155="","","AYN-"&amp;IFERROR(VLOOKUP(E155,CATEGORY_PREFIX_TABLE,2,FALSE),"OTH")&amp;"-"&amp;TEXT(ROW()-2,"0000"))</f>
        <v/>
      </c>
      <c r="B155" s="17" t="n"/>
      <c r="C155" s="16" t="n"/>
      <c r="D155" s="16" t="n"/>
      <c r="E155" s="16" t="n"/>
      <c r="F155" s="16" t="n"/>
      <c r="G155" s="16" t="n"/>
      <c r="H155" s="16" t="n"/>
      <c r="I155" s="16" t="n"/>
      <c r="J155" s="16" t="n"/>
      <c r="K155" s="18">
        <f>IF(I155="","",IF(J155="BDT",I155,IF(J155="USD",I155*USD_BDT,IF(J155="RMB",I155*RMB_BDT,""))))</f>
        <v/>
      </c>
      <c r="L155" s="18" t="n"/>
      <c r="M155" s="19" t="n"/>
      <c r="N155" s="18" t="n"/>
      <c r="O155" s="18">
        <f>IF(K155="","",K155+IFERROR(L155,0)+(K155*IF(M155="",CUSTOMS_PCT,M155))+IF(N155="",MISC_FEE,N155))</f>
        <v/>
      </c>
      <c r="P155" s="18">
        <f>IF(O155="","",ROUND(O155*(1+MARKUP_PCT),-1)-1)</f>
        <v/>
      </c>
      <c r="Q155" s="18">
        <f>IF(P155="","",P155-O155)</f>
        <v/>
      </c>
      <c r="R155" s="19">
        <f>IF(OR(P155="",P155=0),"",Q155/P155)</f>
        <v/>
      </c>
      <c r="S155" s="16" t="n"/>
      <c r="T155" s="16" t="n"/>
      <c r="U155" s="16" t="n"/>
      <c r="V155" s="16" t="n"/>
      <c r="W155" s="16" t="n"/>
      <c r="X155" s="16" t="n"/>
      <c r="Y155" s="16" t="n"/>
      <c r="Z155" s="16" t="n"/>
      <c r="AA155" s="16" t="n"/>
      <c r="AB155" s="16" t="n"/>
      <c r="AC155" s="20">
        <f>IF(COUNT(S155:AB155)&lt;10,"",(S155*W_FEMININE+T155*W_TREND+U155*W_AESTHETIC+V155*W_STYLE+W155*W_LIGHT+X155*W_REELS+Y155*W_GIFT+Z155*W_PRICEFIT+AA155*W_DEMAND+AB155*W_QUALITY)/5*100)</f>
        <v/>
      </c>
      <c r="AD155" s="16">
        <f>IF(P155="","",IF(P155&gt;HARD_REJECT_PRICE,"Reject",IF(P155&gt;MAX_PRICE,"Price Review",IF(AC155="","",IF(AND(AC155&gt;=BUY_THRESHOLD,OR(AB155&lt;=2,U155&lt;=2)),"Maybe",IF(AC155&gt;=BUY_THRESHOLD,"Buy",IF(AC155&gt;=MAYBE_THRESHOLD,"Maybe","Reject")))))))</f>
        <v/>
      </c>
      <c r="AE155" s="16" t="n"/>
      <c r="AF155" s="16" t="n"/>
      <c r="AG155" s="16" t="n"/>
      <c r="AH155" s="16" t="n"/>
      <c r="AI155" s="17" t="n"/>
      <c r="AJ155">
        <f>IF(AC155="",-9999-ROW()*0.0000001,AC155-ROW()*0.0000001)</f>
        <v/>
      </c>
      <c r="AK155">
        <f>IF(OR(AC155="",P155="",P155&gt;MAX_PRICE),-9999-ROW()*0.0000001,AC155-ROW()*0.0000001)</f>
        <v/>
      </c>
      <c r="AL155">
        <f>IF(AC155="",-9999-ROW()*0.0000001,X155*1000+AC155-ROW()*0.0000001)</f>
        <v/>
      </c>
      <c r="AM155">
        <f>IF(AC155="",-9999-ROW()*0.0000001,Y155*1000+AC155-ROW()*0.0000001)</f>
        <v/>
      </c>
      <c r="AN155">
        <f>IF(AND(OR(AD155="Maybe",AD155="Price Review"),AG155&lt;&gt;"Approved",AG155&lt;&gt;"Rejected"),IF(AC155="",0,AC155)-ROW()*0.0000001,-9999-ROW()*0.0000001)</f>
        <v/>
      </c>
      <c r="AO155" s="21" t="n"/>
      <c r="AP155" s="21" t="n"/>
      <c r="AQ155" s="22" t="n"/>
      <c r="AR155" s="22" t="n"/>
      <c r="AS155" s="16" t="n"/>
      <c r="AT155" s="22" t="n"/>
      <c r="AU155" s="22" t="n"/>
      <c r="AV155" s="22" t="n"/>
      <c r="AW155" s="18">
        <f>IF(OR(O155="",AV155=""),"",O155*AV155)</f>
        <v/>
      </c>
      <c r="AX155" s="16" t="n"/>
      <c r="AY155" s="16" t="n"/>
      <c r="AZ155" s="16" t="n"/>
      <c r="BA155" s="16" t="n"/>
      <c r="BB155" s="16" t="n"/>
      <c r="BC155" s="18" t="n"/>
      <c r="BD155" s="16" t="n"/>
      <c r="BE155" s="16">
        <f>IF(C155="","",IF(AND(ISNUMBER(P155),P155&gt;MAX_PRICE),"Price too high",IF(AND(ISNUMBER(AB155),AB155&lt;=2),"Quality risk",IF(AND(ISNUMBER(U155),U155&lt;=2),"Aesthetic mismatch",IF(AY155="High","Too fragile",IF(AND(ISNUMBER(R155),R155&lt;LOW_PROFIT_PCT),"Low profit",IF(AND(ISNUMBER(AT155),AT155&gt;MOQ_WARNING),"MOQ too high",IF(OR(AD155="Maybe",AD155="Price Review"),"Needs partner review",IF(AD155="Buy","Good candidate","")))))))))</f>
        <v/>
      </c>
      <c r="BF155" s="16" t="n"/>
      <c r="BG155" s="16" t="n"/>
      <c r="BH155" s="16" t="n"/>
      <c r="BI155" s="16" t="n"/>
      <c r="BJ155" s="16" t="n"/>
      <c r="BK155" s="16" t="n"/>
      <c r="BL155" s="16">
        <f>IF(C155="","",IF(AND(BG155="Yes",BH155="Yes",BI155="Yes",BJ155="Yes",BK155="Yes"),"Yes","No"))</f>
        <v/>
      </c>
      <c r="BM155" s="18" t="n"/>
      <c r="BN155" s="18" t="n"/>
      <c r="BO155" s="18">
        <f>IF(OR(BM155="",BN155=""),"",BM155+BN155)</f>
        <v/>
      </c>
      <c r="BP155" s="18" t="n"/>
      <c r="BQ155" s="18">
        <f>IF(OR(BP155="",BO155=""),"",BP155-BO155)</f>
        <v/>
      </c>
      <c r="BR155" s="19">
        <f>IF(OR(BP155="",BP155=0,BQ155=""),"",BQ155/BP155)</f>
        <v/>
      </c>
      <c r="BS155" s="17" t="n"/>
      <c r="BT155" s="22" t="n"/>
      <c r="BU155" s="22" t="n"/>
      <c r="BV155" s="16" t="n"/>
      <c r="BW155" s="16" t="n"/>
      <c r="BX155" s="22">
        <f>IF(OR(BT155="",BU155=""),"",BT155-BU155)</f>
        <v/>
      </c>
      <c r="BY155" s="16" t="n"/>
      <c r="BZ155" s="17" t="n"/>
      <c r="CA155" s="16" t="n"/>
      <c r="CB155" s="16" t="n"/>
    </row>
    <row r="156">
      <c r="A156" s="23">
        <f>IF(C156="","","AYN-"&amp;IFERROR(VLOOKUP(E156,CATEGORY_PREFIX_TABLE,2,FALSE),"OTH")&amp;"-"&amp;TEXT(ROW()-2,"0000"))</f>
        <v/>
      </c>
      <c r="B156" s="24" t="n"/>
      <c r="C156" s="23" t="n"/>
      <c r="D156" s="23" t="n"/>
      <c r="E156" s="23" t="n"/>
      <c r="F156" s="23" t="n"/>
      <c r="G156" s="23" t="n"/>
      <c r="H156" s="23" t="n"/>
      <c r="I156" s="23" t="n"/>
      <c r="J156" s="23" t="n"/>
      <c r="K156" s="25">
        <f>IF(I156="","",IF(J156="BDT",I156,IF(J156="USD",I156*USD_BDT,IF(J156="RMB",I156*RMB_BDT,""))))</f>
        <v/>
      </c>
      <c r="L156" s="25" t="n"/>
      <c r="M156" s="26" t="n"/>
      <c r="N156" s="25" t="n"/>
      <c r="O156" s="25">
        <f>IF(K156="","",K156+IFERROR(L156,0)+(K156*IF(M156="",CUSTOMS_PCT,M156))+IF(N156="",MISC_FEE,N156))</f>
        <v/>
      </c>
      <c r="P156" s="25">
        <f>IF(O156="","",ROUND(O156*(1+MARKUP_PCT),-1)-1)</f>
        <v/>
      </c>
      <c r="Q156" s="25">
        <f>IF(P156="","",P156-O156)</f>
        <v/>
      </c>
      <c r="R156" s="26">
        <f>IF(OR(P156="",P156=0),"",Q156/P156)</f>
        <v/>
      </c>
      <c r="S156" s="23" t="n"/>
      <c r="T156" s="23" t="n"/>
      <c r="U156" s="23" t="n"/>
      <c r="V156" s="23" t="n"/>
      <c r="W156" s="23" t="n"/>
      <c r="X156" s="23" t="n"/>
      <c r="Y156" s="23" t="n"/>
      <c r="Z156" s="23" t="n"/>
      <c r="AA156" s="23" t="n"/>
      <c r="AB156" s="23" t="n"/>
      <c r="AC156" s="27">
        <f>IF(COUNT(S156:AB156)&lt;10,"",(S156*W_FEMININE+T156*W_TREND+U156*W_AESTHETIC+V156*W_STYLE+W156*W_LIGHT+X156*W_REELS+Y156*W_GIFT+Z156*W_PRICEFIT+AA156*W_DEMAND+AB156*W_QUALITY)/5*100)</f>
        <v/>
      </c>
      <c r="AD156" s="23">
        <f>IF(P156="","",IF(P156&gt;HARD_REJECT_PRICE,"Reject",IF(P156&gt;MAX_PRICE,"Price Review",IF(AC156="","",IF(AND(AC156&gt;=BUY_THRESHOLD,OR(AB156&lt;=2,U156&lt;=2)),"Maybe",IF(AC156&gt;=BUY_THRESHOLD,"Buy",IF(AC156&gt;=MAYBE_THRESHOLD,"Maybe","Reject")))))))</f>
        <v/>
      </c>
      <c r="AE156" s="23" t="n"/>
      <c r="AF156" s="23" t="n"/>
      <c r="AG156" s="23" t="n"/>
      <c r="AH156" s="23" t="n"/>
      <c r="AI156" s="24" t="n"/>
      <c r="AJ156">
        <f>IF(AC156="",-9999-ROW()*0.0000001,AC156-ROW()*0.0000001)</f>
        <v/>
      </c>
      <c r="AK156">
        <f>IF(OR(AC156="",P156="",P156&gt;MAX_PRICE),-9999-ROW()*0.0000001,AC156-ROW()*0.0000001)</f>
        <v/>
      </c>
      <c r="AL156">
        <f>IF(AC156="",-9999-ROW()*0.0000001,X156*1000+AC156-ROW()*0.0000001)</f>
        <v/>
      </c>
      <c r="AM156">
        <f>IF(AC156="",-9999-ROW()*0.0000001,Y156*1000+AC156-ROW()*0.0000001)</f>
        <v/>
      </c>
      <c r="AN156">
        <f>IF(AND(OR(AD156="Maybe",AD156="Price Review"),AG156&lt;&gt;"Approved",AG156&lt;&gt;"Rejected"),IF(AC156="",0,AC156)-ROW()*0.0000001,-9999-ROW()*0.0000001)</f>
        <v/>
      </c>
      <c r="AO156" s="28" t="n"/>
      <c r="AP156" s="28" t="n"/>
      <c r="AQ156" s="29" t="n"/>
      <c r="AR156" s="29" t="n"/>
      <c r="AS156" s="23" t="n"/>
      <c r="AT156" s="29" t="n"/>
      <c r="AU156" s="29" t="n"/>
      <c r="AV156" s="29" t="n"/>
      <c r="AW156" s="25">
        <f>IF(OR(O156="",AV156=""),"",O156*AV156)</f>
        <v/>
      </c>
      <c r="AX156" s="23" t="n"/>
      <c r="AY156" s="23" t="n"/>
      <c r="AZ156" s="23" t="n"/>
      <c r="BA156" s="23" t="n"/>
      <c r="BB156" s="23" t="n"/>
      <c r="BC156" s="25" t="n"/>
      <c r="BD156" s="23" t="n"/>
      <c r="BE156" s="23">
        <f>IF(C156="","",IF(AND(ISNUMBER(P156),P156&gt;MAX_PRICE),"Price too high",IF(AND(ISNUMBER(AB156),AB156&lt;=2),"Quality risk",IF(AND(ISNUMBER(U156),U156&lt;=2),"Aesthetic mismatch",IF(AY156="High","Too fragile",IF(AND(ISNUMBER(R156),R156&lt;LOW_PROFIT_PCT),"Low profit",IF(AND(ISNUMBER(AT156),AT156&gt;MOQ_WARNING),"MOQ too high",IF(OR(AD156="Maybe",AD156="Price Review"),"Needs partner review",IF(AD156="Buy","Good candidate","")))))))))</f>
        <v/>
      </c>
      <c r="BF156" s="23" t="n"/>
      <c r="BG156" s="23" t="n"/>
      <c r="BH156" s="23" t="n"/>
      <c r="BI156" s="23" t="n"/>
      <c r="BJ156" s="23" t="n"/>
      <c r="BK156" s="23" t="n"/>
      <c r="BL156" s="23">
        <f>IF(C156="","",IF(AND(BG156="Yes",BH156="Yes",BI156="Yes",BJ156="Yes",BK156="Yes"),"Yes","No"))</f>
        <v/>
      </c>
      <c r="BM156" s="25" t="n"/>
      <c r="BN156" s="25" t="n"/>
      <c r="BO156" s="25">
        <f>IF(OR(BM156="",BN156=""),"",BM156+BN156)</f>
        <v/>
      </c>
      <c r="BP156" s="25" t="n"/>
      <c r="BQ156" s="25">
        <f>IF(OR(BP156="",BO156=""),"",BP156-BO156)</f>
        <v/>
      </c>
      <c r="BR156" s="26">
        <f>IF(OR(BP156="",BP156=0,BQ156=""),"",BQ156/BP156)</f>
        <v/>
      </c>
      <c r="BS156" s="24" t="n"/>
      <c r="BT156" s="29" t="n"/>
      <c r="BU156" s="29" t="n"/>
      <c r="BV156" s="23" t="n"/>
      <c r="BW156" s="23" t="n"/>
      <c r="BX156" s="29">
        <f>IF(OR(BT156="",BU156=""),"",BT156-BU156)</f>
        <v/>
      </c>
      <c r="BY156" s="23" t="n"/>
      <c r="BZ156" s="24" t="n"/>
      <c r="CA156" s="23" t="n"/>
      <c r="CB156" s="23" t="n"/>
    </row>
    <row r="157">
      <c r="A157" s="16">
        <f>IF(C157="","","AYN-"&amp;IFERROR(VLOOKUP(E157,CATEGORY_PREFIX_TABLE,2,FALSE),"OTH")&amp;"-"&amp;TEXT(ROW()-2,"0000"))</f>
        <v/>
      </c>
      <c r="B157" s="17" t="n"/>
      <c r="C157" s="16" t="n"/>
      <c r="D157" s="16" t="n"/>
      <c r="E157" s="16" t="n"/>
      <c r="F157" s="16" t="n"/>
      <c r="G157" s="16" t="n"/>
      <c r="H157" s="16" t="n"/>
      <c r="I157" s="16" t="n"/>
      <c r="J157" s="16" t="n"/>
      <c r="K157" s="18">
        <f>IF(I157="","",IF(J157="BDT",I157,IF(J157="USD",I157*USD_BDT,IF(J157="RMB",I157*RMB_BDT,""))))</f>
        <v/>
      </c>
      <c r="L157" s="18" t="n"/>
      <c r="M157" s="19" t="n"/>
      <c r="N157" s="18" t="n"/>
      <c r="O157" s="18">
        <f>IF(K157="","",K157+IFERROR(L157,0)+(K157*IF(M157="",CUSTOMS_PCT,M157))+IF(N157="",MISC_FEE,N157))</f>
        <v/>
      </c>
      <c r="P157" s="18">
        <f>IF(O157="","",ROUND(O157*(1+MARKUP_PCT),-1)-1)</f>
        <v/>
      </c>
      <c r="Q157" s="18">
        <f>IF(P157="","",P157-O157)</f>
        <v/>
      </c>
      <c r="R157" s="19">
        <f>IF(OR(P157="",P157=0),"",Q157/P157)</f>
        <v/>
      </c>
      <c r="S157" s="16" t="n"/>
      <c r="T157" s="16" t="n"/>
      <c r="U157" s="16" t="n"/>
      <c r="V157" s="16" t="n"/>
      <c r="W157" s="16" t="n"/>
      <c r="X157" s="16" t="n"/>
      <c r="Y157" s="16" t="n"/>
      <c r="Z157" s="16" t="n"/>
      <c r="AA157" s="16" t="n"/>
      <c r="AB157" s="16" t="n"/>
      <c r="AC157" s="20">
        <f>IF(COUNT(S157:AB157)&lt;10,"",(S157*W_FEMININE+T157*W_TREND+U157*W_AESTHETIC+V157*W_STYLE+W157*W_LIGHT+X157*W_REELS+Y157*W_GIFT+Z157*W_PRICEFIT+AA157*W_DEMAND+AB157*W_QUALITY)/5*100)</f>
        <v/>
      </c>
      <c r="AD157" s="16">
        <f>IF(P157="","",IF(P157&gt;HARD_REJECT_PRICE,"Reject",IF(P157&gt;MAX_PRICE,"Price Review",IF(AC157="","",IF(AND(AC157&gt;=BUY_THRESHOLD,OR(AB157&lt;=2,U157&lt;=2)),"Maybe",IF(AC157&gt;=BUY_THRESHOLD,"Buy",IF(AC157&gt;=MAYBE_THRESHOLD,"Maybe","Reject")))))))</f>
        <v/>
      </c>
      <c r="AE157" s="16" t="n"/>
      <c r="AF157" s="16" t="n"/>
      <c r="AG157" s="16" t="n"/>
      <c r="AH157" s="16" t="n"/>
      <c r="AI157" s="17" t="n"/>
      <c r="AJ157">
        <f>IF(AC157="",-9999-ROW()*0.0000001,AC157-ROW()*0.0000001)</f>
        <v/>
      </c>
      <c r="AK157">
        <f>IF(OR(AC157="",P157="",P157&gt;MAX_PRICE),-9999-ROW()*0.0000001,AC157-ROW()*0.0000001)</f>
        <v/>
      </c>
      <c r="AL157">
        <f>IF(AC157="",-9999-ROW()*0.0000001,X157*1000+AC157-ROW()*0.0000001)</f>
        <v/>
      </c>
      <c r="AM157">
        <f>IF(AC157="",-9999-ROW()*0.0000001,Y157*1000+AC157-ROW()*0.0000001)</f>
        <v/>
      </c>
      <c r="AN157">
        <f>IF(AND(OR(AD157="Maybe",AD157="Price Review"),AG157&lt;&gt;"Approved",AG157&lt;&gt;"Rejected"),IF(AC157="",0,AC157)-ROW()*0.0000001,-9999-ROW()*0.0000001)</f>
        <v/>
      </c>
      <c r="AO157" s="21" t="n"/>
      <c r="AP157" s="21" t="n"/>
      <c r="AQ157" s="22" t="n"/>
      <c r="AR157" s="22" t="n"/>
      <c r="AS157" s="16" t="n"/>
      <c r="AT157" s="22" t="n"/>
      <c r="AU157" s="22" t="n"/>
      <c r="AV157" s="22" t="n"/>
      <c r="AW157" s="18">
        <f>IF(OR(O157="",AV157=""),"",O157*AV157)</f>
        <v/>
      </c>
      <c r="AX157" s="16" t="n"/>
      <c r="AY157" s="16" t="n"/>
      <c r="AZ157" s="16" t="n"/>
      <c r="BA157" s="16" t="n"/>
      <c r="BB157" s="16" t="n"/>
      <c r="BC157" s="18" t="n"/>
      <c r="BD157" s="16" t="n"/>
      <c r="BE157" s="16">
        <f>IF(C157="","",IF(AND(ISNUMBER(P157),P157&gt;MAX_PRICE),"Price too high",IF(AND(ISNUMBER(AB157),AB157&lt;=2),"Quality risk",IF(AND(ISNUMBER(U157),U157&lt;=2),"Aesthetic mismatch",IF(AY157="High","Too fragile",IF(AND(ISNUMBER(R157),R157&lt;LOW_PROFIT_PCT),"Low profit",IF(AND(ISNUMBER(AT157),AT157&gt;MOQ_WARNING),"MOQ too high",IF(OR(AD157="Maybe",AD157="Price Review"),"Needs partner review",IF(AD157="Buy","Good candidate","")))))))))</f>
        <v/>
      </c>
      <c r="BF157" s="16" t="n"/>
      <c r="BG157" s="16" t="n"/>
      <c r="BH157" s="16" t="n"/>
      <c r="BI157" s="16" t="n"/>
      <c r="BJ157" s="16" t="n"/>
      <c r="BK157" s="16" t="n"/>
      <c r="BL157" s="16">
        <f>IF(C157="","",IF(AND(BG157="Yes",BH157="Yes",BI157="Yes",BJ157="Yes",BK157="Yes"),"Yes","No"))</f>
        <v/>
      </c>
      <c r="BM157" s="18" t="n"/>
      <c r="BN157" s="18" t="n"/>
      <c r="BO157" s="18">
        <f>IF(OR(BM157="",BN157=""),"",BM157+BN157)</f>
        <v/>
      </c>
      <c r="BP157" s="18" t="n"/>
      <c r="BQ157" s="18">
        <f>IF(OR(BP157="",BO157=""),"",BP157-BO157)</f>
        <v/>
      </c>
      <c r="BR157" s="19">
        <f>IF(OR(BP157="",BP157=0,BQ157=""),"",BQ157/BP157)</f>
        <v/>
      </c>
      <c r="BS157" s="17" t="n"/>
      <c r="BT157" s="22" t="n"/>
      <c r="BU157" s="22" t="n"/>
      <c r="BV157" s="16" t="n"/>
      <c r="BW157" s="16" t="n"/>
      <c r="BX157" s="22">
        <f>IF(OR(BT157="",BU157=""),"",BT157-BU157)</f>
        <v/>
      </c>
      <c r="BY157" s="16" t="n"/>
      <c r="BZ157" s="17" t="n"/>
      <c r="CA157" s="16" t="n"/>
      <c r="CB157" s="16" t="n"/>
    </row>
    <row r="158">
      <c r="A158" s="23">
        <f>IF(C158="","","AYN-"&amp;IFERROR(VLOOKUP(E158,CATEGORY_PREFIX_TABLE,2,FALSE),"OTH")&amp;"-"&amp;TEXT(ROW()-2,"0000"))</f>
        <v/>
      </c>
      <c r="B158" s="24" t="n"/>
      <c r="C158" s="23" t="n"/>
      <c r="D158" s="23" t="n"/>
      <c r="E158" s="23" t="n"/>
      <c r="F158" s="23" t="n"/>
      <c r="G158" s="23" t="n"/>
      <c r="H158" s="23" t="n"/>
      <c r="I158" s="23" t="n"/>
      <c r="J158" s="23" t="n"/>
      <c r="K158" s="25">
        <f>IF(I158="","",IF(J158="BDT",I158,IF(J158="USD",I158*USD_BDT,IF(J158="RMB",I158*RMB_BDT,""))))</f>
        <v/>
      </c>
      <c r="L158" s="25" t="n"/>
      <c r="M158" s="26" t="n"/>
      <c r="N158" s="25" t="n"/>
      <c r="O158" s="25">
        <f>IF(K158="","",K158+IFERROR(L158,0)+(K158*IF(M158="",CUSTOMS_PCT,M158))+IF(N158="",MISC_FEE,N158))</f>
        <v/>
      </c>
      <c r="P158" s="25">
        <f>IF(O158="","",ROUND(O158*(1+MARKUP_PCT),-1)-1)</f>
        <v/>
      </c>
      <c r="Q158" s="25">
        <f>IF(P158="","",P158-O158)</f>
        <v/>
      </c>
      <c r="R158" s="26">
        <f>IF(OR(P158="",P158=0),"",Q158/P158)</f>
        <v/>
      </c>
      <c r="S158" s="23" t="n"/>
      <c r="T158" s="23" t="n"/>
      <c r="U158" s="23" t="n"/>
      <c r="V158" s="23" t="n"/>
      <c r="W158" s="23" t="n"/>
      <c r="X158" s="23" t="n"/>
      <c r="Y158" s="23" t="n"/>
      <c r="Z158" s="23" t="n"/>
      <c r="AA158" s="23" t="n"/>
      <c r="AB158" s="23" t="n"/>
      <c r="AC158" s="27">
        <f>IF(COUNT(S158:AB158)&lt;10,"",(S158*W_FEMININE+T158*W_TREND+U158*W_AESTHETIC+V158*W_STYLE+W158*W_LIGHT+X158*W_REELS+Y158*W_GIFT+Z158*W_PRICEFIT+AA158*W_DEMAND+AB158*W_QUALITY)/5*100)</f>
        <v/>
      </c>
      <c r="AD158" s="23">
        <f>IF(P158="","",IF(P158&gt;HARD_REJECT_PRICE,"Reject",IF(P158&gt;MAX_PRICE,"Price Review",IF(AC158="","",IF(AND(AC158&gt;=BUY_THRESHOLD,OR(AB158&lt;=2,U158&lt;=2)),"Maybe",IF(AC158&gt;=BUY_THRESHOLD,"Buy",IF(AC158&gt;=MAYBE_THRESHOLD,"Maybe","Reject")))))))</f>
        <v/>
      </c>
      <c r="AE158" s="23" t="n"/>
      <c r="AF158" s="23" t="n"/>
      <c r="AG158" s="23" t="n"/>
      <c r="AH158" s="23" t="n"/>
      <c r="AI158" s="24" t="n"/>
      <c r="AJ158">
        <f>IF(AC158="",-9999-ROW()*0.0000001,AC158-ROW()*0.0000001)</f>
        <v/>
      </c>
      <c r="AK158">
        <f>IF(OR(AC158="",P158="",P158&gt;MAX_PRICE),-9999-ROW()*0.0000001,AC158-ROW()*0.0000001)</f>
        <v/>
      </c>
      <c r="AL158">
        <f>IF(AC158="",-9999-ROW()*0.0000001,X158*1000+AC158-ROW()*0.0000001)</f>
        <v/>
      </c>
      <c r="AM158">
        <f>IF(AC158="",-9999-ROW()*0.0000001,Y158*1000+AC158-ROW()*0.0000001)</f>
        <v/>
      </c>
      <c r="AN158">
        <f>IF(AND(OR(AD158="Maybe",AD158="Price Review"),AG158&lt;&gt;"Approved",AG158&lt;&gt;"Rejected"),IF(AC158="",0,AC158)-ROW()*0.0000001,-9999-ROW()*0.0000001)</f>
        <v/>
      </c>
      <c r="AO158" s="28" t="n"/>
      <c r="AP158" s="28" t="n"/>
      <c r="AQ158" s="29" t="n"/>
      <c r="AR158" s="29" t="n"/>
      <c r="AS158" s="23" t="n"/>
      <c r="AT158" s="29" t="n"/>
      <c r="AU158" s="29" t="n"/>
      <c r="AV158" s="29" t="n"/>
      <c r="AW158" s="25">
        <f>IF(OR(O158="",AV158=""),"",O158*AV158)</f>
        <v/>
      </c>
      <c r="AX158" s="23" t="n"/>
      <c r="AY158" s="23" t="n"/>
      <c r="AZ158" s="23" t="n"/>
      <c r="BA158" s="23" t="n"/>
      <c r="BB158" s="23" t="n"/>
      <c r="BC158" s="25" t="n"/>
      <c r="BD158" s="23" t="n"/>
      <c r="BE158" s="23">
        <f>IF(C158="","",IF(AND(ISNUMBER(P158),P158&gt;MAX_PRICE),"Price too high",IF(AND(ISNUMBER(AB158),AB158&lt;=2),"Quality risk",IF(AND(ISNUMBER(U158),U158&lt;=2),"Aesthetic mismatch",IF(AY158="High","Too fragile",IF(AND(ISNUMBER(R158),R158&lt;LOW_PROFIT_PCT),"Low profit",IF(AND(ISNUMBER(AT158),AT158&gt;MOQ_WARNING),"MOQ too high",IF(OR(AD158="Maybe",AD158="Price Review"),"Needs partner review",IF(AD158="Buy","Good candidate","")))))))))</f>
        <v/>
      </c>
      <c r="BF158" s="23" t="n"/>
      <c r="BG158" s="23" t="n"/>
      <c r="BH158" s="23" t="n"/>
      <c r="BI158" s="23" t="n"/>
      <c r="BJ158" s="23" t="n"/>
      <c r="BK158" s="23" t="n"/>
      <c r="BL158" s="23">
        <f>IF(C158="","",IF(AND(BG158="Yes",BH158="Yes",BI158="Yes",BJ158="Yes",BK158="Yes"),"Yes","No"))</f>
        <v/>
      </c>
      <c r="BM158" s="25" t="n"/>
      <c r="BN158" s="25" t="n"/>
      <c r="BO158" s="25">
        <f>IF(OR(BM158="",BN158=""),"",BM158+BN158)</f>
        <v/>
      </c>
      <c r="BP158" s="25" t="n"/>
      <c r="BQ158" s="25">
        <f>IF(OR(BP158="",BO158=""),"",BP158-BO158)</f>
        <v/>
      </c>
      <c r="BR158" s="26">
        <f>IF(OR(BP158="",BP158=0,BQ158=""),"",BQ158/BP158)</f>
        <v/>
      </c>
      <c r="BS158" s="24" t="n"/>
      <c r="BT158" s="29" t="n"/>
      <c r="BU158" s="29" t="n"/>
      <c r="BV158" s="23" t="n"/>
      <c r="BW158" s="23" t="n"/>
      <c r="BX158" s="29">
        <f>IF(OR(BT158="",BU158=""),"",BT158-BU158)</f>
        <v/>
      </c>
      <c r="BY158" s="23" t="n"/>
      <c r="BZ158" s="24" t="n"/>
      <c r="CA158" s="23" t="n"/>
      <c r="CB158" s="23" t="n"/>
    </row>
    <row r="159">
      <c r="A159" s="16">
        <f>IF(C159="","","AYN-"&amp;IFERROR(VLOOKUP(E159,CATEGORY_PREFIX_TABLE,2,FALSE),"OTH")&amp;"-"&amp;TEXT(ROW()-2,"0000"))</f>
        <v/>
      </c>
      <c r="B159" s="17" t="n"/>
      <c r="C159" s="16" t="n"/>
      <c r="D159" s="16" t="n"/>
      <c r="E159" s="16" t="n"/>
      <c r="F159" s="16" t="n"/>
      <c r="G159" s="16" t="n"/>
      <c r="H159" s="16" t="n"/>
      <c r="I159" s="16" t="n"/>
      <c r="J159" s="16" t="n"/>
      <c r="K159" s="18">
        <f>IF(I159="","",IF(J159="BDT",I159,IF(J159="USD",I159*USD_BDT,IF(J159="RMB",I159*RMB_BDT,""))))</f>
        <v/>
      </c>
      <c r="L159" s="18" t="n"/>
      <c r="M159" s="19" t="n"/>
      <c r="N159" s="18" t="n"/>
      <c r="O159" s="18">
        <f>IF(K159="","",K159+IFERROR(L159,0)+(K159*IF(M159="",CUSTOMS_PCT,M159))+IF(N159="",MISC_FEE,N159))</f>
        <v/>
      </c>
      <c r="P159" s="18">
        <f>IF(O159="","",ROUND(O159*(1+MARKUP_PCT),-1)-1)</f>
        <v/>
      </c>
      <c r="Q159" s="18">
        <f>IF(P159="","",P159-O159)</f>
        <v/>
      </c>
      <c r="R159" s="19">
        <f>IF(OR(P159="",P159=0),"",Q159/P159)</f>
        <v/>
      </c>
      <c r="S159" s="16" t="n"/>
      <c r="T159" s="16" t="n"/>
      <c r="U159" s="16" t="n"/>
      <c r="V159" s="16" t="n"/>
      <c r="W159" s="16" t="n"/>
      <c r="X159" s="16" t="n"/>
      <c r="Y159" s="16" t="n"/>
      <c r="Z159" s="16" t="n"/>
      <c r="AA159" s="16" t="n"/>
      <c r="AB159" s="16" t="n"/>
      <c r="AC159" s="20">
        <f>IF(COUNT(S159:AB159)&lt;10,"",(S159*W_FEMININE+T159*W_TREND+U159*W_AESTHETIC+V159*W_STYLE+W159*W_LIGHT+X159*W_REELS+Y159*W_GIFT+Z159*W_PRICEFIT+AA159*W_DEMAND+AB159*W_QUALITY)/5*100)</f>
        <v/>
      </c>
      <c r="AD159" s="16">
        <f>IF(P159="","",IF(P159&gt;HARD_REJECT_PRICE,"Reject",IF(P159&gt;MAX_PRICE,"Price Review",IF(AC159="","",IF(AND(AC159&gt;=BUY_THRESHOLD,OR(AB159&lt;=2,U159&lt;=2)),"Maybe",IF(AC159&gt;=BUY_THRESHOLD,"Buy",IF(AC159&gt;=MAYBE_THRESHOLD,"Maybe","Reject")))))))</f>
        <v/>
      </c>
      <c r="AE159" s="16" t="n"/>
      <c r="AF159" s="16" t="n"/>
      <c r="AG159" s="16" t="n"/>
      <c r="AH159" s="16" t="n"/>
      <c r="AI159" s="17" t="n"/>
      <c r="AJ159">
        <f>IF(AC159="",-9999-ROW()*0.0000001,AC159-ROW()*0.0000001)</f>
        <v/>
      </c>
      <c r="AK159">
        <f>IF(OR(AC159="",P159="",P159&gt;MAX_PRICE),-9999-ROW()*0.0000001,AC159-ROW()*0.0000001)</f>
        <v/>
      </c>
      <c r="AL159">
        <f>IF(AC159="",-9999-ROW()*0.0000001,X159*1000+AC159-ROW()*0.0000001)</f>
        <v/>
      </c>
      <c r="AM159">
        <f>IF(AC159="",-9999-ROW()*0.0000001,Y159*1000+AC159-ROW()*0.0000001)</f>
        <v/>
      </c>
      <c r="AN159">
        <f>IF(AND(OR(AD159="Maybe",AD159="Price Review"),AG159&lt;&gt;"Approved",AG159&lt;&gt;"Rejected"),IF(AC159="",0,AC159)-ROW()*0.0000001,-9999-ROW()*0.0000001)</f>
        <v/>
      </c>
      <c r="AO159" s="21" t="n"/>
      <c r="AP159" s="21" t="n"/>
      <c r="AQ159" s="22" t="n"/>
      <c r="AR159" s="22" t="n"/>
      <c r="AS159" s="16" t="n"/>
      <c r="AT159" s="22" t="n"/>
      <c r="AU159" s="22" t="n"/>
      <c r="AV159" s="22" t="n"/>
      <c r="AW159" s="18">
        <f>IF(OR(O159="",AV159=""),"",O159*AV159)</f>
        <v/>
      </c>
      <c r="AX159" s="16" t="n"/>
      <c r="AY159" s="16" t="n"/>
      <c r="AZ159" s="16" t="n"/>
      <c r="BA159" s="16" t="n"/>
      <c r="BB159" s="16" t="n"/>
      <c r="BC159" s="18" t="n"/>
      <c r="BD159" s="16" t="n"/>
      <c r="BE159" s="16">
        <f>IF(C159="","",IF(AND(ISNUMBER(P159),P159&gt;MAX_PRICE),"Price too high",IF(AND(ISNUMBER(AB159),AB159&lt;=2),"Quality risk",IF(AND(ISNUMBER(U159),U159&lt;=2),"Aesthetic mismatch",IF(AY159="High","Too fragile",IF(AND(ISNUMBER(R159),R159&lt;LOW_PROFIT_PCT),"Low profit",IF(AND(ISNUMBER(AT159),AT159&gt;MOQ_WARNING),"MOQ too high",IF(OR(AD159="Maybe",AD159="Price Review"),"Needs partner review",IF(AD159="Buy","Good candidate","")))))))))</f>
        <v/>
      </c>
      <c r="BF159" s="16" t="n"/>
      <c r="BG159" s="16" t="n"/>
      <c r="BH159" s="16" t="n"/>
      <c r="BI159" s="16" t="n"/>
      <c r="BJ159" s="16" t="n"/>
      <c r="BK159" s="16" t="n"/>
      <c r="BL159" s="16">
        <f>IF(C159="","",IF(AND(BG159="Yes",BH159="Yes",BI159="Yes",BJ159="Yes",BK159="Yes"),"Yes","No"))</f>
        <v/>
      </c>
      <c r="BM159" s="18" t="n"/>
      <c r="BN159" s="18" t="n"/>
      <c r="BO159" s="18">
        <f>IF(OR(BM159="",BN159=""),"",BM159+BN159)</f>
        <v/>
      </c>
      <c r="BP159" s="18" t="n"/>
      <c r="BQ159" s="18">
        <f>IF(OR(BP159="",BO159=""),"",BP159-BO159)</f>
        <v/>
      </c>
      <c r="BR159" s="19">
        <f>IF(OR(BP159="",BP159=0,BQ159=""),"",BQ159/BP159)</f>
        <v/>
      </c>
      <c r="BS159" s="17" t="n"/>
      <c r="BT159" s="22" t="n"/>
      <c r="BU159" s="22" t="n"/>
      <c r="BV159" s="16" t="n"/>
      <c r="BW159" s="16" t="n"/>
      <c r="BX159" s="22">
        <f>IF(OR(BT159="",BU159=""),"",BT159-BU159)</f>
        <v/>
      </c>
      <c r="BY159" s="16" t="n"/>
      <c r="BZ159" s="17" t="n"/>
      <c r="CA159" s="16" t="n"/>
      <c r="CB159" s="16" t="n"/>
    </row>
    <row r="160">
      <c r="A160" s="23">
        <f>IF(C160="","","AYN-"&amp;IFERROR(VLOOKUP(E160,CATEGORY_PREFIX_TABLE,2,FALSE),"OTH")&amp;"-"&amp;TEXT(ROW()-2,"0000"))</f>
        <v/>
      </c>
      <c r="B160" s="24" t="n"/>
      <c r="C160" s="23" t="n"/>
      <c r="D160" s="23" t="n"/>
      <c r="E160" s="23" t="n"/>
      <c r="F160" s="23" t="n"/>
      <c r="G160" s="23" t="n"/>
      <c r="H160" s="23" t="n"/>
      <c r="I160" s="23" t="n"/>
      <c r="J160" s="23" t="n"/>
      <c r="K160" s="25">
        <f>IF(I160="","",IF(J160="BDT",I160,IF(J160="USD",I160*USD_BDT,IF(J160="RMB",I160*RMB_BDT,""))))</f>
        <v/>
      </c>
      <c r="L160" s="25" t="n"/>
      <c r="M160" s="26" t="n"/>
      <c r="N160" s="25" t="n"/>
      <c r="O160" s="25">
        <f>IF(K160="","",K160+IFERROR(L160,0)+(K160*IF(M160="",CUSTOMS_PCT,M160))+IF(N160="",MISC_FEE,N160))</f>
        <v/>
      </c>
      <c r="P160" s="25">
        <f>IF(O160="","",ROUND(O160*(1+MARKUP_PCT),-1)-1)</f>
        <v/>
      </c>
      <c r="Q160" s="25">
        <f>IF(P160="","",P160-O160)</f>
        <v/>
      </c>
      <c r="R160" s="26">
        <f>IF(OR(P160="",P160=0),"",Q160/P160)</f>
        <v/>
      </c>
      <c r="S160" s="23" t="n"/>
      <c r="T160" s="23" t="n"/>
      <c r="U160" s="23" t="n"/>
      <c r="V160" s="23" t="n"/>
      <c r="W160" s="23" t="n"/>
      <c r="X160" s="23" t="n"/>
      <c r="Y160" s="23" t="n"/>
      <c r="Z160" s="23" t="n"/>
      <c r="AA160" s="23" t="n"/>
      <c r="AB160" s="23" t="n"/>
      <c r="AC160" s="27">
        <f>IF(COUNT(S160:AB160)&lt;10,"",(S160*W_FEMININE+T160*W_TREND+U160*W_AESTHETIC+V160*W_STYLE+W160*W_LIGHT+X160*W_REELS+Y160*W_GIFT+Z160*W_PRICEFIT+AA160*W_DEMAND+AB160*W_QUALITY)/5*100)</f>
        <v/>
      </c>
      <c r="AD160" s="23">
        <f>IF(P160="","",IF(P160&gt;HARD_REJECT_PRICE,"Reject",IF(P160&gt;MAX_PRICE,"Price Review",IF(AC160="","",IF(AND(AC160&gt;=BUY_THRESHOLD,OR(AB160&lt;=2,U160&lt;=2)),"Maybe",IF(AC160&gt;=BUY_THRESHOLD,"Buy",IF(AC160&gt;=MAYBE_THRESHOLD,"Maybe","Reject")))))))</f>
        <v/>
      </c>
      <c r="AE160" s="23" t="n"/>
      <c r="AF160" s="23" t="n"/>
      <c r="AG160" s="23" t="n"/>
      <c r="AH160" s="23" t="n"/>
      <c r="AI160" s="24" t="n"/>
      <c r="AJ160">
        <f>IF(AC160="",-9999-ROW()*0.0000001,AC160-ROW()*0.0000001)</f>
        <v/>
      </c>
      <c r="AK160">
        <f>IF(OR(AC160="",P160="",P160&gt;MAX_PRICE),-9999-ROW()*0.0000001,AC160-ROW()*0.0000001)</f>
        <v/>
      </c>
      <c r="AL160">
        <f>IF(AC160="",-9999-ROW()*0.0000001,X160*1000+AC160-ROW()*0.0000001)</f>
        <v/>
      </c>
      <c r="AM160">
        <f>IF(AC160="",-9999-ROW()*0.0000001,Y160*1000+AC160-ROW()*0.0000001)</f>
        <v/>
      </c>
      <c r="AN160">
        <f>IF(AND(OR(AD160="Maybe",AD160="Price Review"),AG160&lt;&gt;"Approved",AG160&lt;&gt;"Rejected"),IF(AC160="",0,AC160)-ROW()*0.0000001,-9999-ROW()*0.0000001)</f>
        <v/>
      </c>
      <c r="AO160" s="28" t="n"/>
      <c r="AP160" s="28" t="n"/>
      <c r="AQ160" s="29" t="n"/>
      <c r="AR160" s="29" t="n"/>
      <c r="AS160" s="23" t="n"/>
      <c r="AT160" s="29" t="n"/>
      <c r="AU160" s="29" t="n"/>
      <c r="AV160" s="29" t="n"/>
      <c r="AW160" s="25">
        <f>IF(OR(O160="",AV160=""),"",O160*AV160)</f>
        <v/>
      </c>
      <c r="AX160" s="23" t="n"/>
      <c r="AY160" s="23" t="n"/>
      <c r="AZ160" s="23" t="n"/>
      <c r="BA160" s="23" t="n"/>
      <c r="BB160" s="23" t="n"/>
      <c r="BC160" s="25" t="n"/>
      <c r="BD160" s="23" t="n"/>
      <c r="BE160" s="23">
        <f>IF(C160="","",IF(AND(ISNUMBER(P160),P160&gt;MAX_PRICE),"Price too high",IF(AND(ISNUMBER(AB160),AB160&lt;=2),"Quality risk",IF(AND(ISNUMBER(U160),U160&lt;=2),"Aesthetic mismatch",IF(AY160="High","Too fragile",IF(AND(ISNUMBER(R160),R160&lt;LOW_PROFIT_PCT),"Low profit",IF(AND(ISNUMBER(AT160),AT160&gt;MOQ_WARNING),"MOQ too high",IF(OR(AD160="Maybe",AD160="Price Review"),"Needs partner review",IF(AD160="Buy","Good candidate","")))))))))</f>
        <v/>
      </c>
      <c r="BF160" s="23" t="n"/>
      <c r="BG160" s="23" t="n"/>
      <c r="BH160" s="23" t="n"/>
      <c r="BI160" s="23" t="n"/>
      <c r="BJ160" s="23" t="n"/>
      <c r="BK160" s="23" t="n"/>
      <c r="BL160" s="23">
        <f>IF(C160="","",IF(AND(BG160="Yes",BH160="Yes",BI160="Yes",BJ160="Yes",BK160="Yes"),"Yes","No"))</f>
        <v/>
      </c>
      <c r="BM160" s="25" t="n"/>
      <c r="BN160" s="25" t="n"/>
      <c r="BO160" s="25">
        <f>IF(OR(BM160="",BN160=""),"",BM160+BN160)</f>
        <v/>
      </c>
      <c r="BP160" s="25" t="n"/>
      <c r="BQ160" s="25">
        <f>IF(OR(BP160="",BO160=""),"",BP160-BO160)</f>
        <v/>
      </c>
      <c r="BR160" s="26">
        <f>IF(OR(BP160="",BP160=0,BQ160=""),"",BQ160/BP160)</f>
        <v/>
      </c>
      <c r="BS160" s="24" t="n"/>
      <c r="BT160" s="29" t="n"/>
      <c r="BU160" s="29" t="n"/>
      <c r="BV160" s="23" t="n"/>
      <c r="BW160" s="23" t="n"/>
      <c r="BX160" s="29">
        <f>IF(OR(BT160="",BU160=""),"",BT160-BU160)</f>
        <v/>
      </c>
      <c r="BY160" s="23" t="n"/>
      <c r="BZ160" s="24" t="n"/>
      <c r="CA160" s="23" t="n"/>
      <c r="CB160" s="23" t="n"/>
    </row>
    <row r="161">
      <c r="A161" s="16">
        <f>IF(C161="","","AYN-"&amp;IFERROR(VLOOKUP(E161,CATEGORY_PREFIX_TABLE,2,FALSE),"OTH")&amp;"-"&amp;TEXT(ROW()-2,"0000"))</f>
        <v/>
      </c>
      <c r="B161" s="17" t="n"/>
      <c r="C161" s="16" t="n"/>
      <c r="D161" s="16" t="n"/>
      <c r="E161" s="16" t="n"/>
      <c r="F161" s="16" t="n"/>
      <c r="G161" s="16" t="n"/>
      <c r="H161" s="16" t="n"/>
      <c r="I161" s="16" t="n"/>
      <c r="J161" s="16" t="n"/>
      <c r="K161" s="18">
        <f>IF(I161="","",IF(J161="BDT",I161,IF(J161="USD",I161*USD_BDT,IF(J161="RMB",I161*RMB_BDT,""))))</f>
        <v/>
      </c>
      <c r="L161" s="18" t="n"/>
      <c r="M161" s="19" t="n"/>
      <c r="N161" s="18" t="n"/>
      <c r="O161" s="18">
        <f>IF(K161="","",K161+IFERROR(L161,0)+(K161*IF(M161="",CUSTOMS_PCT,M161))+IF(N161="",MISC_FEE,N161))</f>
        <v/>
      </c>
      <c r="P161" s="18">
        <f>IF(O161="","",ROUND(O161*(1+MARKUP_PCT),-1)-1)</f>
        <v/>
      </c>
      <c r="Q161" s="18">
        <f>IF(P161="","",P161-O161)</f>
        <v/>
      </c>
      <c r="R161" s="19">
        <f>IF(OR(P161="",P161=0),"",Q161/P161)</f>
        <v/>
      </c>
      <c r="S161" s="16" t="n"/>
      <c r="T161" s="16" t="n"/>
      <c r="U161" s="16" t="n"/>
      <c r="V161" s="16" t="n"/>
      <c r="W161" s="16" t="n"/>
      <c r="X161" s="16" t="n"/>
      <c r="Y161" s="16" t="n"/>
      <c r="Z161" s="16" t="n"/>
      <c r="AA161" s="16" t="n"/>
      <c r="AB161" s="16" t="n"/>
      <c r="AC161" s="20">
        <f>IF(COUNT(S161:AB161)&lt;10,"",(S161*W_FEMININE+T161*W_TREND+U161*W_AESTHETIC+V161*W_STYLE+W161*W_LIGHT+X161*W_REELS+Y161*W_GIFT+Z161*W_PRICEFIT+AA161*W_DEMAND+AB161*W_QUALITY)/5*100)</f>
        <v/>
      </c>
      <c r="AD161" s="16">
        <f>IF(P161="","",IF(P161&gt;HARD_REJECT_PRICE,"Reject",IF(P161&gt;MAX_PRICE,"Price Review",IF(AC161="","",IF(AND(AC161&gt;=BUY_THRESHOLD,OR(AB161&lt;=2,U161&lt;=2)),"Maybe",IF(AC161&gt;=BUY_THRESHOLD,"Buy",IF(AC161&gt;=MAYBE_THRESHOLD,"Maybe","Reject")))))))</f>
        <v/>
      </c>
      <c r="AE161" s="16" t="n"/>
      <c r="AF161" s="16" t="n"/>
      <c r="AG161" s="16" t="n"/>
      <c r="AH161" s="16" t="n"/>
      <c r="AI161" s="17" t="n"/>
      <c r="AJ161">
        <f>IF(AC161="",-9999-ROW()*0.0000001,AC161-ROW()*0.0000001)</f>
        <v/>
      </c>
      <c r="AK161">
        <f>IF(OR(AC161="",P161="",P161&gt;MAX_PRICE),-9999-ROW()*0.0000001,AC161-ROW()*0.0000001)</f>
        <v/>
      </c>
      <c r="AL161">
        <f>IF(AC161="",-9999-ROW()*0.0000001,X161*1000+AC161-ROW()*0.0000001)</f>
        <v/>
      </c>
      <c r="AM161">
        <f>IF(AC161="",-9999-ROW()*0.0000001,Y161*1000+AC161-ROW()*0.0000001)</f>
        <v/>
      </c>
      <c r="AN161">
        <f>IF(AND(OR(AD161="Maybe",AD161="Price Review"),AG161&lt;&gt;"Approved",AG161&lt;&gt;"Rejected"),IF(AC161="",0,AC161)-ROW()*0.0000001,-9999-ROW()*0.0000001)</f>
        <v/>
      </c>
      <c r="AO161" s="21" t="n"/>
      <c r="AP161" s="21" t="n"/>
      <c r="AQ161" s="22" t="n"/>
      <c r="AR161" s="22" t="n"/>
      <c r="AS161" s="16" t="n"/>
      <c r="AT161" s="22" t="n"/>
      <c r="AU161" s="22" t="n"/>
      <c r="AV161" s="22" t="n"/>
      <c r="AW161" s="18">
        <f>IF(OR(O161="",AV161=""),"",O161*AV161)</f>
        <v/>
      </c>
      <c r="AX161" s="16" t="n"/>
      <c r="AY161" s="16" t="n"/>
      <c r="AZ161" s="16" t="n"/>
      <c r="BA161" s="16" t="n"/>
      <c r="BB161" s="16" t="n"/>
      <c r="BC161" s="18" t="n"/>
      <c r="BD161" s="16" t="n"/>
      <c r="BE161" s="16">
        <f>IF(C161="","",IF(AND(ISNUMBER(P161),P161&gt;MAX_PRICE),"Price too high",IF(AND(ISNUMBER(AB161),AB161&lt;=2),"Quality risk",IF(AND(ISNUMBER(U161),U161&lt;=2),"Aesthetic mismatch",IF(AY161="High","Too fragile",IF(AND(ISNUMBER(R161),R161&lt;LOW_PROFIT_PCT),"Low profit",IF(AND(ISNUMBER(AT161),AT161&gt;MOQ_WARNING),"MOQ too high",IF(OR(AD161="Maybe",AD161="Price Review"),"Needs partner review",IF(AD161="Buy","Good candidate","")))))))))</f>
        <v/>
      </c>
      <c r="BF161" s="16" t="n"/>
      <c r="BG161" s="16" t="n"/>
      <c r="BH161" s="16" t="n"/>
      <c r="BI161" s="16" t="n"/>
      <c r="BJ161" s="16" t="n"/>
      <c r="BK161" s="16" t="n"/>
      <c r="BL161" s="16">
        <f>IF(C161="","",IF(AND(BG161="Yes",BH161="Yes",BI161="Yes",BJ161="Yes",BK161="Yes"),"Yes","No"))</f>
        <v/>
      </c>
      <c r="BM161" s="18" t="n"/>
      <c r="BN161" s="18" t="n"/>
      <c r="BO161" s="18">
        <f>IF(OR(BM161="",BN161=""),"",BM161+BN161)</f>
        <v/>
      </c>
      <c r="BP161" s="18" t="n"/>
      <c r="BQ161" s="18">
        <f>IF(OR(BP161="",BO161=""),"",BP161-BO161)</f>
        <v/>
      </c>
      <c r="BR161" s="19">
        <f>IF(OR(BP161="",BP161=0,BQ161=""),"",BQ161/BP161)</f>
        <v/>
      </c>
      <c r="BS161" s="17" t="n"/>
      <c r="BT161" s="22" t="n"/>
      <c r="BU161" s="22" t="n"/>
      <c r="BV161" s="16" t="n"/>
      <c r="BW161" s="16" t="n"/>
      <c r="BX161" s="22">
        <f>IF(OR(BT161="",BU161=""),"",BT161-BU161)</f>
        <v/>
      </c>
      <c r="BY161" s="16" t="n"/>
      <c r="BZ161" s="17" t="n"/>
      <c r="CA161" s="16" t="n"/>
      <c r="CB161" s="16" t="n"/>
    </row>
    <row r="162">
      <c r="A162" s="23">
        <f>IF(C162="","","AYN-"&amp;IFERROR(VLOOKUP(E162,CATEGORY_PREFIX_TABLE,2,FALSE),"OTH")&amp;"-"&amp;TEXT(ROW()-2,"0000"))</f>
        <v/>
      </c>
      <c r="B162" s="24" t="n"/>
      <c r="C162" s="23" t="n"/>
      <c r="D162" s="23" t="n"/>
      <c r="E162" s="23" t="n"/>
      <c r="F162" s="23" t="n"/>
      <c r="G162" s="23" t="n"/>
      <c r="H162" s="23" t="n"/>
      <c r="I162" s="23" t="n"/>
      <c r="J162" s="23" t="n"/>
      <c r="K162" s="25">
        <f>IF(I162="","",IF(J162="BDT",I162,IF(J162="USD",I162*USD_BDT,IF(J162="RMB",I162*RMB_BDT,""))))</f>
        <v/>
      </c>
      <c r="L162" s="25" t="n"/>
      <c r="M162" s="26" t="n"/>
      <c r="N162" s="25" t="n"/>
      <c r="O162" s="25">
        <f>IF(K162="","",K162+IFERROR(L162,0)+(K162*IF(M162="",CUSTOMS_PCT,M162))+IF(N162="",MISC_FEE,N162))</f>
        <v/>
      </c>
      <c r="P162" s="25">
        <f>IF(O162="","",ROUND(O162*(1+MARKUP_PCT),-1)-1)</f>
        <v/>
      </c>
      <c r="Q162" s="25">
        <f>IF(P162="","",P162-O162)</f>
        <v/>
      </c>
      <c r="R162" s="26">
        <f>IF(OR(P162="",P162=0),"",Q162/P162)</f>
        <v/>
      </c>
      <c r="S162" s="23" t="n"/>
      <c r="T162" s="23" t="n"/>
      <c r="U162" s="23" t="n"/>
      <c r="V162" s="23" t="n"/>
      <c r="W162" s="23" t="n"/>
      <c r="X162" s="23" t="n"/>
      <c r="Y162" s="23" t="n"/>
      <c r="Z162" s="23" t="n"/>
      <c r="AA162" s="23" t="n"/>
      <c r="AB162" s="23" t="n"/>
      <c r="AC162" s="27">
        <f>IF(COUNT(S162:AB162)&lt;10,"",(S162*W_FEMININE+T162*W_TREND+U162*W_AESTHETIC+V162*W_STYLE+W162*W_LIGHT+X162*W_REELS+Y162*W_GIFT+Z162*W_PRICEFIT+AA162*W_DEMAND+AB162*W_QUALITY)/5*100)</f>
        <v/>
      </c>
      <c r="AD162" s="23">
        <f>IF(P162="","",IF(P162&gt;HARD_REJECT_PRICE,"Reject",IF(P162&gt;MAX_PRICE,"Price Review",IF(AC162="","",IF(AND(AC162&gt;=BUY_THRESHOLD,OR(AB162&lt;=2,U162&lt;=2)),"Maybe",IF(AC162&gt;=BUY_THRESHOLD,"Buy",IF(AC162&gt;=MAYBE_THRESHOLD,"Maybe","Reject")))))))</f>
        <v/>
      </c>
      <c r="AE162" s="23" t="n"/>
      <c r="AF162" s="23" t="n"/>
      <c r="AG162" s="23" t="n"/>
      <c r="AH162" s="23" t="n"/>
      <c r="AI162" s="24" t="n"/>
      <c r="AJ162">
        <f>IF(AC162="",-9999-ROW()*0.0000001,AC162-ROW()*0.0000001)</f>
        <v/>
      </c>
      <c r="AK162">
        <f>IF(OR(AC162="",P162="",P162&gt;MAX_PRICE),-9999-ROW()*0.0000001,AC162-ROW()*0.0000001)</f>
        <v/>
      </c>
      <c r="AL162">
        <f>IF(AC162="",-9999-ROW()*0.0000001,X162*1000+AC162-ROW()*0.0000001)</f>
        <v/>
      </c>
      <c r="AM162">
        <f>IF(AC162="",-9999-ROW()*0.0000001,Y162*1000+AC162-ROW()*0.0000001)</f>
        <v/>
      </c>
      <c r="AN162">
        <f>IF(AND(OR(AD162="Maybe",AD162="Price Review"),AG162&lt;&gt;"Approved",AG162&lt;&gt;"Rejected"),IF(AC162="",0,AC162)-ROW()*0.0000001,-9999-ROW()*0.0000001)</f>
        <v/>
      </c>
      <c r="AO162" s="28" t="n"/>
      <c r="AP162" s="28" t="n"/>
      <c r="AQ162" s="29" t="n"/>
      <c r="AR162" s="29" t="n"/>
      <c r="AS162" s="23" t="n"/>
      <c r="AT162" s="29" t="n"/>
      <c r="AU162" s="29" t="n"/>
      <c r="AV162" s="29" t="n"/>
      <c r="AW162" s="25">
        <f>IF(OR(O162="",AV162=""),"",O162*AV162)</f>
        <v/>
      </c>
      <c r="AX162" s="23" t="n"/>
      <c r="AY162" s="23" t="n"/>
      <c r="AZ162" s="23" t="n"/>
      <c r="BA162" s="23" t="n"/>
      <c r="BB162" s="23" t="n"/>
      <c r="BC162" s="25" t="n"/>
      <c r="BD162" s="23" t="n"/>
      <c r="BE162" s="23">
        <f>IF(C162="","",IF(AND(ISNUMBER(P162),P162&gt;MAX_PRICE),"Price too high",IF(AND(ISNUMBER(AB162),AB162&lt;=2),"Quality risk",IF(AND(ISNUMBER(U162),U162&lt;=2),"Aesthetic mismatch",IF(AY162="High","Too fragile",IF(AND(ISNUMBER(R162),R162&lt;LOW_PROFIT_PCT),"Low profit",IF(AND(ISNUMBER(AT162),AT162&gt;MOQ_WARNING),"MOQ too high",IF(OR(AD162="Maybe",AD162="Price Review"),"Needs partner review",IF(AD162="Buy","Good candidate","")))))))))</f>
        <v/>
      </c>
      <c r="BF162" s="23" t="n"/>
      <c r="BG162" s="23" t="n"/>
      <c r="BH162" s="23" t="n"/>
      <c r="BI162" s="23" t="n"/>
      <c r="BJ162" s="23" t="n"/>
      <c r="BK162" s="23" t="n"/>
      <c r="BL162" s="23">
        <f>IF(C162="","",IF(AND(BG162="Yes",BH162="Yes",BI162="Yes",BJ162="Yes",BK162="Yes"),"Yes","No"))</f>
        <v/>
      </c>
      <c r="BM162" s="25" t="n"/>
      <c r="BN162" s="25" t="n"/>
      <c r="BO162" s="25">
        <f>IF(OR(BM162="",BN162=""),"",BM162+BN162)</f>
        <v/>
      </c>
      <c r="BP162" s="25" t="n"/>
      <c r="BQ162" s="25">
        <f>IF(OR(BP162="",BO162=""),"",BP162-BO162)</f>
        <v/>
      </c>
      <c r="BR162" s="26">
        <f>IF(OR(BP162="",BP162=0,BQ162=""),"",BQ162/BP162)</f>
        <v/>
      </c>
      <c r="BS162" s="24" t="n"/>
      <c r="BT162" s="29" t="n"/>
      <c r="BU162" s="29" t="n"/>
      <c r="BV162" s="23" t="n"/>
      <c r="BW162" s="23" t="n"/>
      <c r="BX162" s="29">
        <f>IF(OR(BT162="",BU162=""),"",BT162-BU162)</f>
        <v/>
      </c>
      <c r="BY162" s="23" t="n"/>
      <c r="BZ162" s="24" t="n"/>
      <c r="CA162" s="23" t="n"/>
      <c r="CB162" s="23" t="n"/>
    </row>
    <row r="163">
      <c r="A163" s="16">
        <f>IF(C163="","","AYN-"&amp;IFERROR(VLOOKUP(E163,CATEGORY_PREFIX_TABLE,2,FALSE),"OTH")&amp;"-"&amp;TEXT(ROW()-2,"0000"))</f>
        <v/>
      </c>
      <c r="B163" s="17" t="n"/>
      <c r="C163" s="16" t="n"/>
      <c r="D163" s="16" t="n"/>
      <c r="E163" s="16" t="n"/>
      <c r="F163" s="16" t="n"/>
      <c r="G163" s="16" t="n"/>
      <c r="H163" s="16" t="n"/>
      <c r="I163" s="16" t="n"/>
      <c r="J163" s="16" t="n"/>
      <c r="K163" s="18">
        <f>IF(I163="","",IF(J163="BDT",I163,IF(J163="USD",I163*USD_BDT,IF(J163="RMB",I163*RMB_BDT,""))))</f>
        <v/>
      </c>
      <c r="L163" s="18" t="n"/>
      <c r="M163" s="19" t="n"/>
      <c r="N163" s="18" t="n"/>
      <c r="O163" s="18">
        <f>IF(K163="","",K163+IFERROR(L163,0)+(K163*IF(M163="",CUSTOMS_PCT,M163))+IF(N163="",MISC_FEE,N163))</f>
        <v/>
      </c>
      <c r="P163" s="18">
        <f>IF(O163="","",ROUND(O163*(1+MARKUP_PCT),-1)-1)</f>
        <v/>
      </c>
      <c r="Q163" s="18">
        <f>IF(P163="","",P163-O163)</f>
        <v/>
      </c>
      <c r="R163" s="19">
        <f>IF(OR(P163="",P163=0),"",Q163/P163)</f>
        <v/>
      </c>
      <c r="S163" s="16" t="n"/>
      <c r="T163" s="16" t="n"/>
      <c r="U163" s="16" t="n"/>
      <c r="V163" s="16" t="n"/>
      <c r="W163" s="16" t="n"/>
      <c r="X163" s="16" t="n"/>
      <c r="Y163" s="16" t="n"/>
      <c r="Z163" s="16" t="n"/>
      <c r="AA163" s="16" t="n"/>
      <c r="AB163" s="16" t="n"/>
      <c r="AC163" s="20">
        <f>IF(COUNT(S163:AB163)&lt;10,"",(S163*W_FEMININE+T163*W_TREND+U163*W_AESTHETIC+V163*W_STYLE+W163*W_LIGHT+X163*W_REELS+Y163*W_GIFT+Z163*W_PRICEFIT+AA163*W_DEMAND+AB163*W_QUALITY)/5*100)</f>
        <v/>
      </c>
      <c r="AD163" s="16">
        <f>IF(P163="","",IF(P163&gt;HARD_REJECT_PRICE,"Reject",IF(P163&gt;MAX_PRICE,"Price Review",IF(AC163="","",IF(AND(AC163&gt;=BUY_THRESHOLD,OR(AB163&lt;=2,U163&lt;=2)),"Maybe",IF(AC163&gt;=BUY_THRESHOLD,"Buy",IF(AC163&gt;=MAYBE_THRESHOLD,"Maybe","Reject")))))))</f>
        <v/>
      </c>
      <c r="AE163" s="16" t="n"/>
      <c r="AF163" s="16" t="n"/>
      <c r="AG163" s="16" t="n"/>
      <c r="AH163" s="16" t="n"/>
      <c r="AI163" s="17" t="n"/>
      <c r="AJ163">
        <f>IF(AC163="",-9999-ROW()*0.0000001,AC163-ROW()*0.0000001)</f>
        <v/>
      </c>
      <c r="AK163">
        <f>IF(OR(AC163="",P163="",P163&gt;MAX_PRICE),-9999-ROW()*0.0000001,AC163-ROW()*0.0000001)</f>
        <v/>
      </c>
      <c r="AL163">
        <f>IF(AC163="",-9999-ROW()*0.0000001,X163*1000+AC163-ROW()*0.0000001)</f>
        <v/>
      </c>
      <c r="AM163">
        <f>IF(AC163="",-9999-ROW()*0.0000001,Y163*1000+AC163-ROW()*0.0000001)</f>
        <v/>
      </c>
      <c r="AN163">
        <f>IF(AND(OR(AD163="Maybe",AD163="Price Review"),AG163&lt;&gt;"Approved",AG163&lt;&gt;"Rejected"),IF(AC163="",0,AC163)-ROW()*0.0000001,-9999-ROW()*0.0000001)</f>
        <v/>
      </c>
      <c r="AO163" s="21" t="n"/>
      <c r="AP163" s="21" t="n"/>
      <c r="AQ163" s="22" t="n"/>
      <c r="AR163" s="22" t="n"/>
      <c r="AS163" s="16" t="n"/>
      <c r="AT163" s="22" t="n"/>
      <c r="AU163" s="22" t="n"/>
      <c r="AV163" s="22" t="n"/>
      <c r="AW163" s="18">
        <f>IF(OR(O163="",AV163=""),"",O163*AV163)</f>
        <v/>
      </c>
      <c r="AX163" s="16" t="n"/>
      <c r="AY163" s="16" t="n"/>
      <c r="AZ163" s="16" t="n"/>
      <c r="BA163" s="16" t="n"/>
      <c r="BB163" s="16" t="n"/>
      <c r="BC163" s="18" t="n"/>
      <c r="BD163" s="16" t="n"/>
      <c r="BE163" s="16">
        <f>IF(C163="","",IF(AND(ISNUMBER(P163),P163&gt;MAX_PRICE),"Price too high",IF(AND(ISNUMBER(AB163),AB163&lt;=2),"Quality risk",IF(AND(ISNUMBER(U163),U163&lt;=2),"Aesthetic mismatch",IF(AY163="High","Too fragile",IF(AND(ISNUMBER(R163),R163&lt;LOW_PROFIT_PCT),"Low profit",IF(AND(ISNUMBER(AT163),AT163&gt;MOQ_WARNING),"MOQ too high",IF(OR(AD163="Maybe",AD163="Price Review"),"Needs partner review",IF(AD163="Buy","Good candidate","")))))))))</f>
        <v/>
      </c>
      <c r="BF163" s="16" t="n"/>
      <c r="BG163" s="16" t="n"/>
      <c r="BH163" s="16" t="n"/>
      <c r="BI163" s="16" t="n"/>
      <c r="BJ163" s="16" t="n"/>
      <c r="BK163" s="16" t="n"/>
      <c r="BL163" s="16">
        <f>IF(C163="","",IF(AND(BG163="Yes",BH163="Yes",BI163="Yes",BJ163="Yes",BK163="Yes"),"Yes","No"))</f>
        <v/>
      </c>
      <c r="BM163" s="18" t="n"/>
      <c r="BN163" s="18" t="n"/>
      <c r="BO163" s="18">
        <f>IF(OR(BM163="",BN163=""),"",BM163+BN163)</f>
        <v/>
      </c>
      <c r="BP163" s="18" t="n"/>
      <c r="BQ163" s="18">
        <f>IF(OR(BP163="",BO163=""),"",BP163-BO163)</f>
        <v/>
      </c>
      <c r="BR163" s="19">
        <f>IF(OR(BP163="",BP163=0,BQ163=""),"",BQ163/BP163)</f>
        <v/>
      </c>
      <c r="BS163" s="17" t="n"/>
      <c r="BT163" s="22" t="n"/>
      <c r="BU163" s="22" t="n"/>
      <c r="BV163" s="16" t="n"/>
      <c r="BW163" s="16" t="n"/>
      <c r="BX163" s="22">
        <f>IF(OR(BT163="",BU163=""),"",BT163-BU163)</f>
        <v/>
      </c>
      <c r="BY163" s="16" t="n"/>
      <c r="BZ163" s="17" t="n"/>
      <c r="CA163" s="16" t="n"/>
      <c r="CB163" s="16" t="n"/>
    </row>
    <row r="164">
      <c r="A164" s="23">
        <f>IF(C164="","","AYN-"&amp;IFERROR(VLOOKUP(E164,CATEGORY_PREFIX_TABLE,2,FALSE),"OTH")&amp;"-"&amp;TEXT(ROW()-2,"0000"))</f>
        <v/>
      </c>
      <c r="B164" s="24" t="n"/>
      <c r="C164" s="23" t="n"/>
      <c r="D164" s="23" t="n"/>
      <c r="E164" s="23" t="n"/>
      <c r="F164" s="23" t="n"/>
      <c r="G164" s="23" t="n"/>
      <c r="H164" s="23" t="n"/>
      <c r="I164" s="23" t="n"/>
      <c r="J164" s="23" t="n"/>
      <c r="K164" s="25">
        <f>IF(I164="","",IF(J164="BDT",I164,IF(J164="USD",I164*USD_BDT,IF(J164="RMB",I164*RMB_BDT,""))))</f>
        <v/>
      </c>
      <c r="L164" s="25" t="n"/>
      <c r="M164" s="26" t="n"/>
      <c r="N164" s="25" t="n"/>
      <c r="O164" s="25">
        <f>IF(K164="","",K164+IFERROR(L164,0)+(K164*IF(M164="",CUSTOMS_PCT,M164))+IF(N164="",MISC_FEE,N164))</f>
        <v/>
      </c>
      <c r="P164" s="25">
        <f>IF(O164="","",ROUND(O164*(1+MARKUP_PCT),-1)-1)</f>
        <v/>
      </c>
      <c r="Q164" s="25">
        <f>IF(P164="","",P164-O164)</f>
        <v/>
      </c>
      <c r="R164" s="26">
        <f>IF(OR(P164="",P164=0),"",Q164/P164)</f>
        <v/>
      </c>
      <c r="S164" s="23" t="n"/>
      <c r="T164" s="23" t="n"/>
      <c r="U164" s="23" t="n"/>
      <c r="V164" s="23" t="n"/>
      <c r="W164" s="23" t="n"/>
      <c r="X164" s="23" t="n"/>
      <c r="Y164" s="23" t="n"/>
      <c r="Z164" s="23" t="n"/>
      <c r="AA164" s="23" t="n"/>
      <c r="AB164" s="23" t="n"/>
      <c r="AC164" s="27">
        <f>IF(COUNT(S164:AB164)&lt;10,"",(S164*W_FEMININE+T164*W_TREND+U164*W_AESTHETIC+V164*W_STYLE+W164*W_LIGHT+X164*W_REELS+Y164*W_GIFT+Z164*W_PRICEFIT+AA164*W_DEMAND+AB164*W_QUALITY)/5*100)</f>
        <v/>
      </c>
      <c r="AD164" s="23">
        <f>IF(P164="","",IF(P164&gt;HARD_REJECT_PRICE,"Reject",IF(P164&gt;MAX_PRICE,"Price Review",IF(AC164="","",IF(AND(AC164&gt;=BUY_THRESHOLD,OR(AB164&lt;=2,U164&lt;=2)),"Maybe",IF(AC164&gt;=BUY_THRESHOLD,"Buy",IF(AC164&gt;=MAYBE_THRESHOLD,"Maybe","Reject")))))))</f>
        <v/>
      </c>
      <c r="AE164" s="23" t="n"/>
      <c r="AF164" s="23" t="n"/>
      <c r="AG164" s="23" t="n"/>
      <c r="AH164" s="23" t="n"/>
      <c r="AI164" s="24" t="n"/>
      <c r="AJ164">
        <f>IF(AC164="",-9999-ROW()*0.0000001,AC164-ROW()*0.0000001)</f>
        <v/>
      </c>
      <c r="AK164">
        <f>IF(OR(AC164="",P164="",P164&gt;MAX_PRICE),-9999-ROW()*0.0000001,AC164-ROW()*0.0000001)</f>
        <v/>
      </c>
      <c r="AL164">
        <f>IF(AC164="",-9999-ROW()*0.0000001,X164*1000+AC164-ROW()*0.0000001)</f>
        <v/>
      </c>
      <c r="AM164">
        <f>IF(AC164="",-9999-ROW()*0.0000001,Y164*1000+AC164-ROW()*0.0000001)</f>
        <v/>
      </c>
      <c r="AN164">
        <f>IF(AND(OR(AD164="Maybe",AD164="Price Review"),AG164&lt;&gt;"Approved",AG164&lt;&gt;"Rejected"),IF(AC164="",0,AC164)-ROW()*0.0000001,-9999-ROW()*0.0000001)</f>
        <v/>
      </c>
      <c r="AO164" s="28" t="n"/>
      <c r="AP164" s="28" t="n"/>
      <c r="AQ164" s="29" t="n"/>
      <c r="AR164" s="29" t="n"/>
      <c r="AS164" s="23" t="n"/>
      <c r="AT164" s="29" t="n"/>
      <c r="AU164" s="29" t="n"/>
      <c r="AV164" s="29" t="n"/>
      <c r="AW164" s="25">
        <f>IF(OR(O164="",AV164=""),"",O164*AV164)</f>
        <v/>
      </c>
      <c r="AX164" s="23" t="n"/>
      <c r="AY164" s="23" t="n"/>
      <c r="AZ164" s="23" t="n"/>
      <c r="BA164" s="23" t="n"/>
      <c r="BB164" s="23" t="n"/>
      <c r="BC164" s="25" t="n"/>
      <c r="BD164" s="23" t="n"/>
      <c r="BE164" s="23">
        <f>IF(C164="","",IF(AND(ISNUMBER(P164),P164&gt;MAX_PRICE),"Price too high",IF(AND(ISNUMBER(AB164),AB164&lt;=2),"Quality risk",IF(AND(ISNUMBER(U164),U164&lt;=2),"Aesthetic mismatch",IF(AY164="High","Too fragile",IF(AND(ISNUMBER(R164),R164&lt;LOW_PROFIT_PCT),"Low profit",IF(AND(ISNUMBER(AT164),AT164&gt;MOQ_WARNING),"MOQ too high",IF(OR(AD164="Maybe",AD164="Price Review"),"Needs partner review",IF(AD164="Buy","Good candidate","")))))))))</f>
        <v/>
      </c>
      <c r="BF164" s="23" t="n"/>
      <c r="BG164" s="23" t="n"/>
      <c r="BH164" s="23" t="n"/>
      <c r="BI164" s="23" t="n"/>
      <c r="BJ164" s="23" t="n"/>
      <c r="BK164" s="23" t="n"/>
      <c r="BL164" s="23">
        <f>IF(C164="","",IF(AND(BG164="Yes",BH164="Yes",BI164="Yes",BJ164="Yes",BK164="Yes"),"Yes","No"))</f>
        <v/>
      </c>
      <c r="BM164" s="25" t="n"/>
      <c r="BN164" s="25" t="n"/>
      <c r="BO164" s="25">
        <f>IF(OR(BM164="",BN164=""),"",BM164+BN164)</f>
        <v/>
      </c>
      <c r="BP164" s="25" t="n"/>
      <c r="BQ164" s="25">
        <f>IF(OR(BP164="",BO164=""),"",BP164-BO164)</f>
        <v/>
      </c>
      <c r="BR164" s="26">
        <f>IF(OR(BP164="",BP164=0,BQ164=""),"",BQ164/BP164)</f>
        <v/>
      </c>
      <c r="BS164" s="24" t="n"/>
      <c r="BT164" s="29" t="n"/>
      <c r="BU164" s="29" t="n"/>
      <c r="BV164" s="23" t="n"/>
      <c r="BW164" s="23" t="n"/>
      <c r="BX164" s="29">
        <f>IF(OR(BT164="",BU164=""),"",BT164-BU164)</f>
        <v/>
      </c>
      <c r="BY164" s="23" t="n"/>
      <c r="BZ164" s="24" t="n"/>
      <c r="CA164" s="23" t="n"/>
      <c r="CB164" s="23" t="n"/>
    </row>
    <row r="165">
      <c r="A165" s="16">
        <f>IF(C165="","","AYN-"&amp;IFERROR(VLOOKUP(E165,CATEGORY_PREFIX_TABLE,2,FALSE),"OTH")&amp;"-"&amp;TEXT(ROW()-2,"0000"))</f>
        <v/>
      </c>
      <c r="B165" s="17" t="n"/>
      <c r="C165" s="16" t="n"/>
      <c r="D165" s="16" t="n"/>
      <c r="E165" s="16" t="n"/>
      <c r="F165" s="16" t="n"/>
      <c r="G165" s="16" t="n"/>
      <c r="H165" s="16" t="n"/>
      <c r="I165" s="16" t="n"/>
      <c r="J165" s="16" t="n"/>
      <c r="K165" s="18">
        <f>IF(I165="","",IF(J165="BDT",I165,IF(J165="USD",I165*USD_BDT,IF(J165="RMB",I165*RMB_BDT,""))))</f>
        <v/>
      </c>
      <c r="L165" s="18" t="n"/>
      <c r="M165" s="19" t="n"/>
      <c r="N165" s="18" t="n"/>
      <c r="O165" s="18">
        <f>IF(K165="","",K165+IFERROR(L165,0)+(K165*IF(M165="",CUSTOMS_PCT,M165))+IF(N165="",MISC_FEE,N165))</f>
        <v/>
      </c>
      <c r="P165" s="18">
        <f>IF(O165="","",ROUND(O165*(1+MARKUP_PCT),-1)-1)</f>
        <v/>
      </c>
      <c r="Q165" s="18">
        <f>IF(P165="","",P165-O165)</f>
        <v/>
      </c>
      <c r="R165" s="19">
        <f>IF(OR(P165="",P165=0),"",Q165/P165)</f>
        <v/>
      </c>
      <c r="S165" s="16" t="n"/>
      <c r="T165" s="16" t="n"/>
      <c r="U165" s="16" t="n"/>
      <c r="V165" s="16" t="n"/>
      <c r="W165" s="16" t="n"/>
      <c r="X165" s="16" t="n"/>
      <c r="Y165" s="16" t="n"/>
      <c r="Z165" s="16" t="n"/>
      <c r="AA165" s="16" t="n"/>
      <c r="AB165" s="16" t="n"/>
      <c r="AC165" s="20">
        <f>IF(COUNT(S165:AB165)&lt;10,"",(S165*W_FEMININE+T165*W_TREND+U165*W_AESTHETIC+V165*W_STYLE+W165*W_LIGHT+X165*W_REELS+Y165*W_GIFT+Z165*W_PRICEFIT+AA165*W_DEMAND+AB165*W_QUALITY)/5*100)</f>
        <v/>
      </c>
      <c r="AD165" s="16">
        <f>IF(P165="","",IF(P165&gt;HARD_REJECT_PRICE,"Reject",IF(P165&gt;MAX_PRICE,"Price Review",IF(AC165="","",IF(AND(AC165&gt;=BUY_THRESHOLD,OR(AB165&lt;=2,U165&lt;=2)),"Maybe",IF(AC165&gt;=BUY_THRESHOLD,"Buy",IF(AC165&gt;=MAYBE_THRESHOLD,"Maybe","Reject")))))))</f>
        <v/>
      </c>
      <c r="AE165" s="16" t="n"/>
      <c r="AF165" s="16" t="n"/>
      <c r="AG165" s="16" t="n"/>
      <c r="AH165" s="16" t="n"/>
      <c r="AI165" s="17" t="n"/>
      <c r="AJ165">
        <f>IF(AC165="",-9999-ROW()*0.0000001,AC165-ROW()*0.0000001)</f>
        <v/>
      </c>
      <c r="AK165">
        <f>IF(OR(AC165="",P165="",P165&gt;MAX_PRICE),-9999-ROW()*0.0000001,AC165-ROW()*0.0000001)</f>
        <v/>
      </c>
      <c r="AL165">
        <f>IF(AC165="",-9999-ROW()*0.0000001,X165*1000+AC165-ROW()*0.0000001)</f>
        <v/>
      </c>
      <c r="AM165">
        <f>IF(AC165="",-9999-ROW()*0.0000001,Y165*1000+AC165-ROW()*0.0000001)</f>
        <v/>
      </c>
      <c r="AN165">
        <f>IF(AND(OR(AD165="Maybe",AD165="Price Review"),AG165&lt;&gt;"Approved",AG165&lt;&gt;"Rejected"),IF(AC165="",0,AC165)-ROW()*0.0000001,-9999-ROW()*0.0000001)</f>
        <v/>
      </c>
      <c r="AO165" s="21" t="n"/>
      <c r="AP165" s="21" t="n"/>
      <c r="AQ165" s="22" t="n"/>
      <c r="AR165" s="22" t="n"/>
      <c r="AS165" s="16" t="n"/>
      <c r="AT165" s="22" t="n"/>
      <c r="AU165" s="22" t="n"/>
      <c r="AV165" s="22" t="n"/>
      <c r="AW165" s="18">
        <f>IF(OR(O165="",AV165=""),"",O165*AV165)</f>
        <v/>
      </c>
      <c r="AX165" s="16" t="n"/>
      <c r="AY165" s="16" t="n"/>
      <c r="AZ165" s="16" t="n"/>
      <c r="BA165" s="16" t="n"/>
      <c r="BB165" s="16" t="n"/>
      <c r="BC165" s="18" t="n"/>
      <c r="BD165" s="16" t="n"/>
      <c r="BE165" s="16">
        <f>IF(C165="","",IF(AND(ISNUMBER(P165),P165&gt;MAX_PRICE),"Price too high",IF(AND(ISNUMBER(AB165),AB165&lt;=2),"Quality risk",IF(AND(ISNUMBER(U165),U165&lt;=2),"Aesthetic mismatch",IF(AY165="High","Too fragile",IF(AND(ISNUMBER(R165),R165&lt;LOW_PROFIT_PCT),"Low profit",IF(AND(ISNUMBER(AT165),AT165&gt;MOQ_WARNING),"MOQ too high",IF(OR(AD165="Maybe",AD165="Price Review"),"Needs partner review",IF(AD165="Buy","Good candidate","")))))))))</f>
        <v/>
      </c>
      <c r="BF165" s="16" t="n"/>
      <c r="BG165" s="16" t="n"/>
      <c r="BH165" s="16" t="n"/>
      <c r="BI165" s="16" t="n"/>
      <c r="BJ165" s="16" t="n"/>
      <c r="BK165" s="16" t="n"/>
      <c r="BL165" s="16">
        <f>IF(C165="","",IF(AND(BG165="Yes",BH165="Yes",BI165="Yes",BJ165="Yes",BK165="Yes"),"Yes","No"))</f>
        <v/>
      </c>
      <c r="BM165" s="18" t="n"/>
      <c r="BN165" s="18" t="n"/>
      <c r="BO165" s="18">
        <f>IF(OR(BM165="",BN165=""),"",BM165+BN165)</f>
        <v/>
      </c>
      <c r="BP165" s="18" t="n"/>
      <c r="BQ165" s="18">
        <f>IF(OR(BP165="",BO165=""),"",BP165-BO165)</f>
        <v/>
      </c>
      <c r="BR165" s="19">
        <f>IF(OR(BP165="",BP165=0,BQ165=""),"",BQ165/BP165)</f>
        <v/>
      </c>
      <c r="BS165" s="17" t="n"/>
      <c r="BT165" s="22" t="n"/>
      <c r="BU165" s="22" t="n"/>
      <c r="BV165" s="16" t="n"/>
      <c r="BW165" s="16" t="n"/>
      <c r="BX165" s="22">
        <f>IF(OR(BT165="",BU165=""),"",BT165-BU165)</f>
        <v/>
      </c>
      <c r="BY165" s="16" t="n"/>
      <c r="BZ165" s="17" t="n"/>
      <c r="CA165" s="16" t="n"/>
      <c r="CB165" s="16" t="n"/>
    </row>
    <row r="166">
      <c r="A166" s="23">
        <f>IF(C166="","","AYN-"&amp;IFERROR(VLOOKUP(E166,CATEGORY_PREFIX_TABLE,2,FALSE),"OTH")&amp;"-"&amp;TEXT(ROW()-2,"0000"))</f>
        <v/>
      </c>
      <c r="B166" s="24" t="n"/>
      <c r="C166" s="23" t="n"/>
      <c r="D166" s="23" t="n"/>
      <c r="E166" s="23" t="n"/>
      <c r="F166" s="23" t="n"/>
      <c r="G166" s="23" t="n"/>
      <c r="H166" s="23" t="n"/>
      <c r="I166" s="23" t="n"/>
      <c r="J166" s="23" t="n"/>
      <c r="K166" s="25">
        <f>IF(I166="","",IF(J166="BDT",I166,IF(J166="USD",I166*USD_BDT,IF(J166="RMB",I166*RMB_BDT,""))))</f>
        <v/>
      </c>
      <c r="L166" s="25" t="n"/>
      <c r="M166" s="26" t="n"/>
      <c r="N166" s="25" t="n"/>
      <c r="O166" s="25">
        <f>IF(K166="","",K166+IFERROR(L166,0)+(K166*IF(M166="",CUSTOMS_PCT,M166))+IF(N166="",MISC_FEE,N166))</f>
        <v/>
      </c>
      <c r="P166" s="25">
        <f>IF(O166="","",ROUND(O166*(1+MARKUP_PCT),-1)-1)</f>
        <v/>
      </c>
      <c r="Q166" s="25">
        <f>IF(P166="","",P166-O166)</f>
        <v/>
      </c>
      <c r="R166" s="26">
        <f>IF(OR(P166="",P166=0),"",Q166/P166)</f>
        <v/>
      </c>
      <c r="S166" s="23" t="n"/>
      <c r="T166" s="23" t="n"/>
      <c r="U166" s="23" t="n"/>
      <c r="V166" s="23" t="n"/>
      <c r="W166" s="23" t="n"/>
      <c r="X166" s="23" t="n"/>
      <c r="Y166" s="23" t="n"/>
      <c r="Z166" s="23" t="n"/>
      <c r="AA166" s="23" t="n"/>
      <c r="AB166" s="23" t="n"/>
      <c r="AC166" s="27">
        <f>IF(COUNT(S166:AB166)&lt;10,"",(S166*W_FEMININE+T166*W_TREND+U166*W_AESTHETIC+V166*W_STYLE+W166*W_LIGHT+X166*W_REELS+Y166*W_GIFT+Z166*W_PRICEFIT+AA166*W_DEMAND+AB166*W_QUALITY)/5*100)</f>
        <v/>
      </c>
      <c r="AD166" s="23">
        <f>IF(P166="","",IF(P166&gt;HARD_REJECT_PRICE,"Reject",IF(P166&gt;MAX_PRICE,"Price Review",IF(AC166="","",IF(AND(AC166&gt;=BUY_THRESHOLD,OR(AB166&lt;=2,U166&lt;=2)),"Maybe",IF(AC166&gt;=BUY_THRESHOLD,"Buy",IF(AC166&gt;=MAYBE_THRESHOLD,"Maybe","Reject")))))))</f>
        <v/>
      </c>
      <c r="AE166" s="23" t="n"/>
      <c r="AF166" s="23" t="n"/>
      <c r="AG166" s="23" t="n"/>
      <c r="AH166" s="23" t="n"/>
      <c r="AI166" s="24" t="n"/>
      <c r="AJ166">
        <f>IF(AC166="",-9999-ROW()*0.0000001,AC166-ROW()*0.0000001)</f>
        <v/>
      </c>
      <c r="AK166">
        <f>IF(OR(AC166="",P166="",P166&gt;MAX_PRICE),-9999-ROW()*0.0000001,AC166-ROW()*0.0000001)</f>
        <v/>
      </c>
      <c r="AL166">
        <f>IF(AC166="",-9999-ROW()*0.0000001,X166*1000+AC166-ROW()*0.0000001)</f>
        <v/>
      </c>
      <c r="AM166">
        <f>IF(AC166="",-9999-ROW()*0.0000001,Y166*1000+AC166-ROW()*0.0000001)</f>
        <v/>
      </c>
      <c r="AN166">
        <f>IF(AND(OR(AD166="Maybe",AD166="Price Review"),AG166&lt;&gt;"Approved",AG166&lt;&gt;"Rejected"),IF(AC166="",0,AC166)-ROW()*0.0000001,-9999-ROW()*0.0000001)</f>
        <v/>
      </c>
      <c r="AO166" s="28" t="n"/>
      <c r="AP166" s="28" t="n"/>
      <c r="AQ166" s="29" t="n"/>
      <c r="AR166" s="29" t="n"/>
      <c r="AS166" s="23" t="n"/>
      <c r="AT166" s="29" t="n"/>
      <c r="AU166" s="29" t="n"/>
      <c r="AV166" s="29" t="n"/>
      <c r="AW166" s="25">
        <f>IF(OR(O166="",AV166=""),"",O166*AV166)</f>
        <v/>
      </c>
      <c r="AX166" s="23" t="n"/>
      <c r="AY166" s="23" t="n"/>
      <c r="AZ166" s="23" t="n"/>
      <c r="BA166" s="23" t="n"/>
      <c r="BB166" s="23" t="n"/>
      <c r="BC166" s="25" t="n"/>
      <c r="BD166" s="23" t="n"/>
      <c r="BE166" s="23">
        <f>IF(C166="","",IF(AND(ISNUMBER(P166),P166&gt;MAX_PRICE),"Price too high",IF(AND(ISNUMBER(AB166),AB166&lt;=2),"Quality risk",IF(AND(ISNUMBER(U166),U166&lt;=2),"Aesthetic mismatch",IF(AY166="High","Too fragile",IF(AND(ISNUMBER(R166),R166&lt;LOW_PROFIT_PCT),"Low profit",IF(AND(ISNUMBER(AT166),AT166&gt;MOQ_WARNING),"MOQ too high",IF(OR(AD166="Maybe",AD166="Price Review"),"Needs partner review",IF(AD166="Buy","Good candidate","")))))))))</f>
        <v/>
      </c>
      <c r="BF166" s="23" t="n"/>
      <c r="BG166" s="23" t="n"/>
      <c r="BH166" s="23" t="n"/>
      <c r="BI166" s="23" t="n"/>
      <c r="BJ166" s="23" t="n"/>
      <c r="BK166" s="23" t="n"/>
      <c r="BL166" s="23">
        <f>IF(C166="","",IF(AND(BG166="Yes",BH166="Yes",BI166="Yes",BJ166="Yes",BK166="Yes"),"Yes","No"))</f>
        <v/>
      </c>
      <c r="BM166" s="25" t="n"/>
      <c r="BN166" s="25" t="n"/>
      <c r="BO166" s="25">
        <f>IF(OR(BM166="",BN166=""),"",BM166+BN166)</f>
        <v/>
      </c>
      <c r="BP166" s="25" t="n"/>
      <c r="BQ166" s="25">
        <f>IF(OR(BP166="",BO166=""),"",BP166-BO166)</f>
        <v/>
      </c>
      <c r="BR166" s="26">
        <f>IF(OR(BP166="",BP166=0,BQ166=""),"",BQ166/BP166)</f>
        <v/>
      </c>
      <c r="BS166" s="24" t="n"/>
      <c r="BT166" s="29" t="n"/>
      <c r="BU166" s="29" t="n"/>
      <c r="BV166" s="23" t="n"/>
      <c r="BW166" s="23" t="n"/>
      <c r="BX166" s="29">
        <f>IF(OR(BT166="",BU166=""),"",BT166-BU166)</f>
        <v/>
      </c>
      <c r="BY166" s="23" t="n"/>
      <c r="BZ166" s="24" t="n"/>
      <c r="CA166" s="23" t="n"/>
      <c r="CB166" s="23" t="n"/>
    </row>
    <row r="167">
      <c r="A167" s="16">
        <f>IF(C167="","","AYN-"&amp;IFERROR(VLOOKUP(E167,CATEGORY_PREFIX_TABLE,2,FALSE),"OTH")&amp;"-"&amp;TEXT(ROW()-2,"0000"))</f>
        <v/>
      </c>
      <c r="B167" s="17" t="n"/>
      <c r="C167" s="16" t="n"/>
      <c r="D167" s="16" t="n"/>
      <c r="E167" s="16" t="n"/>
      <c r="F167" s="16" t="n"/>
      <c r="G167" s="16" t="n"/>
      <c r="H167" s="16" t="n"/>
      <c r="I167" s="16" t="n"/>
      <c r="J167" s="16" t="n"/>
      <c r="K167" s="18">
        <f>IF(I167="","",IF(J167="BDT",I167,IF(J167="USD",I167*USD_BDT,IF(J167="RMB",I167*RMB_BDT,""))))</f>
        <v/>
      </c>
      <c r="L167" s="18" t="n"/>
      <c r="M167" s="19" t="n"/>
      <c r="N167" s="18" t="n"/>
      <c r="O167" s="18">
        <f>IF(K167="","",K167+IFERROR(L167,0)+(K167*IF(M167="",CUSTOMS_PCT,M167))+IF(N167="",MISC_FEE,N167))</f>
        <v/>
      </c>
      <c r="P167" s="18">
        <f>IF(O167="","",ROUND(O167*(1+MARKUP_PCT),-1)-1)</f>
        <v/>
      </c>
      <c r="Q167" s="18">
        <f>IF(P167="","",P167-O167)</f>
        <v/>
      </c>
      <c r="R167" s="19">
        <f>IF(OR(P167="",P167=0),"",Q167/P167)</f>
        <v/>
      </c>
      <c r="S167" s="16" t="n"/>
      <c r="T167" s="16" t="n"/>
      <c r="U167" s="16" t="n"/>
      <c r="V167" s="16" t="n"/>
      <c r="W167" s="16" t="n"/>
      <c r="X167" s="16" t="n"/>
      <c r="Y167" s="16" t="n"/>
      <c r="Z167" s="16" t="n"/>
      <c r="AA167" s="16" t="n"/>
      <c r="AB167" s="16" t="n"/>
      <c r="AC167" s="20">
        <f>IF(COUNT(S167:AB167)&lt;10,"",(S167*W_FEMININE+T167*W_TREND+U167*W_AESTHETIC+V167*W_STYLE+W167*W_LIGHT+X167*W_REELS+Y167*W_GIFT+Z167*W_PRICEFIT+AA167*W_DEMAND+AB167*W_QUALITY)/5*100)</f>
        <v/>
      </c>
      <c r="AD167" s="16">
        <f>IF(P167="","",IF(P167&gt;HARD_REJECT_PRICE,"Reject",IF(P167&gt;MAX_PRICE,"Price Review",IF(AC167="","",IF(AND(AC167&gt;=BUY_THRESHOLD,OR(AB167&lt;=2,U167&lt;=2)),"Maybe",IF(AC167&gt;=BUY_THRESHOLD,"Buy",IF(AC167&gt;=MAYBE_THRESHOLD,"Maybe","Reject")))))))</f>
        <v/>
      </c>
      <c r="AE167" s="16" t="n"/>
      <c r="AF167" s="16" t="n"/>
      <c r="AG167" s="16" t="n"/>
      <c r="AH167" s="16" t="n"/>
      <c r="AI167" s="17" t="n"/>
      <c r="AJ167">
        <f>IF(AC167="",-9999-ROW()*0.0000001,AC167-ROW()*0.0000001)</f>
        <v/>
      </c>
      <c r="AK167">
        <f>IF(OR(AC167="",P167="",P167&gt;MAX_PRICE),-9999-ROW()*0.0000001,AC167-ROW()*0.0000001)</f>
        <v/>
      </c>
      <c r="AL167">
        <f>IF(AC167="",-9999-ROW()*0.0000001,X167*1000+AC167-ROW()*0.0000001)</f>
        <v/>
      </c>
      <c r="AM167">
        <f>IF(AC167="",-9999-ROW()*0.0000001,Y167*1000+AC167-ROW()*0.0000001)</f>
        <v/>
      </c>
      <c r="AN167">
        <f>IF(AND(OR(AD167="Maybe",AD167="Price Review"),AG167&lt;&gt;"Approved",AG167&lt;&gt;"Rejected"),IF(AC167="",0,AC167)-ROW()*0.0000001,-9999-ROW()*0.0000001)</f>
        <v/>
      </c>
      <c r="AO167" s="21" t="n"/>
      <c r="AP167" s="21" t="n"/>
      <c r="AQ167" s="22" t="n"/>
      <c r="AR167" s="22" t="n"/>
      <c r="AS167" s="16" t="n"/>
      <c r="AT167" s="22" t="n"/>
      <c r="AU167" s="22" t="n"/>
      <c r="AV167" s="22" t="n"/>
      <c r="AW167" s="18">
        <f>IF(OR(O167="",AV167=""),"",O167*AV167)</f>
        <v/>
      </c>
      <c r="AX167" s="16" t="n"/>
      <c r="AY167" s="16" t="n"/>
      <c r="AZ167" s="16" t="n"/>
      <c r="BA167" s="16" t="n"/>
      <c r="BB167" s="16" t="n"/>
      <c r="BC167" s="18" t="n"/>
      <c r="BD167" s="16" t="n"/>
      <c r="BE167" s="16">
        <f>IF(C167="","",IF(AND(ISNUMBER(P167),P167&gt;MAX_PRICE),"Price too high",IF(AND(ISNUMBER(AB167),AB167&lt;=2),"Quality risk",IF(AND(ISNUMBER(U167),U167&lt;=2),"Aesthetic mismatch",IF(AY167="High","Too fragile",IF(AND(ISNUMBER(R167),R167&lt;LOW_PROFIT_PCT),"Low profit",IF(AND(ISNUMBER(AT167),AT167&gt;MOQ_WARNING),"MOQ too high",IF(OR(AD167="Maybe",AD167="Price Review"),"Needs partner review",IF(AD167="Buy","Good candidate","")))))))))</f>
        <v/>
      </c>
      <c r="BF167" s="16" t="n"/>
      <c r="BG167" s="16" t="n"/>
      <c r="BH167" s="16" t="n"/>
      <c r="BI167" s="16" t="n"/>
      <c r="BJ167" s="16" t="n"/>
      <c r="BK167" s="16" t="n"/>
      <c r="BL167" s="16">
        <f>IF(C167="","",IF(AND(BG167="Yes",BH167="Yes",BI167="Yes",BJ167="Yes",BK167="Yes"),"Yes","No"))</f>
        <v/>
      </c>
      <c r="BM167" s="18" t="n"/>
      <c r="BN167" s="18" t="n"/>
      <c r="BO167" s="18">
        <f>IF(OR(BM167="",BN167=""),"",BM167+BN167)</f>
        <v/>
      </c>
      <c r="BP167" s="18" t="n"/>
      <c r="BQ167" s="18">
        <f>IF(OR(BP167="",BO167=""),"",BP167-BO167)</f>
        <v/>
      </c>
      <c r="BR167" s="19">
        <f>IF(OR(BP167="",BP167=0,BQ167=""),"",BQ167/BP167)</f>
        <v/>
      </c>
      <c r="BS167" s="17" t="n"/>
      <c r="BT167" s="22" t="n"/>
      <c r="BU167" s="22" t="n"/>
      <c r="BV167" s="16" t="n"/>
      <c r="BW167" s="16" t="n"/>
      <c r="BX167" s="22">
        <f>IF(OR(BT167="",BU167=""),"",BT167-BU167)</f>
        <v/>
      </c>
      <c r="BY167" s="16" t="n"/>
      <c r="BZ167" s="17" t="n"/>
      <c r="CA167" s="16" t="n"/>
      <c r="CB167" s="16" t="n"/>
    </row>
    <row r="168">
      <c r="A168" s="23">
        <f>IF(C168="","","AYN-"&amp;IFERROR(VLOOKUP(E168,CATEGORY_PREFIX_TABLE,2,FALSE),"OTH")&amp;"-"&amp;TEXT(ROW()-2,"0000"))</f>
        <v/>
      </c>
      <c r="B168" s="24" t="n"/>
      <c r="C168" s="23" t="n"/>
      <c r="D168" s="23" t="n"/>
      <c r="E168" s="23" t="n"/>
      <c r="F168" s="23" t="n"/>
      <c r="G168" s="23" t="n"/>
      <c r="H168" s="23" t="n"/>
      <c r="I168" s="23" t="n"/>
      <c r="J168" s="23" t="n"/>
      <c r="K168" s="25">
        <f>IF(I168="","",IF(J168="BDT",I168,IF(J168="USD",I168*USD_BDT,IF(J168="RMB",I168*RMB_BDT,""))))</f>
        <v/>
      </c>
      <c r="L168" s="25" t="n"/>
      <c r="M168" s="26" t="n"/>
      <c r="N168" s="25" t="n"/>
      <c r="O168" s="25">
        <f>IF(K168="","",K168+IFERROR(L168,0)+(K168*IF(M168="",CUSTOMS_PCT,M168))+IF(N168="",MISC_FEE,N168))</f>
        <v/>
      </c>
      <c r="P168" s="25">
        <f>IF(O168="","",ROUND(O168*(1+MARKUP_PCT),-1)-1)</f>
        <v/>
      </c>
      <c r="Q168" s="25">
        <f>IF(P168="","",P168-O168)</f>
        <v/>
      </c>
      <c r="R168" s="26">
        <f>IF(OR(P168="",P168=0),"",Q168/P168)</f>
        <v/>
      </c>
      <c r="S168" s="23" t="n"/>
      <c r="T168" s="23" t="n"/>
      <c r="U168" s="23" t="n"/>
      <c r="V168" s="23" t="n"/>
      <c r="W168" s="23" t="n"/>
      <c r="X168" s="23" t="n"/>
      <c r="Y168" s="23" t="n"/>
      <c r="Z168" s="23" t="n"/>
      <c r="AA168" s="23" t="n"/>
      <c r="AB168" s="23" t="n"/>
      <c r="AC168" s="27">
        <f>IF(COUNT(S168:AB168)&lt;10,"",(S168*W_FEMININE+T168*W_TREND+U168*W_AESTHETIC+V168*W_STYLE+W168*W_LIGHT+X168*W_REELS+Y168*W_GIFT+Z168*W_PRICEFIT+AA168*W_DEMAND+AB168*W_QUALITY)/5*100)</f>
        <v/>
      </c>
      <c r="AD168" s="23">
        <f>IF(P168="","",IF(P168&gt;HARD_REJECT_PRICE,"Reject",IF(P168&gt;MAX_PRICE,"Price Review",IF(AC168="","",IF(AND(AC168&gt;=BUY_THRESHOLD,OR(AB168&lt;=2,U168&lt;=2)),"Maybe",IF(AC168&gt;=BUY_THRESHOLD,"Buy",IF(AC168&gt;=MAYBE_THRESHOLD,"Maybe","Reject")))))))</f>
        <v/>
      </c>
      <c r="AE168" s="23" t="n"/>
      <c r="AF168" s="23" t="n"/>
      <c r="AG168" s="23" t="n"/>
      <c r="AH168" s="23" t="n"/>
      <c r="AI168" s="24" t="n"/>
      <c r="AJ168">
        <f>IF(AC168="",-9999-ROW()*0.0000001,AC168-ROW()*0.0000001)</f>
        <v/>
      </c>
      <c r="AK168">
        <f>IF(OR(AC168="",P168="",P168&gt;MAX_PRICE),-9999-ROW()*0.0000001,AC168-ROW()*0.0000001)</f>
        <v/>
      </c>
      <c r="AL168">
        <f>IF(AC168="",-9999-ROW()*0.0000001,X168*1000+AC168-ROW()*0.0000001)</f>
        <v/>
      </c>
      <c r="AM168">
        <f>IF(AC168="",-9999-ROW()*0.0000001,Y168*1000+AC168-ROW()*0.0000001)</f>
        <v/>
      </c>
      <c r="AN168">
        <f>IF(AND(OR(AD168="Maybe",AD168="Price Review"),AG168&lt;&gt;"Approved",AG168&lt;&gt;"Rejected"),IF(AC168="",0,AC168)-ROW()*0.0000001,-9999-ROW()*0.0000001)</f>
        <v/>
      </c>
      <c r="AO168" s="28" t="n"/>
      <c r="AP168" s="28" t="n"/>
      <c r="AQ168" s="29" t="n"/>
      <c r="AR168" s="29" t="n"/>
      <c r="AS168" s="23" t="n"/>
      <c r="AT168" s="29" t="n"/>
      <c r="AU168" s="29" t="n"/>
      <c r="AV168" s="29" t="n"/>
      <c r="AW168" s="25">
        <f>IF(OR(O168="",AV168=""),"",O168*AV168)</f>
        <v/>
      </c>
      <c r="AX168" s="23" t="n"/>
      <c r="AY168" s="23" t="n"/>
      <c r="AZ168" s="23" t="n"/>
      <c r="BA168" s="23" t="n"/>
      <c r="BB168" s="23" t="n"/>
      <c r="BC168" s="25" t="n"/>
      <c r="BD168" s="23" t="n"/>
      <c r="BE168" s="23">
        <f>IF(C168="","",IF(AND(ISNUMBER(P168),P168&gt;MAX_PRICE),"Price too high",IF(AND(ISNUMBER(AB168),AB168&lt;=2),"Quality risk",IF(AND(ISNUMBER(U168),U168&lt;=2),"Aesthetic mismatch",IF(AY168="High","Too fragile",IF(AND(ISNUMBER(R168),R168&lt;LOW_PROFIT_PCT),"Low profit",IF(AND(ISNUMBER(AT168),AT168&gt;MOQ_WARNING),"MOQ too high",IF(OR(AD168="Maybe",AD168="Price Review"),"Needs partner review",IF(AD168="Buy","Good candidate","")))))))))</f>
        <v/>
      </c>
      <c r="BF168" s="23" t="n"/>
      <c r="BG168" s="23" t="n"/>
      <c r="BH168" s="23" t="n"/>
      <c r="BI168" s="23" t="n"/>
      <c r="BJ168" s="23" t="n"/>
      <c r="BK168" s="23" t="n"/>
      <c r="BL168" s="23">
        <f>IF(C168="","",IF(AND(BG168="Yes",BH168="Yes",BI168="Yes",BJ168="Yes",BK168="Yes"),"Yes","No"))</f>
        <v/>
      </c>
      <c r="BM168" s="25" t="n"/>
      <c r="BN168" s="25" t="n"/>
      <c r="BO168" s="25">
        <f>IF(OR(BM168="",BN168=""),"",BM168+BN168)</f>
        <v/>
      </c>
      <c r="BP168" s="25" t="n"/>
      <c r="BQ168" s="25">
        <f>IF(OR(BP168="",BO168=""),"",BP168-BO168)</f>
        <v/>
      </c>
      <c r="BR168" s="26">
        <f>IF(OR(BP168="",BP168=0,BQ168=""),"",BQ168/BP168)</f>
        <v/>
      </c>
      <c r="BS168" s="24" t="n"/>
      <c r="BT168" s="29" t="n"/>
      <c r="BU168" s="29" t="n"/>
      <c r="BV168" s="23" t="n"/>
      <c r="BW168" s="23" t="n"/>
      <c r="BX168" s="29">
        <f>IF(OR(BT168="",BU168=""),"",BT168-BU168)</f>
        <v/>
      </c>
      <c r="BY168" s="23" t="n"/>
      <c r="BZ168" s="24" t="n"/>
      <c r="CA168" s="23" t="n"/>
      <c r="CB168" s="23" t="n"/>
    </row>
    <row r="169">
      <c r="A169" s="16">
        <f>IF(C169="","","AYN-"&amp;IFERROR(VLOOKUP(E169,CATEGORY_PREFIX_TABLE,2,FALSE),"OTH")&amp;"-"&amp;TEXT(ROW()-2,"0000"))</f>
        <v/>
      </c>
      <c r="B169" s="17" t="n"/>
      <c r="C169" s="16" t="n"/>
      <c r="D169" s="16" t="n"/>
      <c r="E169" s="16" t="n"/>
      <c r="F169" s="16" t="n"/>
      <c r="G169" s="16" t="n"/>
      <c r="H169" s="16" t="n"/>
      <c r="I169" s="16" t="n"/>
      <c r="J169" s="16" t="n"/>
      <c r="K169" s="18">
        <f>IF(I169="","",IF(J169="BDT",I169,IF(J169="USD",I169*USD_BDT,IF(J169="RMB",I169*RMB_BDT,""))))</f>
        <v/>
      </c>
      <c r="L169" s="18" t="n"/>
      <c r="M169" s="19" t="n"/>
      <c r="N169" s="18" t="n"/>
      <c r="O169" s="18">
        <f>IF(K169="","",K169+IFERROR(L169,0)+(K169*IF(M169="",CUSTOMS_PCT,M169))+IF(N169="",MISC_FEE,N169))</f>
        <v/>
      </c>
      <c r="P169" s="18">
        <f>IF(O169="","",ROUND(O169*(1+MARKUP_PCT),-1)-1)</f>
        <v/>
      </c>
      <c r="Q169" s="18">
        <f>IF(P169="","",P169-O169)</f>
        <v/>
      </c>
      <c r="R169" s="19">
        <f>IF(OR(P169="",P169=0),"",Q169/P169)</f>
        <v/>
      </c>
      <c r="S169" s="16" t="n"/>
      <c r="T169" s="16" t="n"/>
      <c r="U169" s="16" t="n"/>
      <c r="V169" s="16" t="n"/>
      <c r="W169" s="16" t="n"/>
      <c r="X169" s="16" t="n"/>
      <c r="Y169" s="16" t="n"/>
      <c r="Z169" s="16" t="n"/>
      <c r="AA169" s="16" t="n"/>
      <c r="AB169" s="16" t="n"/>
      <c r="AC169" s="20">
        <f>IF(COUNT(S169:AB169)&lt;10,"",(S169*W_FEMININE+T169*W_TREND+U169*W_AESTHETIC+V169*W_STYLE+W169*W_LIGHT+X169*W_REELS+Y169*W_GIFT+Z169*W_PRICEFIT+AA169*W_DEMAND+AB169*W_QUALITY)/5*100)</f>
        <v/>
      </c>
      <c r="AD169" s="16">
        <f>IF(P169="","",IF(P169&gt;HARD_REJECT_PRICE,"Reject",IF(P169&gt;MAX_PRICE,"Price Review",IF(AC169="","",IF(AND(AC169&gt;=BUY_THRESHOLD,OR(AB169&lt;=2,U169&lt;=2)),"Maybe",IF(AC169&gt;=BUY_THRESHOLD,"Buy",IF(AC169&gt;=MAYBE_THRESHOLD,"Maybe","Reject")))))))</f>
        <v/>
      </c>
      <c r="AE169" s="16" t="n"/>
      <c r="AF169" s="16" t="n"/>
      <c r="AG169" s="16" t="n"/>
      <c r="AH169" s="16" t="n"/>
      <c r="AI169" s="17" t="n"/>
      <c r="AJ169">
        <f>IF(AC169="",-9999-ROW()*0.0000001,AC169-ROW()*0.0000001)</f>
        <v/>
      </c>
      <c r="AK169">
        <f>IF(OR(AC169="",P169="",P169&gt;MAX_PRICE),-9999-ROW()*0.0000001,AC169-ROW()*0.0000001)</f>
        <v/>
      </c>
      <c r="AL169">
        <f>IF(AC169="",-9999-ROW()*0.0000001,X169*1000+AC169-ROW()*0.0000001)</f>
        <v/>
      </c>
      <c r="AM169">
        <f>IF(AC169="",-9999-ROW()*0.0000001,Y169*1000+AC169-ROW()*0.0000001)</f>
        <v/>
      </c>
      <c r="AN169">
        <f>IF(AND(OR(AD169="Maybe",AD169="Price Review"),AG169&lt;&gt;"Approved",AG169&lt;&gt;"Rejected"),IF(AC169="",0,AC169)-ROW()*0.0000001,-9999-ROW()*0.0000001)</f>
        <v/>
      </c>
      <c r="AO169" s="21" t="n"/>
      <c r="AP169" s="21" t="n"/>
      <c r="AQ169" s="22" t="n"/>
      <c r="AR169" s="22" t="n"/>
      <c r="AS169" s="16" t="n"/>
      <c r="AT169" s="22" t="n"/>
      <c r="AU169" s="22" t="n"/>
      <c r="AV169" s="22" t="n"/>
      <c r="AW169" s="18">
        <f>IF(OR(O169="",AV169=""),"",O169*AV169)</f>
        <v/>
      </c>
      <c r="AX169" s="16" t="n"/>
      <c r="AY169" s="16" t="n"/>
      <c r="AZ169" s="16" t="n"/>
      <c r="BA169" s="16" t="n"/>
      <c r="BB169" s="16" t="n"/>
      <c r="BC169" s="18" t="n"/>
      <c r="BD169" s="16" t="n"/>
      <c r="BE169" s="16">
        <f>IF(C169="","",IF(AND(ISNUMBER(P169),P169&gt;MAX_PRICE),"Price too high",IF(AND(ISNUMBER(AB169),AB169&lt;=2),"Quality risk",IF(AND(ISNUMBER(U169),U169&lt;=2),"Aesthetic mismatch",IF(AY169="High","Too fragile",IF(AND(ISNUMBER(R169),R169&lt;LOW_PROFIT_PCT),"Low profit",IF(AND(ISNUMBER(AT169),AT169&gt;MOQ_WARNING),"MOQ too high",IF(OR(AD169="Maybe",AD169="Price Review"),"Needs partner review",IF(AD169="Buy","Good candidate","")))))))))</f>
        <v/>
      </c>
      <c r="BF169" s="16" t="n"/>
      <c r="BG169" s="16" t="n"/>
      <c r="BH169" s="16" t="n"/>
      <c r="BI169" s="16" t="n"/>
      <c r="BJ169" s="16" t="n"/>
      <c r="BK169" s="16" t="n"/>
      <c r="BL169" s="16">
        <f>IF(C169="","",IF(AND(BG169="Yes",BH169="Yes",BI169="Yes",BJ169="Yes",BK169="Yes"),"Yes","No"))</f>
        <v/>
      </c>
      <c r="BM169" s="18" t="n"/>
      <c r="BN169" s="18" t="n"/>
      <c r="BO169" s="18">
        <f>IF(OR(BM169="",BN169=""),"",BM169+BN169)</f>
        <v/>
      </c>
      <c r="BP169" s="18" t="n"/>
      <c r="BQ169" s="18">
        <f>IF(OR(BP169="",BO169=""),"",BP169-BO169)</f>
        <v/>
      </c>
      <c r="BR169" s="19">
        <f>IF(OR(BP169="",BP169=0,BQ169=""),"",BQ169/BP169)</f>
        <v/>
      </c>
      <c r="BS169" s="17" t="n"/>
      <c r="BT169" s="22" t="n"/>
      <c r="BU169" s="22" t="n"/>
      <c r="BV169" s="16" t="n"/>
      <c r="BW169" s="16" t="n"/>
      <c r="BX169" s="22">
        <f>IF(OR(BT169="",BU169=""),"",BT169-BU169)</f>
        <v/>
      </c>
      <c r="BY169" s="16" t="n"/>
      <c r="BZ169" s="17" t="n"/>
      <c r="CA169" s="16" t="n"/>
      <c r="CB169" s="16" t="n"/>
    </row>
    <row r="170">
      <c r="A170" s="23">
        <f>IF(C170="","","AYN-"&amp;IFERROR(VLOOKUP(E170,CATEGORY_PREFIX_TABLE,2,FALSE),"OTH")&amp;"-"&amp;TEXT(ROW()-2,"0000"))</f>
        <v/>
      </c>
      <c r="B170" s="24" t="n"/>
      <c r="C170" s="23" t="n"/>
      <c r="D170" s="23" t="n"/>
      <c r="E170" s="23" t="n"/>
      <c r="F170" s="23" t="n"/>
      <c r="G170" s="23" t="n"/>
      <c r="H170" s="23" t="n"/>
      <c r="I170" s="23" t="n"/>
      <c r="J170" s="23" t="n"/>
      <c r="K170" s="25">
        <f>IF(I170="","",IF(J170="BDT",I170,IF(J170="USD",I170*USD_BDT,IF(J170="RMB",I170*RMB_BDT,""))))</f>
        <v/>
      </c>
      <c r="L170" s="25" t="n"/>
      <c r="M170" s="26" t="n"/>
      <c r="N170" s="25" t="n"/>
      <c r="O170" s="25">
        <f>IF(K170="","",K170+IFERROR(L170,0)+(K170*IF(M170="",CUSTOMS_PCT,M170))+IF(N170="",MISC_FEE,N170))</f>
        <v/>
      </c>
      <c r="P170" s="25">
        <f>IF(O170="","",ROUND(O170*(1+MARKUP_PCT),-1)-1)</f>
        <v/>
      </c>
      <c r="Q170" s="25">
        <f>IF(P170="","",P170-O170)</f>
        <v/>
      </c>
      <c r="R170" s="26">
        <f>IF(OR(P170="",P170=0),"",Q170/P170)</f>
        <v/>
      </c>
      <c r="S170" s="23" t="n"/>
      <c r="T170" s="23" t="n"/>
      <c r="U170" s="23" t="n"/>
      <c r="V170" s="23" t="n"/>
      <c r="W170" s="23" t="n"/>
      <c r="X170" s="23" t="n"/>
      <c r="Y170" s="23" t="n"/>
      <c r="Z170" s="23" t="n"/>
      <c r="AA170" s="23" t="n"/>
      <c r="AB170" s="23" t="n"/>
      <c r="AC170" s="27">
        <f>IF(COUNT(S170:AB170)&lt;10,"",(S170*W_FEMININE+T170*W_TREND+U170*W_AESTHETIC+V170*W_STYLE+W170*W_LIGHT+X170*W_REELS+Y170*W_GIFT+Z170*W_PRICEFIT+AA170*W_DEMAND+AB170*W_QUALITY)/5*100)</f>
        <v/>
      </c>
      <c r="AD170" s="23">
        <f>IF(P170="","",IF(P170&gt;HARD_REJECT_PRICE,"Reject",IF(P170&gt;MAX_PRICE,"Price Review",IF(AC170="","",IF(AND(AC170&gt;=BUY_THRESHOLD,OR(AB170&lt;=2,U170&lt;=2)),"Maybe",IF(AC170&gt;=BUY_THRESHOLD,"Buy",IF(AC170&gt;=MAYBE_THRESHOLD,"Maybe","Reject")))))))</f>
        <v/>
      </c>
      <c r="AE170" s="23" t="n"/>
      <c r="AF170" s="23" t="n"/>
      <c r="AG170" s="23" t="n"/>
      <c r="AH170" s="23" t="n"/>
      <c r="AI170" s="24" t="n"/>
      <c r="AJ170">
        <f>IF(AC170="",-9999-ROW()*0.0000001,AC170-ROW()*0.0000001)</f>
        <v/>
      </c>
      <c r="AK170">
        <f>IF(OR(AC170="",P170="",P170&gt;MAX_PRICE),-9999-ROW()*0.0000001,AC170-ROW()*0.0000001)</f>
        <v/>
      </c>
      <c r="AL170">
        <f>IF(AC170="",-9999-ROW()*0.0000001,X170*1000+AC170-ROW()*0.0000001)</f>
        <v/>
      </c>
      <c r="AM170">
        <f>IF(AC170="",-9999-ROW()*0.0000001,Y170*1000+AC170-ROW()*0.0000001)</f>
        <v/>
      </c>
      <c r="AN170">
        <f>IF(AND(OR(AD170="Maybe",AD170="Price Review"),AG170&lt;&gt;"Approved",AG170&lt;&gt;"Rejected"),IF(AC170="",0,AC170)-ROW()*0.0000001,-9999-ROW()*0.0000001)</f>
        <v/>
      </c>
      <c r="AO170" s="28" t="n"/>
      <c r="AP170" s="28" t="n"/>
      <c r="AQ170" s="29" t="n"/>
      <c r="AR170" s="29" t="n"/>
      <c r="AS170" s="23" t="n"/>
      <c r="AT170" s="29" t="n"/>
      <c r="AU170" s="29" t="n"/>
      <c r="AV170" s="29" t="n"/>
      <c r="AW170" s="25">
        <f>IF(OR(O170="",AV170=""),"",O170*AV170)</f>
        <v/>
      </c>
      <c r="AX170" s="23" t="n"/>
      <c r="AY170" s="23" t="n"/>
      <c r="AZ170" s="23" t="n"/>
      <c r="BA170" s="23" t="n"/>
      <c r="BB170" s="23" t="n"/>
      <c r="BC170" s="25" t="n"/>
      <c r="BD170" s="23" t="n"/>
      <c r="BE170" s="23">
        <f>IF(C170="","",IF(AND(ISNUMBER(P170),P170&gt;MAX_PRICE),"Price too high",IF(AND(ISNUMBER(AB170),AB170&lt;=2),"Quality risk",IF(AND(ISNUMBER(U170),U170&lt;=2),"Aesthetic mismatch",IF(AY170="High","Too fragile",IF(AND(ISNUMBER(R170),R170&lt;LOW_PROFIT_PCT),"Low profit",IF(AND(ISNUMBER(AT170),AT170&gt;MOQ_WARNING),"MOQ too high",IF(OR(AD170="Maybe",AD170="Price Review"),"Needs partner review",IF(AD170="Buy","Good candidate","")))))))))</f>
        <v/>
      </c>
      <c r="BF170" s="23" t="n"/>
      <c r="BG170" s="23" t="n"/>
      <c r="BH170" s="23" t="n"/>
      <c r="BI170" s="23" t="n"/>
      <c r="BJ170" s="23" t="n"/>
      <c r="BK170" s="23" t="n"/>
      <c r="BL170" s="23">
        <f>IF(C170="","",IF(AND(BG170="Yes",BH170="Yes",BI170="Yes",BJ170="Yes",BK170="Yes"),"Yes","No"))</f>
        <v/>
      </c>
      <c r="BM170" s="25" t="n"/>
      <c r="BN170" s="25" t="n"/>
      <c r="BO170" s="25">
        <f>IF(OR(BM170="",BN170=""),"",BM170+BN170)</f>
        <v/>
      </c>
      <c r="BP170" s="25" t="n"/>
      <c r="BQ170" s="25">
        <f>IF(OR(BP170="",BO170=""),"",BP170-BO170)</f>
        <v/>
      </c>
      <c r="BR170" s="26">
        <f>IF(OR(BP170="",BP170=0,BQ170=""),"",BQ170/BP170)</f>
        <v/>
      </c>
      <c r="BS170" s="24" t="n"/>
      <c r="BT170" s="29" t="n"/>
      <c r="BU170" s="29" t="n"/>
      <c r="BV170" s="23" t="n"/>
      <c r="BW170" s="23" t="n"/>
      <c r="BX170" s="29">
        <f>IF(OR(BT170="",BU170=""),"",BT170-BU170)</f>
        <v/>
      </c>
      <c r="BY170" s="23" t="n"/>
      <c r="BZ170" s="24" t="n"/>
      <c r="CA170" s="23" t="n"/>
      <c r="CB170" s="23" t="n"/>
    </row>
    <row r="171">
      <c r="A171" s="16">
        <f>IF(C171="","","AYN-"&amp;IFERROR(VLOOKUP(E171,CATEGORY_PREFIX_TABLE,2,FALSE),"OTH")&amp;"-"&amp;TEXT(ROW()-2,"0000"))</f>
        <v/>
      </c>
      <c r="B171" s="17" t="n"/>
      <c r="C171" s="16" t="n"/>
      <c r="D171" s="16" t="n"/>
      <c r="E171" s="16" t="n"/>
      <c r="F171" s="16" t="n"/>
      <c r="G171" s="16" t="n"/>
      <c r="H171" s="16" t="n"/>
      <c r="I171" s="16" t="n"/>
      <c r="J171" s="16" t="n"/>
      <c r="K171" s="18">
        <f>IF(I171="","",IF(J171="BDT",I171,IF(J171="USD",I171*USD_BDT,IF(J171="RMB",I171*RMB_BDT,""))))</f>
        <v/>
      </c>
      <c r="L171" s="18" t="n"/>
      <c r="M171" s="19" t="n"/>
      <c r="N171" s="18" t="n"/>
      <c r="O171" s="18">
        <f>IF(K171="","",K171+IFERROR(L171,0)+(K171*IF(M171="",CUSTOMS_PCT,M171))+IF(N171="",MISC_FEE,N171))</f>
        <v/>
      </c>
      <c r="P171" s="18">
        <f>IF(O171="","",ROUND(O171*(1+MARKUP_PCT),-1)-1)</f>
        <v/>
      </c>
      <c r="Q171" s="18">
        <f>IF(P171="","",P171-O171)</f>
        <v/>
      </c>
      <c r="R171" s="19">
        <f>IF(OR(P171="",P171=0),"",Q171/P171)</f>
        <v/>
      </c>
      <c r="S171" s="16" t="n"/>
      <c r="T171" s="16" t="n"/>
      <c r="U171" s="16" t="n"/>
      <c r="V171" s="16" t="n"/>
      <c r="W171" s="16" t="n"/>
      <c r="X171" s="16" t="n"/>
      <c r="Y171" s="16" t="n"/>
      <c r="Z171" s="16" t="n"/>
      <c r="AA171" s="16" t="n"/>
      <c r="AB171" s="16" t="n"/>
      <c r="AC171" s="20">
        <f>IF(COUNT(S171:AB171)&lt;10,"",(S171*W_FEMININE+T171*W_TREND+U171*W_AESTHETIC+V171*W_STYLE+W171*W_LIGHT+X171*W_REELS+Y171*W_GIFT+Z171*W_PRICEFIT+AA171*W_DEMAND+AB171*W_QUALITY)/5*100)</f>
        <v/>
      </c>
      <c r="AD171" s="16">
        <f>IF(P171="","",IF(P171&gt;HARD_REJECT_PRICE,"Reject",IF(P171&gt;MAX_PRICE,"Price Review",IF(AC171="","",IF(AND(AC171&gt;=BUY_THRESHOLD,OR(AB171&lt;=2,U171&lt;=2)),"Maybe",IF(AC171&gt;=BUY_THRESHOLD,"Buy",IF(AC171&gt;=MAYBE_THRESHOLD,"Maybe","Reject")))))))</f>
        <v/>
      </c>
      <c r="AE171" s="16" t="n"/>
      <c r="AF171" s="16" t="n"/>
      <c r="AG171" s="16" t="n"/>
      <c r="AH171" s="16" t="n"/>
      <c r="AI171" s="17" t="n"/>
      <c r="AJ171">
        <f>IF(AC171="",-9999-ROW()*0.0000001,AC171-ROW()*0.0000001)</f>
        <v/>
      </c>
      <c r="AK171">
        <f>IF(OR(AC171="",P171="",P171&gt;MAX_PRICE),-9999-ROW()*0.0000001,AC171-ROW()*0.0000001)</f>
        <v/>
      </c>
      <c r="AL171">
        <f>IF(AC171="",-9999-ROW()*0.0000001,X171*1000+AC171-ROW()*0.0000001)</f>
        <v/>
      </c>
      <c r="AM171">
        <f>IF(AC171="",-9999-ROW()*0.0000001,Y171*1000+AC171-ROW()*0.0000001)</f>
        <v/>
      </c>
      <c r="AN171">
        <f>IF(AND(OR(AD171="Maybe",AD171="Price Review"),AG171&lt;&gt;"Approved",AG171&lt;&gt;"Rejected"),IF(AC171="",0,AC171)-ROW()*0.0000001,-9999-ROW()*0.0000001)</f>
        <v/>
      </c>
      <c r="AO171" s="21" t="n"/>
      <c r="AP171" s="21" t="n"/>
      <c r="AQ171" s="22" t="n"/>
      <c r="AR171" s="22" t="n"/>
      <c r="AS171" s="16" t="n"/>
      <c r="AT171" s="22" t="n"/>
      <c r="AU171" s="22" t="n"/>
      <c r="AV171" s="22" t="n"/>
      <c r="AW171" s="18">
        <f>IF(OR(O171="",AV171=""),"",O171*AV171)</f>
        <v/>
      </c>
      <c r="AX171" s="16" t="n"/>
      <c r="AY171" s="16" t="n"/>
      <c r="AZ171" s="16" t="n"/>
      <c r="BA171" s="16" t="n"/>
      <c r="BB171" s="16" t="n"/>
      <c r="BC171" s="18" t="n"/>
      <c r="BD171" s="16" t="n"/>
      <c r="BE171" s="16">
        <f>IF(C171="","",IF(AND(ISNUMBER(P171),P171&gt;MAX_PRICE),"Price too high",IF(AND(ISNUMBER(AB171),AB171&lt;=2),"Quality risk",IF(AND(ISNUMBER(U171),U171&lt;=2),"Aesthetic mismatch",IF(AY171="High","Too fragile",IF(AND(ISNUMBER(R171),R171&lt;LOW_PROFIT_PCT),"Low profit",IF(AND(ISNUMBER(AT171),AT171&gt;MOQ_WARNING),"MOQ too high",IF(OR(AD171="Maybe",AD171="Price Review"),"Needs partner review",IF(AD171="Buy","Good candidate","")))))))))</f>
        <v/>
      </c>
      <c r="BF171" s="16" t="n"/>
      <c r="BG171" s="16" t="n"/>
      <c r="BH171" s="16" t="n"/>
      <c r="BI171" s="16" t="n"/>
      <c r="BJ171" s="16" t="n"/>
      <c r="BK171" s="16" t="n"/>
      <c r="BL171" s="16">
        <f>IF(C171="","",IF(AND(BG171="Yes",BH171="Yes",BI171="Yes",BJ171="Yes",BK171="Yes"),"Yes","No"))</f>
        <v/>
      </c>
      <c r="BM171" s="18" t="n"/>
      <c r="BN171" s="18" t="n"/>
      <c r="BO171" s="18">
        <f>IF(OR(BM171="",BN171=""),"",BM171+BN171)</f>
        <v/>
      </c>
      <c r="BP171" s="18" t="n"/>
      <c r="BQ171" s="18">
        <f>IF(OR(BP171="",BO171=""),"",BP171-BO171)</f>
        <v/>
      </c>
      <c r="BR171" s="19">
        <f>IF(OR(BP171="",BP171=0,BQ171=""),"",BQ171/BP171)</f>
        <v/>
      </c>
      <c r="BS171" s="17" t="n"/>
      <c r="BT171" s="22" t="n"/>
      <c r="BU171" s="22" t="n"/>
      <c r="BV171" s="16" t="n"/>
      <c r="BW171" s="16" t="n"/>
      <c r="BX171" s="22">
        <f>IF(OR(BT171="",BU171=""),"",BT171-BU171)</f>
        <v/>
      </c>
      <c r="BY171" s="16" t="n"/>
      <c r="BZ171" s="17" t="n"/>
      <c r="CA171" s="16" t="n"/>
      <c r="CB171" s="16" t="n"/>
    </row>
    <row r="172">
      <c r="A172" s="23">
        <f>IF(C172="","","AYN-"&amp;IFERROR(VLOOKUP(E172,CATEGORY_PREFIX_TABLE,2,FALSE),"OTH")&amp;"-"&amp;TEXT(ROW()-2,"0000"))</f>
        <v/>
      </c>
      <c r="B172" s="24" t="n"/>
      <c r="C172" s="23" t="n"/>
      <c r="D172" s="23" t="n"/>
      <c r="E172" s="23" t="n"/>
      <c r="F172" s="23" t="n"/>
      <c r="G172" s="23" t="n"/>
      <c r="H172" s="23" t="n"/>
      <c r="I172" s="23" t="n"/>
      <c r="J172" s="23" t="n"/>
      <c r="K172" s="25">
        <f>IF(I172="","",IF(J172="BDT",I172,IF(J172="USD",I172*USD_BDT,IF(J172="RMB",I172*RMB_BDT,""))))</f>
        <v/>
      </c>
      <c r="L172" s="25" t="n"/>
      <c r="M172" s="26" t="n"/>
      <c r="N172" s="25" t="n"/>
      <c r="O172" s="25">
        <f>IF(K172="","",K172+IFERROR(L172,0)+(K172*IF(M172="",CUSTOMS_PCT,M172))+IF(N172="",MISC_FEE,N172))</f>
        <v/>
      </c>
      <c r="P172" s="25">
        <f>IF(O172="","",ROUND(O172*(1+MARKUP_PCT),-1)-1)</f>
        <v/>
      </c>
      <c r="Q172" s="25">
        <f>IF(P172="","",P172-O172)</f>
        <v/>
      </c>
      <c r="R172" s="26">
        <f>IF(OR(P172="",P172=0),"",Q172/P172)</f>
        <v/>
      </c>
      <c r="S172" s="23" t="n"/>
      <c r="T172" s="23" t="n"/>
      <c r="U172" s="23" t="n"/>
      <c r="V172" s="23" t="n"/>
      <c r="W172" s="23" t="n"/>
      <c r="X172" s="23" t="n"/>
      <c r="Y172" s="23" t="n"/>
      <c r="Z172" s="23" t="n"/>
      <c r="AA172" s="23" t="n"/>
      <c r="AB172" s="23" t="n"/>
      <c r="AC172" s="27">
        <f>IF(COUNT(S172:AB172)&lt;10,"",(S172*W_FEMININE+T172*W_TREND+U172*W_AESTHETIC+V172*W_STYLE+W172*W_LIGHT+X172*W_REELS+Y172*W_GIFT+Z172*W_PRICEFIT+AA172*W_DEMAND+AB172*W_QUALITY)/5*100)</f>
        <v/>
      </c>
      <c r="AD172" s="23">
        <f>IF(P172="","",IF(P172&gt;HARD_REJECT_PRICE,"Reject",IF(P172&gt;MAX_PRICE,"Price Review",IF(AC172="","",IF(AND(AC172&gt;=BUY_THRESHOLD,OR(AB172&lt;=2,U172&lt;=2)),"Maybe",IF(AC172&gt;=BUY_THRESHOLD,"Buy",IF(AC172&gt;=MAYBE_THRESHOLD,"Maybe","Reject")))))))</f>
        <v/>
      </c>
      <c r="AE172" s="23" t="n"/>
      <c r="AF172" s="23" t="n"/>
      <c r="AG172" s="23" t="n"/>
      <c r="AH172" s="23" t="n"/>
      <c r="AI172" s="24" t="n"/>
      <c r="AJ172">
        <f>IF(AC172="",-9999-ROW()*0.0000001,AC172-ROW()*0.0000001)</f>
        <v/>
      </c>
      <c r="AK172">
        <f>IF(OR(AC172="",P172="",P172&gt;MAX_PRICE),-9999-ROW()*0.0000001,AC172-ROW()*0.0000001)</f>
        <v/>
      </c>
      <c r="AL172">
        <f>IF(AC172="",-9999-ROW()*0.0000001,X172*1000+AC172-ROW()*0.0000001)</f>
        <v/>
      </c>
      <c r="AM172">
        <f>IF(AC172="",-9999-ROW()*0.0000001,Y172*1000+AC172-ROW()*0.0000001)</f>
        <v/>
      </c>
      <c r="AN172">
        <f>IF(AND(OR(AD172="Maybe",AD172="Price Review"),AG172&lt;&gt;"Approved",AG172&lt;&gt;"Rejected"),IF(AC172="",0,AC172)-ROW()*0.0000001,-9999-ROW()*0.0000001)</f>
        <v/>
      </c>
      <c r="AO172" s="28" t="n"/>
      <c r="AP172" s="28" t="n"/>
      <c r="AQ172" s="29" t="n"/>
      <c r="AR172" s="29" t="n"/>
      <c r="AS172" s="23" t="n"/>
      <c r="AT172" s="29" t="n"/>
      <c r="AU172" s="29" t="n"/>
      <c r="AV172" s="29" t="n"/>
      <c r="AW172" s="25">
        <f>IF(OR(O172="",AV172=""),"",O172*AV172)</f>
        <v/>
      </c>
      <c r="AX172" s="23" t="n"/>
      <c r="AY172" s="23" t="n"/>
      <c r="AZ172" s="23" t="n"/>
      <c r="BA172" s="23" t="n"/>
      <c r="BB172" s="23" t="n"/>
      <c r="BC172" s="25" t="n"/>
      <c r="BD172" s="23" t="n"/>
      <c r="BE172" s="23">
        <f>IF(C172="","",IF(AND(ISNUMBER(P172),P172&gt;MAX_PRICE),"Price too high",IF(AND(ISNUMBER(AB172),AB172&lt;=2),"Quality risk",IF(AND(ISNUMBER(U172),U172&lt;=2),"Aesthetic mismatch",IF(AY172="High","Too fragile",IF(AND(ISNUMBER(R172),R172&lt;LOW_PROFIT_PCT),"Low profit",IF(AND(ISNUMBER(AT172),AT172&gt;MOQ_WARNING),"MOQ too high",IF(OR(AD172="Maybe",AD172="Price Review"),"Needs partner review",IF(AD172="Buy","Good candidate","")))))))))</f>
        <v/>
      </c>
      <c r="BF172" s="23" t="n"/>
      <c r="BG172" s="23" t="n"/>
      <c r="BH172" s="23" t="n"/>
      <c r="BI172" s="23" t="n"/>
      <c r="BJ172" s="23" t="n"/>
      <c r="BK172" s="23" t="n"/>
      <c r="BL172" s="23">
        <f>IF(C172="","",IF(AND(BG172="Yes",BH172="Yes",BI172="Yes",BJ172="Yes",BK172="Yes"),"Yes","No"))</f>
        <v/>
      </c>
      <c r="BM172" s="25" t="n"/>
      <c r="BN172" s="25" t="n"/>
      <c r="BO172" s="25">
        <f>IF(OR(BM172="",BN172=""),"",BM172+BN172)</f>
        <v/>
      </c>
      <c r="BP172" s="25" t="n"/>
      <c r="BQ172" s="25">
        <f>IF(OR(BP172="",BO172=""),"",BP172-BO172)</f>
        <v/>
      </c>
      <c r="BR172" s="26">
        <f>IF(OR(BP172="",BP172=0,BQ172=""),"",BQ172/BP172)</f>
        <v/>
      </c>
      <c r="BS172" s="24" t="n"/>
      <c r="BT172" s="29" t="n"/>
      <c r="BU172" s="29" t="n"/>
      <c r="BV172" s="23" t="n"/>
      <c r="BW172" s="23" t="n"/>
      <c r="BX172" s="29">
        <f>IF(OR(BT172="",BU172=""),"",BT172-BU172)</f>
        <v/>
      </c>
      <c r="BY172" s="23" t="n"/>
      <c r="BZ172" s="24" t="n"/>
      <c r="CA172" s="23" t="n"/>
      <c r="CB172" s="23" t="n"/>
    </row>
    <row r="173">
      <c r="A173" s="16">
        <f>IF(C173="","","AYN-"&amp;IFERROR(VLOOKUP(E173,CATEGORY_PREFIX_TABLE,2,FALSE),"OTH")&amp;"-"&amp;TEXT(ROW()-2,"0000"))</f>
        <v/>
      </c>
      <c r="B173" s="17" t="n"/>
      <c r="C173" s="16" t="n"/>
      <c r="D173" s="16" t="n"/>
      <c r="E173" s="16" t="n"/>
      <c r="F173" s="16" t="n"/>
      <c r="G173" s="16" t="n"/>
      <c r="H173" s="16" t="n"/>
      <c r="I173" s="16" t="n"/>
      <c r="J173" s="16" t="n"/>
      <c r="K173" s="18">
        <f>IF(I173="","",IF(J173="BDT",I173,IF(J173="USD",I173*USD_BDT,IF(J173="RMB",I173*RMB_BDT,""))))</f>
        <v/>
      </c>
      <c r="L173" s="18" t="n"/>
      <c r="M173" s="19" t="n"/>
      <c r="N173" s="18" t="n"/>
      <c r="O173" s="18">
        <f>IF(K173="","",K173+IFERROR(L173,0)+(K173*IF(M173="",CUSTOMS_PCT,M173))+IF(N173="",MISC_FEE,N173))</f>
        <v/>
      </c>
      <c r="P173" s="18">
        <f>IF(O173="","",ROUND(O173*(1+MARKUP_PCT),-1)-1)</f>
        <v/>
      </c>
      <c r="Q173" s="18">
        <f>IF(P173="","",P173-O173)</f>
        <v/>
      </c>
      <c r="R173" s="19">
        <f>IF(OR(P173="",P173=0),"",Q173/P173)</f>
        <v/>
      </c>
      <c r="S173" s="16" t="n"/>
      <c r="T173" s="16" t="n"/>
      <c r="U173" s="16" t="n"/>
      <c r="V173" s="16" t="n"/>
      <c r="W173" s="16" t="n"/>
      <c r="X173" s="16" t="n"/>
      <c r="Y173" s="16" t="n"/>
      <c r="Z173" s="16" t="n"/>
      <c r="AA173" s="16" t="n"/>
      <c r="AB173" s="16" t="n"/>
      <c r="AC173" s="20">
        <f>IF(COUNT(S173:AB173)&lt;10,"",(S173*W_FEMININE+T173*W_TREND+U173*W_AESTHETIC+V173*W_STYLE+W173*W_LIGHT+X173*W_REELS+Y173*W_GIFT+Z173*W_PRICEFIT+AA173*W_DEMAND+AB173*W_QUALITY)/5*100)</f>
        <v/>
      </c>
      <c r="AD173" s="16">
        <f>IF(P173="","",IF(P173&gt;HARD_REJECT_PRICE,"Reject",IF(P173&gt;MAX_PRICE,"Price Review",IF(AC173="","",IF(AND(AC173&gt;=BUY_THRESHOLD,OR(AB173&lt;=2,U173&lt;=2)),"Maybe",IF(AC173&gt;=BUY_THRESHOLD,"Buy",IF(AC173&gt;=MAYBE_THRESHOLD,"Maybe","Reject")))))))</f>
        <v/>
      </c>
      <c r="AE173" s="16" t="n"/>
      <c r="AF173" s="16" t="n"/>
      <c r="AG173" s="16" t="n"/>
      <c r="AH173" s="16" t="n"/>
      <c r="AI173" s="17" t="n"/>
      <c r="AJ173">
        <f>IF(AC173="",-9999-ROW()*0.0000001,AC173-ROW()*0.0000001)</f>
        <v/>
      </c>
      <c r="AK173">
        <f>IF(OR(AC173="",P173="",P173&gt;MAX_PRICE),-9999-ROW()*0.0000001,AC173-ROW()*0.0000001)</f>
        <v/>
      </c>
      <c r="AL173">
        <f>IF(AC173="",-9999-ROW()*0.0000001,X173*1000+AC173-ROW()*0.0000001)</f>
        <v/>
      </c>
      <c r="AM173">
        <f>IF(AC173="",-9999-ROW()*0.0000001,Y173*1000+AC173-ROW()*0.0000001)</f>
        <v/>
      </c>
      <c r="AN173">
        <f>IF(AND(OR(AD173="Maybe",AD173="Price Review"),AG173&lt;&gt;"Approved",AG173&lt;&gt;"Rejected"),IF(AC173="",0,AC173)-ROW()*0.0000001,-9999-ROW()*0.0000001)</f>
        <v/>
      </c>
      <c r="AO173" s="21" t="n"/>
      <c r="AP173" s="21" t="n"/>
      <c r="AQ173" s="22" t="n"/>
      <c r="AR173" s="22" t="n"/>
      <c r="AS173" s="16" t="n"/>
      <c r="AT173" s="22" t="n"/>
      <c r="AU173" s="22" t="n"/>
      <c r="AV173" s="22" t="n"/>
      <c r="AW173" s="18">
        <f>IF(OR(O173="",AV173=""),"",O173*AV173)</f>
        <v/>
      </c>
      <c r="AX173" s="16" t="n"/>
      <c r="AY173" s="16" t="n"/>
      <c r="AZ173" s="16" t="n"/>
      <c r="BA173" s="16" t="n"/>
      <c r="BB173" s="16" t="n"/>
      <c r="BC173" s="18" t="n"/>
      <c r="BD173" s="16" t="n"/>
      <c r="BE173" s="16">
        <f>IF(C173="","",IF(AND(ISNUMBER(P173),P173&gt;MAX_PRICE),"Price too high",IF(AND(ISNUMBER(AB173),AB173&lt;=2),"Quality risk",IF(AND(ISNUMBER(U173),U173&lt;=2),"Aesthetic mismatch",IF(AY173="High","Too fragile",IF(AND(ISNUMBER(R173),R173&lt;LOW_PROFIT_PCT),"Low profit",IF(AND(ISNUMBER(AT173),AT173&gt;MOQ_WARNING),"MOQ too high",IF(OR(AD173="Maybe",AD173="Price Review"),"Needs partner review",IF(AD173="Buy","Good candidate","")))))))))</f>
        <v/>
      </c>
      <c r="BF173" s="16" t="n"/>
      <c r="BG173" s="16" t="n"/>
      <c r="BH173" s="16" t="n"/>
      <c r="BI173" s="16" t="n"/>
      <c r="BJ173" s="16" t="n"/>
      <c r="BK173" s="16" t="n"/>
      <c r="BL173" s="16">
        <f>IF(C173="","",IF(AND(BG173="Yes",BH173="Yes",BI173="Yes",BJ173="Yes",BK173="Yes"),"Yes","No"))</f>
        <v/>
      </c>
      <c r="BM173" s="18" t="n"/>
      <c r="BN173" s="18" t="n"/>
      <c r="BO173" s="18">
        <f>IF(OR(BM173="",BN173=""),"",BM173+BN173)</f>
        <v/>
      </c>
      <c r="BP173" s="18" t="n"/>
      <c r="BQ173" s="18">
        <f>IF(OR(BP173="",BO173=""),"",BP173-BO173)</f>
        <v/>
      </c>
      <c r="BR173" s="19">
        <f>IF(OR(BP173="",BP173=0,BQ173=""),"",BQ173/BP173)</f>
        <v/>
      </c>
      <c r="BS173" s="17" t="n"/>
      <c r="BT173" s="22" t="n"/>
      <c r="BU173" s="22" t="n"/>
      <c r="BV173" s="16" t="n"/>
      <c r="BW173" s="16" t="n"/>
      <c r="BX173" s="22">
        <f>IF(OR(BT173="",BU173=""),"",BT173-BU173)</f>
        <v/>
      </c>
      <c r="BY173" s="16" t="n"/>
      <c r="BZ173" s="17" t="n"/>
      <c r="CA173" s="16" t="n"/>
      <c r="CB173" s="16" t="n"/>
    </row>
    <row r="174">
      <c r="A174" s="23">
        <f>IF(C174="","","AYN-"&amp;IFERROR(VLOOKUP(E174,CATEGORY_PREFIX_TABLE,2,FALSE),"OTH")&amp;"-"&amp;TEXT(ROW()-2,"0000"))</f>
        <v/>
      </c>
      <c r="B174" s="24" t="n"/>
      <c r="C174" s="23" t="n"/>
      <c r="D174" s="23" t="n"/>
      <c r="E174" s="23" t="n"/>
      <c r="F174" s="23" t="n"/>
      <c r="G174" s="23" t="n"/>
      <c r="H174" s="23" t="n"/>
      <c r="I174" s="23" t="n"/>
      <c r="J174" s="23" t="n"/>
      <c r="K174" s="25">
        <f>IF(I174="","",IF(J174="BDT",I174,IF(J174="USD",I174*USD_BDT,IF(J174="RMB",I174*RMB_BDT,""))))</f>
        <v/>
      </c>
      <c r="L174" s="25" t="n"/>
      <c r="M174" s="26" t="n"/>
      <c r="N174" s="25" t="n"/>
      <c r="O174" s="25">
        <f>IF(K174="","",K174+IFERROR(L174,0)+(K174*IF(M174="",CUSTOMS_PCT,M174))+IF(N174="",MISC_FEE,N174))</f>
        <v/>
      </c>
      <c r="P174" s="25">
        <f>IF(O174="","",ROUND(O174*(1+MARKUP_PCT),-1)-1)</f>
        <v/>
      </c>
      <c r="Q174" s="25">
        <f>IF(P174="","",P174-O174)</f>
        <v/>
      </c>
      <c r="R174" s="26">
        <f>IF(OR(P174="",P174=0),"",Q174/P174)</f>
        <v/>
      </c>
      <c r="S174" s="23" t="n"/>
      <c r="T174" s="23" t="n"/>
      <c r="U174" s="23" t="n"/>
      <c r="V174" s="23" t="n"/>
      <c r="W174" s="23" t="n"/>
      <c r="X174" s="23" t="n"/>
      <c r="Y174" s="23" t="n"/>
      <c r="Z174" s="23" t="n"/>
      <c r="AA174" s="23" t="n"/>
      <c r="AB174" s="23" t="n"/>
      <c r="AC174" s="27">
        <f>IF(COUNT(S174:AB174)&lt;10,"",(S174*W_FEMININE+T174*W_TREND+U174*W_AESTHETIC+V174*W_STYLE+W174*W_LIGHT+X174*W_REELS+Y174*W_GIFT+Z174*W_PRICEFIT+AA174*W_DEMAND+AB174*W_QUALITY)/5*100)</f>
        <v/>
      </c>
      <c r="AD174" s="23">
        <f>IF(P174="","",IF(P174&gt;HARD_REJECT_PRICE,"Reject",IF(P174&gt;MAX_PRICE,"Price Review",IF(AC174="","",IF(AND(AC174&gt;=BUY_THRESHOLD,OR(AB174&lt;=2,U174&lt;=2)),"Maybe",IF(AC174&gt;=BUY_THRESHOLD,"Buy",IF(AC174&gt;=MAYBE_THRESHOLD,"Maybe","Reject")))))))</f>
        <v/>
      </c>
      <c r="AE174" s="23" t="n"/>
      <c r="AF174" s="23" t="n"/>
      <c r="AG174" s="23" t="n"/>
      <c r="AH174" s="23" t="n"/>
      <c r="AI174" s="24" t="n"/>
      <c r="AJ174">
        <f>IF(AC174="",-9999-ROW()*0.0000001,AC174-ROW()*0.0000001)</f>
        <v/>
      </c>
      <c r="AK174">
        <f>IF(OR(AC174="",P174="",P174&gt;MAX_PRICE),-9999-ROW()*0.0000001,AC174-ROW()*0.0000001)</f>
        <v/>
      </c>
      <c r="AL174">
        <f>IF(AC174="",-9999-ROW()*0.0000001,X174*1000+AC174-ROW()*0.0000001)</f>
        <v/>
      </c>
      <c r="AM174">
        <f>IF(AC174="",-9999-ROW()*0.0000001,Y174*1000+AC174-ROW()*0.0000001)</f>
        <v/>
      </c>
      <c r="AN174">
        <f>IF(AND(OR(AD174="Maybe",AD174="Price Review"),AG174&lt;&gt;"Approved",AG174&lt;&gt;"Rejected"),IF(AC174="",0,AC174)-ROW()*0.0000001,-9999-ROW()*0.0000001)</f>
        <v/>
      </c>
      <c r="AO174" s="28" t="n"/>
      <c r="AP174" s="28" t="n"/>
      <c r="AQ174" s="29" t="n"/>
      <c r="AR174" s="29" t="n"/>
      <c r="AS174" s="23" t="n"/>
      <c r="AT174" s="29" t="n"/>
      <c r="AU174" s="29" t="n"/>
      <c r="AV174" s="29" t="n"/>
      <c r="AW174" s="25">
        <f>IF(OR(O174="",AV174=""),"",O174*AV174)</f>
        <v/>
      </c>
      <c r="AX174" s="23" t="n"/>
      <c r="AY174" s="23" t="n"/>
      <c r="AZ174" s="23" t="n"/>
      <c r="BA174" s="23" t="n"/>
      <c r="BB174" s="23" t="n"/>
      <c r="BC174" s="25" t="n"/>
      <c r="BD174" s="23" t="n"/>
      <c r="BE174" s="23">
        <f>IF(C174="","",IF(AND(ISNUMBER(P174),P174&gt;MAX_PRICE),"Price too high",IF(AND(ISNUMBER(AB174),AB174&lt;=2),"Quality risk",IF(AND(ISNUMBER(U174),U174&lt;=2),"Aesthetic mismatch",IF(AY174="High","Too fragile",IF(AND(ISNUMBER(R174),R174&lt;LOW_PROFIT_PCT),"Low profit",IF(AND(ISNUMBER(AT174),AT174&gt;MOQ_WARNING),"MOQ too high",IF(OR(AD174="Maybe",AD174="Price Review"),"Needs partner review",IF(AD174="Buy","Good candidate","")))))))))</f>
        <v/>
      </c>
      <c r="BF174" s="23" t="n"/>
      <c r="BG174" s="23" t="n"/>
      <c r="BH174" s="23" t="n"/>
      <c r="BI174" s="23" t="n"/>
      <c r="BJ174" s="23" t="n"/>
      <c r="BK174" s="23" t="n"/>
      <c r="BL174" s="23">
        <f>IF(C174="","",IF(AND(BG174="Yes",BH174="Yes",BI174="Yes",BJ174="Yes",BK174="Yes"),"Yes","No"))</f>
        <v/>
      </c>
      <c r="BM174" s="25" t="n"/>
      <c r="BN174" s="25" t="n"/>
      <c r="BO174" s="25">
        <f>IF(OR(BM174="",BN174=""),"",BM174+BN174)</f>
        <v/>
      </c>
      <c r="BP174" s="25" t="n"/>
      <c r="BQ174" s="25">
        <f>IF(OR(BP174="",BO174=""),"",BP174-BO174)</f>
        <v/>
      </c>
      <c r="BR174" s="26">
        <f>IF(OR(BP174="",BP174=0,BQ174=""),"",BQ174/BP174)</f>
        <v/>
      </c>
      <c r="BS174" s="24" t="n"/>
      <c r="BT174" s="29" t="n"/>
      <c r="BU174" s="29" t="n"/>
      <c r="BV174" s="23" t="n"/>
      <c r="BW174" s="23" t="n"/>
      <c r="BX174" s="29">
        <f>IF(OR(BT174="",BU174=""),"",BT174-BU174)</f>
        <v/>
      </c>
      <c r="BY174" s="23" t="n"/>
      <c r="BZ174" s="24" t="n"/>
      <c r="CA174" s="23" t="n"/>
      <c r="CB174" s="23" t="n"/>
    </row>
    <row r="175">
      <c r="A175" s="16">
        <f>IF(C175="","","AYN-"&amp;IFERROR(VLOOKUP(E175,CATEGORY_PREFIX_TABLE,2,FALSE),"OTH")&amp;"-"&amp;TEXT(ROW()-2,"0000"))</f>
        <v/>
      </c>
      <c r="B175" s="17" t="n"/>
      <c r="C175" s="16" t="n"/>
      <c r="D175" s="16" t="n"/>
      <c r="E175" s="16" t="n"/>
      <c r="F175" s="16" t="n"/>
      <c r="G175" s="16" t="n"/>
      <c r="H175" s="16" t="n"/>
      <c r="I175" s="16" t="n"/>
      <c r="J175" s="16" t="n"/>
      <c r="K175" s="18">
        <f>IF(I175="","",IF(J175="BDT",I175,IF(J175="USD",I175*USD_BDT,IF(J175="RMB",I175*RMB_BDT,""))))</f>
        <v/>
      </c>
      <c r="L175" s="18" t="n"/>
      <c r="M175" s="19" t="n"/>
      <c r="N175" s="18" t="n"/>
      <c r="O175" s="18">
        <f>IF(K175="","",K175+IFERROR(L175,0)+(K175*IF(M175="",CUSTOMS_PCT,M175))+IF(N175="",MISC_FEE,N175))</f>
        <v/>
      </c>
      <c r="P175" s="18">
        <f>IF(O175="","",ROUND(O175*(1+MARKUP_PCT),-1)-1)</f>
        <v/>
      </c>
      <c r="Q175" s="18">
        <f>IF(P175="","",P175-O175)</f>
        <v/>
      </c>
      <c r="R175" s="19">
        <f>IF(OR(P175="",P175=0),"",Q175/P175)</f>
        <v/>
      </c>
      <c r="S175" s="16" t="n"/>
      <c r="T175" s="16" t="n"/>
      <c r="U175" s="16" t="n"/>
      <c r="V175" s="16" t="n"/>
      <c r="W175" s="16" t="n"/>
      <c r="X175" s="16" t="n"/>
      <c r="Y175" s="16" t="n"/>
      <c r="Z175" s="16" t="n"/>
      <c r="AA175" s="16" t="n"/>
      <c r="AB175" s="16" t="n"/>
      <c r="AC175" s="20">
        <f>IF(COUNT(S175:AB175)&lt;10,"",(S175*W_FEMININE+T175*W_TREND+U175*W_AESTHETIC+V175*W_STYLE+W175*W_LIGHT+X175*W_REELS+Y175*W_GIFT+Z175*W_PRICEFIT+AA175*W_DEMAND+AB175*W_QUALITY)/5*100)</f>
        <v/>
      </c>
      <c r="AD175" s="16">
        <f>IF(P175="","",IF(P175&gt;HARD_REJECT_PRICE,"Reject",IF(P175&gt;MAX_PRICE,"Price Review",IF(AC175="","",IF(AND(AC175&gt;=BUY_THRESHOLD,OR(AB175&lt;=2,U175&lt;=2)),"Maybe",IF(AC175&gt;=BUY_THRESHOLD,"Buy",IF(AC175&gt;=MAYBE_THRESHOLD,"Maybe","Reject")))))))</f>
        <v/>
      </c>
      <c r="AE175" s="16" t="n"/>
      <c r="AF175" s="16" t="n"/>
      <c r="AG175" s="16" t="n"/>
      <c r="AH175" s="16" t="n"/>
      <c r="AI175" s="17" t="n"/>
      <c r="AJ175">
        <f>IF(AC175="",-9999-ROW()*0.0000001,AC175-ROW()*0.0000001)</f>
        <v/>
      </c>
      <c r="AK175">
        <f>IF(OR(AC175="",P175="",P175&gt;MAX_PRICE),-9999-ROW()*0.0000001,AC175-ROW()*0.0000001)</f>
        <v/>
      </c>
      <c r="AL175">
        <f>IF(AC175="",-9999-ROW()*0.0000001,X175*1000+AC175-ROW()*0.0000001)</f>
        <v/>
      </c>
      <c r="AM175">
        <f>IF(AC175="",-9999-ROW()*0.0000001,Y175*1000+AC175-ROW()*0.0000001)</f>
        <v/>
      </c>
      <c r="AN175">
        <f>IF(AND(OR(AD175="Maybe",AD175="Price Review"),AG175&lt;&gt;"Approved",AG175&lt;&gt;"Rejected"),IF(AC175="",0,AC175)-ROW()*0.0000001,-9999-ROW()*0.0000001)</f>
        <v/>
      </c>
      <c r="AO175" s="21" t="n"/>
      <c r="AP175" s="21" t="n"/>
      <c r="AQ175" s="22" t="n"/>
      <c r="AR175" s="22" t="n"/>
      <c r="AS175" s="16" t="n"/>
      <c r="AT175" s="22" t="n"/>
      <c r="AU175" s="22" t="n"/>
      <c r="AV175" s="22" t="n"/>
      <c r="AW175" s="18">
        <f>IF(OR(O175="",AV175=""),"",O175*AV175)</f>
        <v/>
      </c>
      <c r="AX175" s="16" t="n"/>
      <c r="AY175" s="16" t="n"/>
      <c r="AZ175" s="16" t="n"/>
      <c r="BA175" s="16" t="n"/>
      <c r="BB175" s="16" t="n"/>
      <c r="BC175" s="18" t="n"/>
      <c r="BD175" s="16" t="n"/>
      <c r="BE175" s="16">
        <f>IF(C175="","",IF(AND(ISNUMBER(P175),P175&gt;MAX_PRICE),"Price too high",IF(AND(ISNUMBER(AB175),AB175&lt;=2),"Quality risk",IF(AND(ISNUMBER(U175),U175&lt;=2),"Aesthetic mismatch",IF(AY175="High","Too fragile",IF(AND(ISNUMBER(R175),R175&lt;LOW_PROFIT_PCT),"Low profit",IF(AND(ISNUMBER(AT175),AT175&gt;MOQ_WARNING),"MOQ too high",IF(OR(AD175="Maybe",AD175="Price Review"),"Needs partner review",IF(AD175="Buy","Good candidate","")))))))))</f>
        <v/>
      </c>
      <c r="BF175" s="16" t="n"/>
      <c r="BG175" s="16" t="n"/>
      <c r="BH175" s="16" t="n"/>
      <c r="BI175" s="16" t="n"/>
      <c r="BJ175" s="16" t="n"/>
      <c r="BK175" s="16" t="n"/>
      <c r="BL175" s="16">
        <f>IF(C175="","",IF(AND(BG175="Yes",BH175="Yes",BI175="Yes",BJ175="Yes",BK175="Yes"),"Yes","No"))</f>
        <v/>
      </c>
      <c r="BM175" s="18" t="n"/>
      <c r="BN175" s="18" t="n"/>
      <c r="BO175" s="18">
        <f>IF(OR(BM175="",BN175=""),"",BM175+BN175)</f>
        <v/>
      </c>
      <c r="BP175" s="18" t="n"/>
      <c r="BQ175" s="18">
        <f>IF(OR(BP175="",BO175=""),"",BP175-BO175)</f>
        <v/>
      </c>
      <c r="BR175" s="19">
        <f>IF(OR(BP175="",BP175=0,BQ175=""),"",BQ175/BP175)</f>
        <v/>
      </c>
      <c r="BS175" s="17" t="n"/>
      <c r="BT175" s="22" t="n"/>
      <c r="BU175" s="22" t="n"/>
      <c r="BV175" s="16" t="n"/>
      <c r="BW175" s="16" t="n"/>
      <c r="BX175" s="22">
        <f>IF(OR(BT175="",BU175=""),"",BT175-BU175)</f>
        <v/>
      </c>
      <c r="BY175" s="16" t="n"/>
      <c r="BZ175" s="17" t="n"/>
      <c r="CA175" s="16" t="n"/>
      <c r="CB175" s="16" t="n"/>
    </row>
    <row r="176">
      <c r="A176" s="23">
        <f>IF(C176="","","AYN-"&amp;IFERROR(VLOOKUP(E176,CATEGORY_PREFIX_TABLE,2,FALSE),"OTH")&amp;"-"&amp;TEXT(ROW()-2,"0000"))</f>
        <v/>
      </c>
      <c r="B176" s="24" t="n"/>
      <c r="C176" s="23" t="n"/>
      <c r="D176" s="23" t="n"/>
      <c r="E176" s="23" t="n"/>
      <c r="F176" s="23" t="n"/>
      <c r="G176" s="23" t="n"/>
      <c r="H176" s="23" t="n"/>
      <c r="I176" s="23" t="n"/>
      <c r="J176" s="23" t="n"/>
      <c r="K176" s="25">
        <f>IF(I176="","",IF(J176="BDT",I176,IF(J176="USD",I176*USD_BDT,IF(J176="RMB",I176*RMB_BDT,""))))</f>
        <v/>
      </c>
      <c r="L176" s="25" t="n"/>
      <c r="M176" s="26" t="n"/>
      <c r="N176" s="25" t="n"/>
      <c r="O176" s="25">
        <f>IF(K176="","",K176+IFERROR(L176,0)+(K176*IF(M176="",CUSTOMS_PCT,M176))+IF(N176="",MISC_FEE,N176))</f>
        <v/>
      </c>
      <c r="P176" s="25">
        <f>IF(O176="","",ROUND(O176*(1+MARKUP_PCT),-1)-1)</f>
        <v/>
      </c>
      <c r="Q176" s="25">
        <f>IF(P176="","",P176-O176)</f>
        <v/>
      </c>
      <c r="R176" s="26">
        <f>IF(OR(P176="",P176=0),"",Q176/P176)</f>
        <v/>
      </c>
      <c r="S176" s="23" t="n"/>
      <c r="T176" s="23" t="n"/>
      <c r="U176" s="23" t="n"/>
      <c r="V176" s="23" t="n"/>
      <c r="W176" s="23" t="n"/>
      <c r="X176" s="23" t="n"/>
      <c r="Y176" s="23" t="n"/>
      <c r="Z176" s="23" t="n"/>
      <c r="AA176" s="23" t="n"/>
      <c r="AB176" s="23" t="n"/>
      <c r="AC176" s="27">
        <f>IF(COUNT(S176:AB176)&lt;10,"",(S176*W_FEMININE+T176*W_TREND+U176*W_AESTHETIC+V176*W_STYLE+W176*W_LIGHT+X176*W_REELS+Y176*W_GIFT+Z176*W_PRICEFIT+AA176*W_DEMAND+AB176*W_QUALITY)/5*100)</f>
        <v/>
      </c>
      <c r="AD176" s="23">
        <f>IF(P176="","",IF(P176&gt;HARD_REJECT_PRICE,"Reject",IF(P176&gt;MAX_PRICE,"Price Review",IF(AC176="","",IF(AND(AC176&gt;=BUY_THRESHOLD,OR(AB176&lt;=2,U176&lt;=2)),"Maybe",IF(AC176&gt;=BUY_THRESHOLD,"Buy",IF(AC176&gt;=MAYBE_THRESHOLD,"Maybe","Reject")))))))</f>
        <v/>
      </c>
      <c r="AE176" s="23" t="n"/>
      <c r="AF176" s="23" t="n"/>
      <c r="AG176" s="23" t="n"/>
      <c r="AH176" s="23" t="n"/>
      <c r="AI176" s="24" t="n"/>
      <c r="AJ176">
        <f>IF(AC176="",-9999-ROW()*0.0000001,AC176-ROW()*0.0000001)</f>
        <v/>
      </c>
      <c r="AK176">
        <f>IF(OR(AC176="",P176="",P176&gt;MAX_PRICE),-9999-ROW()*0.0000001,AC176-ROW()*0.0000001)</f>
        <v/>
      </c>
      <c r="AL176">
        <f>IF(AC176="",-9999-ROW()*0.0000001,X176*1000+AC176-ROW()*0.0000001)</f>
        <v/>
      </c>
      <c r="AM176">
        <f>IF(AC176="",-9999-ROW()*0.0000001,Y176*1000+AC176-ROW()*0.0000001)</f>
        <v/>
      </c>
      <c r="AN176">
        <f>IF(AND(OR(AD176="Maybe",AD176="Price Review"),AG176&lt;&gt;"Approved",AG176&lt;&gt;"Rejected"),IF(AC176="",0,AC176)-ROW()*0.0000001,-9999-ROW()*0.0000001)</f>
        <v/>
      </c>
      <c r="AO176" s="28" t="n"/>
      <c r="AP176" s="28" t="n"/>
      <c r="AQ176" s="29" t="n"/>
      <c r="AR176" s="29" t="n"/>
      <c r="AS176" s="23" t="n"/>
      <c r="AT176" s="29" t="n"/>
      <c r="AU176" s="29" t="n"/>
      <c r="AV176" s="29" t="n"/>
      <c r="AW176" s="25">
        <f>IF(OR(O176="",AV176=""),"",O176*AV176)</f>
        <v/>
      </c>
      <c r="AX176" s="23" t="n"/>
      <c r="AY176" s="23" t="n"/>
      <c r="AZ176" s="23" t="n"/>
      <c r="BA176" s="23" t="n"/>
      <c r="BB176" s="23" t="n"/>
      <c r="BC176" s="25" t="n"/>
      <c r="BD176" s="23" t="n"/>
      <c r="BE176" s="23">
        <f>IF(C176="","",IF(AND(ISNUMBER(P176),P176&gt;MAX_PRICE),"Price too high",IF(AND(ISNUMBER(AB176),AB176&lt;=2),"Quality risk",IF(AND(ISNUMBER(U176),U176&lt;=2),"Aesthetic mismatch",IF(AY176="High","Too fragile",IF(AND(ISNUMBER(R176),R176&lt;LOW_PROFIT_PCT),"Low profit",IF(AND(ISNUMBER(AT176),AT176&gt;MOQ_WARNING),"MOQ too high",IF(OR(AD176="Maybe",AD176="Price Review"),"Needs partner review",IF(AD176="Buy","Good candidate","")))))))))</f>
        <v/>
      </c>
      <c r="BF176" s="23" t="n"/>
      <c r="BG176" s="23" t="n"/>
      <c r="BH176" s="23" t="n"/>
      <c r="BI176" s="23" t="n"/>
      <c r="BJ176" s="23" t="n"/>
      <c r="BK176" s="23" t="n"/>
      <c r="BL176" s="23">
        <f>IF(C176="","",IF(AND(BG176="Yes",BH176="Yes",BI176="Yes",BJ176="Yes",BK176="Yes"),"Yes","No"))</f>
        <v/>
      </c>
      <c r="BM176" s="25" t="n"/>
      <c r="BN176" s="25" t="n"/>
      <c r="BO176" s="25">
        <f>IF(OR(BM176="",BN176=""),"",BM176+BN176)</f>
        <v/>
      </c>
      <c r="BP176" s="25" t="n"/>
      <c r="BQ176" s="25">
        <f>IF(OR(BP176="",BO176=""),"",BP176-BO176)</f>
        <v/>
      </c>
      <c r="BR176" s="26">
        <f>IF(OR(BP176="",BP176=0,BQ176=""),"",BQ176/BP176)</f>
        <v/>
      </c>
      <c r="BS176" s="24" t="n"/>
      <c r="BT176" s="29" t="n"/>
      <c r="BU176" s="29" t="n"/>
      <c r="BV176" s="23" t="n"/>
      <c r="BW176" s="23" t="n"/>
      <c r="BX176" s="29">
        <f>IF(OR(BT176="",BU176=""),"",BT176-BU176)</f>
        <v/>
      </c>
      <c r="BY176" s="23" t="n"/>
      <c r="BZ176" s="24" t="n"/>
      <c r="CA176" s="23" t="n"/>
      <c r="CB176" s="23" t="n"/>
    </row>
    <row r="177">
      <c r="A177" s="16">
        <f>IF(C177="","","AYN-"&amp;IFERROR(VLOOKUP(E177,CATEGORY_PREFIX_TABLE,2,FALSE),"OTH")&amp;"-"&amp;TEXT(ROW()-2,"0000"))</f>
        <v/>
      </c>
      <c r="B177" s="17" t="n"/>
      <c r="C177" s="16" t="n"/>
      <c r="D177" s="16" t="n"/>
      <c r="E177" s="16" t="n"/>
      <c r="F177" s="16" t="n"/>
      <c r="G177" s="16" t="n"/>
      <c r="H177" s="16" t="n"/>
      <c r="I177" s="16" t="n"/>
      <c r="J177" s="16" t="n"/>
      <c r="K177" s="18">
        <f>IF(I177="","",IF(J177="BDT",I177,IF(J177="USD",I177*USD_BDT,IF(J177="RMB",I177*RMB_BDT,""))))</f>
        <v/>
      </c>
      <c r="L177" s="18" t="n"/>
      <c r="M177" s="19" t="n"/>
      <c r="N177" s="18" t="n"/>
      <c r="O177" s="18">
        <f>IF(K177="","",K177+IFERROR(L177,0)+(K177*IF(M177="",CUSTOMS_PCT,M177))+IF(N177="",MISC_FEE,N177))</f>
        <v/>
      </c>
      <c r="P177" s="18">
        <f>IF(O177="","",ROUND(O177*(1+MARKUP_PCT),-1)-1)</f>
        <v/>
      </c>
      <c r="Q177" s="18">
        <f>IF(P177="","",P177-O177)</f>
        <v/>
      </c>
      <c r="R177" s="19">
        <f>IF(OR(P177="",P177=0),"",Q177/P177)</f>
        <v/>
      </c>
      <c r="S177" s="16" t="n"/>
      <c r="T177" s="16" t="n"/>
      <c r="U177" s="16" t="n"/>
      <c r="V177" s="16" t="n"/>
      <c r="W177" s="16" t="n"/>
      <c r="X177" s="16" t="n"/>
      <c r="Y177" s="16" t="n"/>
      <c r="Z177" s="16" t="n"/>
      <c r="AA177" s="16" t="n"/>
      <c r="AB177" s="16" t="n"/>
      <c r="AC177" s="20">
        <f>IF(COUNT(S177:AB177)&lt;10,"",(S177*W_FEMININE+T177*W_TREND+U177*W_AESTHETIC+V177*W_STYLE+W177*W_LIGHT+X177*W_REELS+Y177*W_GIFT+Z177*W_PRICEFIT+AA177*W_DEMAND+AB177*W_QUALITY)/5*100)</f>
        <v/>
      </c>
      <c r="AD177" s="16">
        <f>IF(P177="","",IF(P177&gt;HARD_REJECT_PRICE,"Reject",IF(P177&gt;MAX_PRICE,"Price Review",IF(AC177="","",IF(AND(AC177&gt;=BUY_THRESHOLD,OR(AB177&lt;=2,U177&lt;=2)),"Maybe",IF(AC177&gt;=BUY_THRESHOLD,"Buy",IF(AC177&gt;=MAYBE_THRESHOLD,"Maybe","Reject")))))))</f>
        <v/>
      </c>
      <c r="AE177" s="16" t="n"/>
      <c r="AF177" s="16" t="n"/>
      <c r="AG177" s="16" t="n"/>
      <c r="AH177" s="16" t="n"/>
      <c r="AI177" s="17" t="n"/>
      <c r="AJ177">
        <f>IF(AC177="",-9999-ROW()*0.0000001,AC177-ROW()*0.0000001)</f>
        <v/>
      </c>
      <c r="AK177">
        <f>IF(OR(AC177="",P177="",P177&gt;MAX_PRICE),-9999-ROW()*0.0000001,AC177-ROW()*0.0000001)</f>
        <v/>
      </c>
      <c r="AL177">
        <f>IF(AC177="",-9999-ROW()*0.0000001,X177*1000+AC177-ROW()*0.0000001)</f>
        <v/>
      </c>
      <c r="AM177">
        <f>IF(AC177="",-9999-ROW()*0.0000001,Y177*1000+AC177-ROW()*0.0000001)</f>
        <v/>
      </c>
      <c r="AN177">
        <f>IF(AND(OR(AD177="Maybe",AD177="Price Review"),AG177&lt;&gt;"Approved",AG177&lt;&gt;"Rejected"),IF(AC177="",0,AC177)-ROW()*0.0000001,-9999-ROW()*0.0000001)</f>
        <v/>
      </c>
      <c r="AO177" s="21" t="n"/>
      <c r="AP177" s="21" t="n"/>
      <c r="AQ177" s="22" t="n"/>
      <c r="AR177" s="22" t="n"/>
      <c r="AS177" s="16" t="n"/>
      <c r="AT177" s="22" t="n"/>
      <c r="AU177" s="22" t="n"/>
      <c r="AV177" s="22" t="n"/>
      <c r="AW177" s="18">
        <f>IF(OR(O177="",AV177=""),"",O177*AV177)</f>
        <v/>
      </c>
      <c r="AX177" s="16" t="n"/>
      <c r="AY177" s="16" t="n"/>
      <c r="AZ177" s="16" t="n"/>
      <c r="BA177" s="16" t="n"/>
      <c r="BB177" s="16" t="n"/>
      <c r="BC177" s="18" t="n"/>
      <c r="BD177" s="16" t="n"/>
      <c r="BE177" s="16">
        <f>IF(C177="","",IF(AND(ISNUMBER(P177),P177&gt;MAX_PRICE),"Price too high",IF(AND(ISNUMBER(AB177),AB177&lt;=2),"Quality risk",IF(AND(ISNUMBER(U177),U177&lt;=2),"Aesthetic mismatch",IF(AY177="High","Too fragile",IF(AND(ISNUMBER(R177),R177&lt;LOW_PROFIT_PCT),"Low profit",IF(AND(ISNUMBER(AT177),AT177&gt;MOQ_WARNING),"MOQ too high",IF(OR(AD177="Maybe",AD177="Price Review"),"Needs partner review",IF(AD177="Buy","Good candidate","")))))))))</f>
        <v/>
      </c>
      <c r="BF177" s="16" t="n"/>
      <c r="BG177" s="16" t="n"/>
      <c r="BH177" s="16" t="n"/>
      <c r="BI177" s="16" t="n"/>
      <c r="BJ177" s="16" t="n"/>
      <c r="BK177" s="16" t="n"/>
      <c r="BL177" s="16">
        <f>IF(C177="","",IF(AND(BG177="Yes",BH177="Yes",BI177="Yes",BJ177="Yes",BK177="Yes"),"Yes","No"))</f>
        <v/>
      </c>
      <c r="BM177" s="18" t="n"/>
      <c r="BN177" s="18" t="n"/>
      <c r="BO177" s="18">
        <f>IF(OR(BM177="",BN177=""),"",BM177+BN177)</f>
        <v/>
      </c>
      <c r="BP177" s="18" t="n"/>
      <c r="BQ177" s="18">
        <f>IF(OR(BP177="",BO177=""),"",BP177-BO177)</f>
        <v/>
      </c>
      <c r="BR177" s="19">
        <f>IF(OR(BP177="",BP177=0,BQ177=""),"",BQ177/BP177)</f>
        <v/>
      </c>
      <c r="BS177" s="17" t="n"/>
      <c r="BT177" s="22" t="n"/>
      <c r="BU177" s="22" t="n"/>
      <c r="BV177" s="16" t="n"/>
      <c r="BW177" s="16" t="n"/>
      <c r="BX177" s="22">
        <f>IF(OR(BT177="",BU177=""),"",BT177-BU177)</f>
        <v/>
      </c>
      <c r="BY177" s="16" t="n"/>
      <c r="BZ177" s="17" t="n"/>
      <c r="CA177" s="16" t="n"/>
      <c r="CB177" s="16" t="n"/>
    </row>
    <row r="178">
      <c r="A178" s="23">
        <f>IF(C178="","","AYN-"&amp;IFERROR(VLOOKUP(E178,CATEGORY_PREFIX_TABLE,2,FALSE),"OTH")&amp;"-"&amp;TEXT(ROW()-2,"0000"))</f>
        <v/>
      </c>
      <c r="B178" s="24" t="n"/>
      <c r="C178" s="23" t="n"/>
      <c r="D178" s="23" t="n"/>
      <c r="E178" s="23" t="n"/>
      <c r="F178" s="23" t="n"/>
      <c r="G178" s="23" t="n"/>
      <c r="H178" s="23" t="n"/>
      <c r="I178" s="23" t="n"/>
      <c r="J178" s="23" t="n"/>
      <c r="K178" s="25">
        <f>IF(I178="","",IF(J178="BDT",I178,IF(J178="USD",I178*USD_BDT,IF(J178="RMB",I178*RMB_BDT,""))))</f>
        <v/>
      </c>
      <c r="L178" s="25" t="n"/>
      <c r="M178" s="26" t="n"/>
      <c r="N178" s="25" t="n"/>
      <c r="O178" s="25">
        <f>IF(K178="","",K178+IFERROR(L178,0)+(K178*IF(M178="",CUSTOMS_PCT,M178))+IF(N178="",MISC_FEE,N178))</f>
        <v/>
      </c>
      <c r="P178" s="25">
        <f>IF(O178="","",ROUND(O178*(1+MARKUP_PCT),-1)-1)</f>
        <v/>
      </c>
      <c r="Q178" s="25">
        <f>IF(P178="","",P178-O178)</f>
        <v/>
      </c>
      <c r="R178" s="26">
        <f>IF(OR(P178="",P178=0),"",Q178/P178)</f>
        <v/>
      </c>
      <c r="S178" s="23" t="n"/>
      <c r="T178" s="23" t="n"/>
      <c r="U178" s="23" t="n"/>
      <c r="V178" s="23" t="n"/>
      <c r="W178" s="23" t="n"/>
      <c r="X178" s="23" t="n"/>
      <c r="Y178" s="23" t="n"/>
      <c r="Z178" s="23" t="n"/>
      <c r="AA178" s="23" t="n"/>
      <c r="AB178" s="23" t="n"/>
      <c r="AC178" s="27">
        <f>IF(COUNT(S178:AB178)&lt;10,"",(S178*W_FEMININE+T178*W_TREND+U178*W_AESTHETIC+V178*W_STYLE+W178*W_LIGHT+X178*W_REELS+Y178*W_GIFT+Z178*W_PRICEFIT+AA178*W_DEMAND+AB178*W_QUALITY)/5*100)</f>
        <v/>
      </c>
      <c r="AD178" s="23">
        <f>IF(P178="","",IF(P178&gt;HARD_REJECT_PRICE,"Reject",IF(P178&gt;MAX_PRICE,"Price Review",IF(AC178="","",IF(AND(AC178&gt;=BUY_THRESHOLD,OR(AB178&lt;=2,U178&lt;=2)),"Maybe",IF(AC178&gt;=BUY_THRESHOLD,"Buy",IF(AC178&gt;=MAYBE_THRESHOLD,"Maybe","Reject")))))))</f>
        <v/>
      </c>
      <c r="AE178" s="23" t="n"/>
      <c r="AF178" s="23" t="n"/>
      <c r="AG178" s="23" t="n"/>
      <c r="AH178" s="23" t="n"/>
      <c r="AI178" s="24" t="n"/>
      <c r="AJ178">
        <f>IF(AC178="",-9999-ROW()*0.0000001,AC178-ROW()*0.0000001)</f>
        <v/>
      </c>
      <c r="AK178">
        <f>IF(OR(AC178="",P178="",P178&gt;MAX_PRICE),-9999-ROW()*0.0000001,AC178-ROW()*0.0000001)</f>
        <v/>
      </c>
      <c r="AL178">
        <f>IF(AC178="",-9999-ROW()*0.0000001,X178*1000+AC178-ROW()*0.0000001)</f>
        <v/>
      </c>
      <c r="AM178">
        <f>IF(AC178="",-9999-ROW()*0.0000001,Y178*1000+AC178-ROW()*0.0000001)</f>
        <v/>
      </c>
      <c r="AN178">
        <f>IF(AND(OR(AD178="Maybe",AD178="Price Review"),AG178&lt;&gt;"Approved",AG178&lt;&gt;"Rejected"),IF(AC178="",0,AC178)-ROW()*0.0000001,-9999-ROW()*0.0000001)</f>
        <v/>
      </c>
      <c r="AO178" s="28" t="n"/>
      <c r="AP178" s="28" t="n"/>
      <c r="AQ178" s="29" t="n"/>
      <c r="AR178" s="29" t="n"/>
      <c r="AS178" s="23" t="n"/>
      <c r="AT178" s="29" t="n"/>
      <c r="AU178" s="29" t="n"/>
      <c r="AV178" s="29" t="n"/>
      <c r="AW178" s="25">
        <f>IF(OR(O178="",AV178=""),"",O178*AV178)</f>
        <v/>
      </c>
      <c r="AX178" s="23" t="n"/>
      <c r="AY178" s="23" t="n"/>
      <c r="AZ178" s="23" t="n"/>
      <c r="BA178" s="23" t="n"/>
      <c r="BB178" s="23" t="n"/>
      <c r="BC178" s="25" t="n"/>
      <c r="BD178" s="23" t="n"/>
      <c r="BE178" s="23">
        <f>IF(C178="","",IF(AND(ISNUMBER(P178),P178&gt;MAX_PRICE),"Price too high",IF(AND(ISNUMBER(AB178),AB178&lt;=2),"Quality risk",IF(AND(ISNUMBER(U178),U178&lt;=2),"Aesthetic mismatch",IF(AY178="High","Too fragile",IF(AND(ISNUMBER(R178),R178&lt;LOW_PROFIT_PCT),"Low profit",IF(AND(ISNUMBER(AT178),AT178&gt;MOQ_WARNING),"MOQ too high",IF(OR(AD178="Maybe",AD178="Price Review"),"Needs partner review",IF(AD178="Buy","Good candidate","")))))))))</f>
        <v/>
      </c>
      <c r="BF178" s="23" t="n"/>
      <c r="BG178" s="23" t="n"/>
      <c r="BH178" s="23" t="n"/>
      <c r="BI178" s="23" t="n"/>
      <c r="BJ178" s="23" t="n"/>
      <c r="BK178" s="23" t="n"/>
      <c r="BL178" s="23">
        <f>IF(C178="","",IF(AND(BG178="Yes",BH178="Yes",BI178="Yes",BJ178="Yes",BK178="Yes"),"Yes","No"))</f>
        <v/>
      </c>
      <c r="BM178" s="25" t="n"/>
      <c r="BN178" s="25" t="n"/>
      <c r="BO178" s="25">
        <f>IF(OR(BM178="",BN178=""),"",BM178+BN178)</f>
        <v/>
      </c>
      <c r="BP178" s="25" t="n"/>
      <c r="BQ178" s="25">
        <f>IF(OR(BP178="",BO178=""),"",BP178-BO178)</f>
        <v/>
      </c>
      <c r="BR178" s="26">
        <f>IF(OR(BP178="",BP178=0,BQ178=""),"",BQ178/BP178)</f>
        <v/>
      </c>
      <c r="BS178" s="24" t="n"/>
      <c r="BT178" s="29" t="n"/>
      <c r="BU178" s="29" t="n"/>
      <c r="BV178" s="23" t="n"/>
      <c r="BW178" s="23" t="n"/>
      <c r="BX178" s="29">
        <f>IF(OR(BT178="",BU178=""),"",BT178-BU178)</f>
        <v/>
      </c>
      <c r="BY178" s="23" t="n"/>
      <c r="BZ178" s="24" t="n"/>
      <c r="CA178" s="23" t="n"/>
      <c r="CB178" s="23" t="n"/>
    </row>
    <row r="179">
      <c r="A179" s="16">
        <f>IF(C179="","","AYN-"&amp;IFERROR(VLOOKUP(E179,CATEGORY_PREFIX_TABLE,2,FALSE),"OTH")&amp;"-"&amp;TEXT(ROW()-2,"0000"))</f>
        <v/>
      </c>
      <c r="B179" s="17" t="n"/>
      <c r="C179" s="16" t="n"/>
      <c r="D179" s="16" t="n"/>
      <c r="E179" s="16" t="n"/>
      <c r="F179" s="16" t="n"/>
      <c r="G179" s="16" t="n"/>
      <c r="H179" s="16" t="n"/>
      <c r="I179" s="16" t="n"/>
      <c r="J179" s="16" t="n"/>
      <c r="K179" s="18">
        <f>IF(I179="","",IF(J179="BDT",I179,IF(J179="USD",I179*USD_BDT,IF(J179="RMB",I179*RMB_BDT,""))))</f>
        <v/>
      </c>
      <c r="L179" s="18" t="n"/>
      <c r="M179" s="19" t="n"/>
      <c r="N179" s="18" t="n"/>
      <c r="O179" s="18">
        <f>IF(K179="","",K179+IFERROR(L179,0)+(K179*IF(M179="",CUSTOMS_PCT,M179))+IF(N179="",MISC_FEE,N179))</f>
        <v/>
      </c>
      <c r="P179" s="18">
        <f>IF(O179="","",ROUND(O179*(1+MARKUP_PCT),-1)-1)</f>
        <v/>
      </c>
      <c r="Q179" s="18">
        <f>IF(P179="","",P179-O179)</f>
        <v/>
      </c>
      <c r="R179" s="19">
        <f>IF(OR(P179="",P179=0),"",Q179/P179)</f>
        <v/>
      </c>
      <c r="S179" s="16" t="n"/>
      <c r="T179" s="16" t="n"/>
      <c r="U179" s="16" t="n"/>
      <c r="V179" s="16" t="n"/>
      <c r="W179" s="16" t="n"/>
      <c r="X179" s="16" t="n"/>
      <c r="Y179" s="16" t="n"/>
      <c r="Z179" s="16" t="n"/>
      <c r="AA179" s="16" t="n"/>
      <c r="AB179" s="16" t="n"/>
      <c r="AC179" s="20">
        <f>IF(COUNT(S179:AB179)&lt;10,"",(S179*W_FEMININE+T179*W_TREND+U179*W_AESTHETIC+V179*W_STYLE+W179*W_LIGHT+X179*W_REELS+Y179*W_GIFT+Z179*W_PRICEFIT+AA179*W_DEMAND+AB179*W_QUALITY)/5*100)</f>
        <v/>
      </c>
      <c r="AD179" s="16">
        <f>IF(P179="","",IF(P179&gt;HARD_REJECT_PRICE,"Reject",IF(P179&gt;MAX_PRICE,"Price Review",IF(AC179="","",IF(AND(AC179&gt;=BUY_THRESHOLD,OR(AB179&lt;=2,U179&lt;=2)),"Maybe",IF(AC179&gt;=BUY_THRESHOLD,"Buy",IF(AC179&gt;=MAYBE_THRESHOLD,"Maybe","Reject")))))))</f>
        <v/>
      </c>
      <c r="AE179" s="16" t="n"/>
      <c r="AF179" s="16" t="n"/>
      <c r="AG179" s="16" t="n"/>
      <c r="AH179" s="16" t="n"/>
      <c r="AI179" s="17" t="n"/>
      <c r="AJ179">
        <f>IF(AC179="",-9999-ROW()*0.0000001,AC179-ROW()*0.0000001)</f>
        <v/>
      </c>
      <c r="AK179">
        <f>IF(OR(AC179="",P179="",P179&gt;MAX_PRICE),-9999-ROW()*0.0000001,AC179-ROW()*0.0000001)</f>
        <v/>
      </c>
      <c r="AL179">
        <f>IF(AC179="",-9999-ROW()*0.0000001,X179*1000+AC179-ROW()*0.0000001)</f>
        <v/>
      </c>
      <c r="AM179">
        <f>IF(AC179="",-9999-ROW()*0.0000001,Y179*1000+AC179-ROW()*0.0000001)</f>
        <v/>
      </c>
      <c r="AN179">
        <f>IF(AND(OR(AD179="Maybe",AD179="Price Review"),AG179&lt;&gt;"Approved",AG179&lt;&gt;"Rejected"),IF(AC179="",0,AC179)-ROW()*0.0000001,-9999-ROW()*0.0000001)</f>
        <v/>
      </c>
      <c r="AO179" s="21" t="n"/>
      <c r="AP179" s="21" t="n"/>
      <c r="AQ179" s="22" t="n"/>
      <c r="AR179" s="22" t="n"/>
      <c r="AS179" s="16" t="n"/>
      <c r="AT179" s="22" t="n"/>
      <c r="AU179" s="22" t="n"/>
      <c r="AV179" s="22" t="n"/>
      <c r="AW179" s="18">
        <f>IF(OR(O179="",AV179=""),"",O179*AV179)</f>
        <v/>
      </c>
      <c r="AX179" s="16" t="n"/>
      <c r="AY179" s="16" t="n"/>
      <c r="AZ179" s="16" t="n"/>
      <c r="BA179" s="16" t="n"/>
      <c r="BB179" s="16" t="n"/>
      <c r="BC179" s="18" t="n"/>
      <c r="BD179" s="16" t="n"/>
      <c r="BE179" s="16">
        <f>IF(C179="","",IF(AND(ISNUMBER(P179),P179&gt;MAX_PRICE),"Price too high",IF(AND(ISNUMBER(AB179),AB179&lt;=2),"Quality risk",IF(AND(ISNUMBER(U179),U179&lt;=2),"Aesthetic mismatch",IF(AY179="High","Too fragile",IF(AND(ISNUMBER(R179),R179&lt;LOW_PROFIT_PCT),"Low profit",IF(AND(ISNUMBER(AT179),AT179&gt;MOQ_WARNING),"MOQ too high",IF(OR(AD179="Maybe",AD179="Price Review"),"Needs partner review",IF(AD179="Buy","Good candidate","")))))))))</f>
        <v/>
      </c>
      <c r="BF179" s="16" t="n"/>
      <c r="BG179" s="16" t="n"/>
      <c r="BH179" s="16" t="n"/>
      <c r="BI179" s="16" t="n"/>
      <c r="BJ179" s="16" t="n"/>
      <c r="BK179" s="16" t="n"/>
      <c r="BL179" s="16">
        <f>IF(C179="","",IF(AND(BG179="Yes",BH179="Yes",BI179="Yes",BJ179="Yes",BK179="Yes"),"Yes","No"))</f>
        <v/>
      </c>
      <c r="BM179" s="18" t="n"/>
      <c r="BN179" s="18" t="n"/>
      <c r="BO179" s="18">
        <f>IF(OR(BM179="",BN179=""),"",BM179+BN179)</f>
        <v/>
      </c>
      <c r="BP179" s="18" t="n"/>
      <c r="BQ179" s="18">
        <f>IF(OR(BP179="",BO179=""),"",BP179-BO179)</f>
        <v/>
      </c>
      <c r="BR179" s="19">
        <f>IF(OR(BP179="",BP179=0,BQ179=""),"",BQ179/BP179)</f>
        <v/>
      </c>
      <c r="BS179" s="17" t="n"/>
      <c r="BT179" s="22" t="n"/>
      <c r="BU179" s="22" t="n"/>
      <c r="BV179" s="16" t="n"/>
      <c r="BW179" s="16" t="n"/>
      <c r="BX179" s="22">
        <f>IF(OR(BT179="",BU179=""),"",BT179-BU179)</f>
        <v/>
      </c>
      <c r="BY179" s="16" t="n"/>
      <c r="BZ179" s="17" t="n"/>
      <c r="CA179" s="16" t="n"/>
      <c r="CB179" s="16" t="n"/>
    </row>
    <row r="180">
      <c r="A180" s="23">
        <f>IF(C180="","","AYN-"&amp;IFERROR(VLOOKUP(E180,CATEGORY_PREFIX_TABLE,2,FALSE),"OTH")&amp;"-"&amp;TEXT(ROW()-2,"0000"))</f>
        <v/>
      </c>
      <c r="B180" s="24" t="n"/>
      <c r="C180" s="23" t="n"/>
      <c r="D180" s="23" t="n"/>
      <c r="E180" s="23" t="n"/>
      <c r="F180" s="23" t="n"/>
      <c r="G180" s="23" t="n"/>
      <c r="H180" s="23" t="n"/>
      <c r="I180" s="23" t="n"/>
      <c r="J180" s="23" t="n"/>
      <c r="K180" s="25">
        <f>IF(I180="","",IF(J180="BDT",I180,IF(J180="USD",I180*USD_BDT,IF(J180="RMB",I180*RMB_BDT,""))))</f>
        <v/>
      </c>
      <c r="L180" s="25" t="n"/>
      <c r="M180" s="26" t="n"/>
      <c r="N180" s="25" t="n"/>
      <c r="O180" s="25">
        <f>IF(K180="","",K180+IFERROR(L180,0)+(K180*IF(M180="",CUSTOMS_PCT,M180))+IF(N180="",MISC_FEE,N180))</f>
        <v/>
      </c>
      <c r="P180" s="25">
        <f>IF(O180="","",ROUND(O180*(1+MARKUP_PCT),-1)-1)</f>
        <v/>
      </c>
      <c r="Q180" s="25">
        <f>IF(P180="","",P180-O180)</f>
        <v/>
      </c>
      <c r="R180" s="26">
        <f>IF(OR(P180="",P180=0),"",Q180/P180)</f>
        <v/>
      </c>
      <c r="S180" s="23" t="n"/>
      <c r="T180" s="23" t="n"/>
      <c r="U180" s="23" t="n"/>
      <c r="V180" s="23" t="n"/>
      <c r="W180" s="23" t="n"/>
      <c r="X180" s="23" t="n"/>
      <c r="Y180" s="23" t="n"/>
      <c r="Z180" s="23" t="n"/>
      <c r="AA180" s="23" t="n"/>
      <c r="AB180" s="23" t="n"/>
      <c r="AC180" s="27">
        <f>IF(COUNT(S180:AB180)&lt;10,"",(S180*W_FEMININE+T180*W_TREND+U180*W_AESTHETIC+V180*W_STYLE+W180*W_LIGHT+X180*W_REELS+Y180*W_GIFT+Z180*W_PRICEFIT+AA180*W_DEMAND+AB180*W_QUALITY)/5*100)</f>
        <v/>
      </c>
      <c r="AD180" s="23">
        <f>IF(P180="","",IF(P180&gt;HARD_REJECT_PRICE,"Reject",IF(P180&gt;MAX_PRICE,"Price Review",IF(AC180="","",IF(AND(AC180&gt;=BUY_THRESHOLD,OR(AB180&lt;=2,U180&lt;=2)),"Maybe",IF(AC180&gt;=BUY_THRESHOLD,"Buy",IF(AC180&gt;=MAYBE_THRESHOLD,"Maybe","Reject")))))))</f>
        <v/>
      </c>
      <c r="AE180" s="23" t="n"/>
      <c r="AF180" s="23" t="n"/>
      <c r="AG180" s="23" t="n"/>
      <c r="AH180" s="23" t="n"/>
      <c r="AI180" s="24" t="n"/>
      <c r="AJ180">
        <f>IF(AC180="",-9999-ROW()*0.0000001,AC180-ROW()*0.0000001)</f>
        <v/>
      </c>
      <c r="AK180">
        <f>IF(OR(AC180="",P180="",P180&gt;MAX_PRICE),-9999-ROW()*0.0000001,AC180-ROW()*0.0000001)</f>
        <v/>
      </c>
      <c r="AL180">
        <f>IF(AC180="",-9999-ROW()*0.0000001,X180*1000+AC180-ROW()*0.0000001)</f>
        <v/>
      </c>
      <c r="AM180">
        <f>IF(AC180="",-9999-ROW()*0.0000001,Y180*1000+AC180-ROW()*0.0000001)</f>
        <v/>
      </c>
      <c r="AN180">
        <f>IF(AND(OR(AD180="Maybe",AD180="Price Review"),AG180&lt;&gt;"Approved",AG180&lt;&gt;"Rejected"),IF(AC180="",0,AC180)-ROW()*0.0000001,-9999-ROW()*0.0000001)</f>
        <v/>
      </c>
      <c r="AO180" s="28" t="n"/>
      <c r="AP180" s="28" t="n"/>
      <c r="AQ180" s="29" t="n"/>
      <c r="AR180" s="29" t="n"/>
      <c r="AS180" s="23" t="n"/>
      <c r="AT180" s="29" t="n"/>
      <c r="AU180" s="29" t="n"/>
      <c r="AV180" s="29" t="n"/>
      <c r="AW180" s="25">
        <f>IF(OR(O180="",AV180=""),"",O180*AV180)</f>
        <v/>
      </c>
      <c r="AX180" s="23" t="n"/>
      <c r="AY180" s="23" t="n"/>
      <c r="AZ180" s="23" t="n"/>
      <c r="BA180" s="23" t="n"/>
      <c r="BB180" s="23" t="n"/>
      <c r="BC180" s="25" t="n"/>
      <c r="BD180" s="23" t="n"/>
      <c r="BE180" s="23">
        <f>IF(C180="","",IF(AND(ISNUMBER(P180),P180&gt;MAX_PRICE),"Price too high",IF(AND(ISNUMBER(AB180),AB180&lt;=2),"Quality risk",IF(AND(ISNUMBER(U180),U180&lt;=2),"Aesthetic mismatch",IF(AY180="High","Too fragile",IF(AND(ISNUMBER(R180),R180&lt;LOW_PROFIT_PCT),"Low profit",IF(AND(ISNUMBER(AT180),AT180&gt;MOQ_WARNING),"MOQ too high",IF(OR(AD180="Maybe",AD180="Price Review"),"Needs partner review",IF(AD180="Buy","Good candidate","")))))))))</f>
        <v/>
      </c>
      <c r="BF180" s="23" t="n"/>
      <c r="BG180" s="23" t="n"/>
      <c r="BH180" s="23" t="n"/>
      <c r="BI180" s="23" t="n"/>
      <c r="BJ180" s="23" t="n"/>
      <c r="BK180" s="23" t="n"/>
      <c r="BL180" s="23">
        <f>IF(C180="","",IF(AND(BG180="Yes",BH180="Yes",BI180="Yes",BJ180="Yes",BK180="Yes"),"Yes","No"))</f>
        <v/>
      </c>
      <c r="BM180" s="25" t="n"/>
      <c r="BN180" s="25" t="n"/>
      <c r="BO180" s="25">
        <f>IF(OR(BM180="",BN180=""),"",BM180+BN180)</f>
        <v/>
      </c>
      <c r="BP180" s="25" t="n"/>
      <c r="BQ180" s="25">
        <f>IF(OR(BP180="",BO180=""),"",BP180-BO180)</f>
        <v/>
      </c>
      <c r="BR180" s="26">
        <f>IF(OR(BP180="",BP180=0,BQ180=""),"",BQ180/BP180)</f>
        <v/>
      </c>
      <c r="BS180" s="24" t="n"/>
      <c r="BT180" s="29" t="n"/>
      <c r="BU180" s="29" t="n"/>
      <c r="BV180" s="23" t="n"/>
      <c r="BW180" s="23" t="n"/>
      <c r="BX180" s="29">
        <f>IF(OR(BT180="",BU180=""),"",BT180-BU180)</f>
        <v/>
      </c>
      <c r="BY180" s="23" t="n"/>
      <c r="BZ180" s="24" t="n"/>
      <c r="CA180" s="23" t="n"/>
      <c r="CB180" s="23" t="n"/>
    </row>
    <row r="181">
      <c r="A181" s="16">
        <f>IF(C181="","","AYN-"&amp;IFERROR(VLOOKUP(E181,CATEGORY_PREFIX_TABLE,2,FALSE),"OTH")&amp;"-"&amp;TEXT(ROW()-2,"0000"))</f>
        <v/>
      </c>
      <c r="B181" s="17" t="n"/>
      <c r="C181" s="16" t="n"/>
      <c r="D181" s="16" t="n"/>
      <c r="E181" s="16" t="n"/>
      <c r="F181" s="16" t="n"/>
      <c r="G181" s="16" t="n"/>
      <c r="H181" s="16" t="n"/>
      <c r="I181" s="16" t="n"/>
      <c r="J181" s="16" t="n"/>
      <c r="K181" s="18">
        <f>IF(I181="","",IF(J181="BDT",I181,IF(J181="USD",I181*USD_BDT,IF(J181="RMB",I181*RMB_BDT,""))))</f>
        <v/>
      </c>
      <c r="L181" s="18" t="n"/>
      <c r="M181" s="19" t="n"/>
      <c r="N181" s="18" t="n"/>
      <c r="O181" s="18">
        <f>IF(K181="","",K181+IFERROR(L181,0)+(K181*IF(M181="",CUSTOMS_PCT,M181))+IF(N181="",MISC_FEE,N181))</f>
        <v/>
      </c>
      <c r="P181" s="18">
        <f>IF(O181="","",ROUND(O181*(1+MARKUP_PCT),-1)-1)</f>
        <v/>
      </c>
      <c r="Q181" s="18">
        <f>IF(P181="","",P181-O181)</f>
        <v/>
      </c>
      <c r="R181" s="19">
        <f>IF(OR(P181="",P181=0),"",Q181/P181)</f>
        <v/>
      </c>
      <c r="S181" s="16" t="n"/>
      <c r="T181" s="16" t="n"/>
      <c r="U181" s="16" t="n"/>
      <c r="V181" s="16" t="n"/>
      <c r="W181" s="16" t="n"/>
      <c r="X181" s="16" t="n"/>
      <c r="Y181" s="16" t="n"/>
      <c r="Z181" s="16" t="n"/>
      <c r="AA181" s="16" t="n"/>
      <c r="AB181" s="16" t="n"/>
      <c r="AC181" s="20">
        <f>IF(COUNT(S181:AB181)&lt;10,"",(S181*W_FEMININE+T181*W_TREND+U181*W_AESTHETIC+V181*W_STYLE+W181*W_LIGHT+X181*W_REELS+Y181*W_GIFT+Z181*W_PRICEFIT+AA181*W_DEMAND+AB181*W_QUALITY)/5*100)</f>
        <v/>
      </c>
      <c r="AD181" s="16">
        <f>IF(P181="","",IF(P181&gt;HARD_REJECT_PRICE,"Reject",IF(P181&gt;MAX_PRICE,"Price Review",IF(AC181="","",IF(AND(AC181&gt;=BUY_THRESHOLD,OR(AB181&lt;=2,U181&lt;=2)),"Maybe",IF(AC181&gt;=BUY_THRESHOLD,"Buy",IF(AC181&gt;=MAYBE_THRESHOLD,"Maybe","Reject")))))))</f>
        <v/>
      </c>
      <c r="AE181" s="16" t="n"/>
      <c r="AF181" s="16" t="n"/>
      <c r="AG181" s="16" t="n"/>
      <c r="AH181" s="16" t="n"/>
      <c r="AI181" s="17" t="n"/>
      <c r="AJ181">
        <f>IF(AC181="",-9999-ROW()*0.0000001,AC181-ROW()*0.0000001)</f>
        <v/>
      </c>
      <c r="AK181">
        <f>IF(OR(AC181="",P181="",P181&gt;MAX_PRICE),-9999-ROW()*0.0000001,AC181-ROW()*0.0000001)</f>
        <v/>
      </c>
      <c r="AL181">
        <f>IF(AC181="",-9999-ROW()*0.0000001,X181*1000+AC181-ROW()*0.0000001)</f>
        <v/>
      </c>
      <c r="AM181">
        <f>IF(AC181="",-9999-ROW()*0.0000001,Y181*1000+AC181-ROW()*0.0000001)</f>
        <v/>
      </c>
      <c r="AN181">
        <f>IF(AND(OR(AD181="Maybe",AD181="Price Review"),AG181&lt;&gt;"Approved",AG181&lt;&gt;"Rejected"),IF(AC181="",0,AC181)-ROW()*0.0000001,-9999-ROW()*0.0000001)</f>
        <v/>
      </c>
      <c r="AO181" s="21" t="n"/>
      <c r="AP181" s="21" t="n"/>
      <c r="AQ181" s="22" t="n"/>
      <c r="AR181" s="22" t="n"/>
      <c r="AS181" s="16" t="n"/>
      <c r="AT181" s="22" t="n"/>
      <c r="AU181" s="22" t="n"/>
      <c r="AV181" s="22" t="n"/>
      <c r="AW181" s="18">
        <f>IF(OR(O181="",AV181=""),"",O181*AV181)</f>
        <v/>
      </c>
      <c r="AX181" s="16" t="n"/>
      <c r="AY181" s="16" t="n"/>
      <c r="AZ181" s="16" t="n"/>
      <c r="BA181" s="16" t="n"/>
      <c r="BB181" s="16" t="n"/>
      <c r="BC181" s="18" t="n"/>
      <c r="BD181" s="16" t="n"/>
      <c r="BE181" s="16">
        <f>IF(C181="","",IF(AND(ISNUMBER(P181),P181&gt;MAX_PRICE),"Price too high",IF(AND(ISNUMBER(AB181),AB181&lt;=2),"Quality risk",IF(AND(ISNUMBER(U181),U181&lt;=2),"Aesthetic mismatch",IF(AY181="High","Too fragile",IF(AND(ISNUMBER(R181),R181&lt;LOW_PROFIT_PCT),"Low profit",IF(AND(ISNUMBER(AT181),AT181&gt;MOQ_WARNING),"MOQ too high",IF(OR(AD181="Maybe",AD181="Price Review"),"Needs partner review",IF(AD181="Buy","Good candidate","")))))))))</f>
        <v/>
      </c>
      <c r="BF181" s="16" t="n"/>
      <c r="BG181" s="16" t="n"/>
      <c r="BH181" s="16" t="n"/>
      <c r="BI181" s="16" t="n"/>
      <c r="BJ181" s="16" t="n"/>
      <c r="BK181" s="16" t="n"/>
      <c r="BL181" s="16">
        <f>IF(C181="","",IF(AND(BG181="Yes",BH181="Yes",BI181="Yes",BJ181="Yes",BK181="Yes"),"Yes","No"))</f>
        <v/>
      </c>
      <c r="BM181" s="18" t="n"/>
      <c r="BN181" s="18" t="n"/>
      <c r="BO181" s="18">
        <f>IF(OR(BM181="",BN181=""),"",BM181+BN181)</f>
        <v/>
      </c>
      <c r="BP181" s="18" t="n"/>
      <c r="BQ181" s="18">
        <f>IF(OR(BP181="",BO181=""),"",BP181-BO181)</f>
        <v/>
      </c>
      <c r="BR181" s="19">
        <f>IF(OR(BP181="",BP181=0,BQ181=""),"",BQ181/BP181)</f>
        <v/>
      </c>
      <c r="BS181" s="17" t="n"/>
      <c r="BT181" s="22" t="n"/>
      <c r="BU181" s="22" t="n"/>
      <c r="BV181" s="16" t="n"/>
      <c r="BW181" s="16" t="n"/>
      <c r="BX181" s="22">
        <f>IF(OR(BT181="",BU181=""),"",BT181-BU181)</f>
        <v/>
      </c>
      <c r="BY181" s="16" t="n"/>
      <c r="BZ181" s="17" t="n"/>
      <c r="CA181" s="16" t="n"/>
      <c r="CB181" s="16" t="n"/>
    </row>
    <row r="182">
      <c r="A182" s="23">
        <f>IF(C182="","","AYN-"&amp;IFERROR(VLOOKUP(E182,CATEGORY_PREFIX_TABLE,2,FALSE),"OTH")&amp;"-"&amp;TEXT(ROW()-2,"0000"))</f>
        <v/>
      </c>
      <c r="B182" s="24" t="n"/>
      <c r="C182" s="23" t="n"/>
      <c r="D182" s="23" t="n"/>
      <c r="E182" s="23" t="n"/>
      <c r="F182" s="23" t="n"/>
      <c r="G182" s="23" t="n"/>
      <c r="H182" s="23" t="n"/>
      <c r="I182" s="23" t="n"/>
      <c r="J182" s="23" t="n"/>
      <c r="K182" s="25">
        <f>IF(I182="","",IF(J182="BDT",I182,IF(J182="USD",I182*USD_BDT,IF(J182="RMB",I182*RMB_BDT,""))))</f>
        <v/>
      </c>
      <c r="L182" s="25" t="n"/>
      <c r="M182" s="26" t="n"/>
      <c r="N182" s="25" t="n"/>
      <c r="O182" s="25">
        <f>IF(K182="","",K182+IFERROR(L182,0)+(K182*IF(M182="",CUSTOMS_PCT,M182))+IF(N182="",MISC_FEE,N182))</f>
        <v/>
      </c>
      <c r="P182" s="25">
        <f>IF(O182="","",ROUND(O182*(1+MARKUP_PCT),-1)-1)</f>
        <v/>
      </c>
      <c r="Q182" s="25">
        <f>IF(P182="","",P182-O182)</f>
        <v/>
      </c>
      <c r="R182" s="26">
        <f>IF(OR(P182="",P182=0),"",Q182/P182)</f>
        <v/>
      </c>
      <c r="S182" s="23" t="n"/>
      <c r="T182" s="23" t="n"/>
      <c r="U182" s="23" t="n"/>
      <c r="V182" s="23" t="n"/>
      <c r="W182" s="23" t="n"/>
      <c r="X182" s="23" t="n"/>
      <c r="Y182" s="23" t="n"/>
      <c r="Z182" s="23" t="n"/>
      <c r="AA182" s="23" t="n"/>
      <c r="AB182" s="23" t="n"/>
      <c r="AC182" s="27">
        <f>IF(COUNT(S182:AB182)&lt;10,"",(S182*W_FEMININE+T182*W_TREND+U182*W_AESTHETIC+V182*W_STYLE+W182*W_LIGHT+X182*W_REELS+Y182*W_GIFT+Z182*W_PRICEFIT+AA182*W_DEMAND+AB182*W_QUALITY)/5*100)</f>
        <v/>
      </c>
      <c r="AD182" s="23">
        <f>IF(P182="","",IF(P182&gt;HARD_REJECT_PRICE,"Reject",IF(P182&gt;MAX_PRICE,"Price Review",IF(AC182="","",IF(AND(AC182&gt;=BUY_THRESHOLD,OR(AB182&lt;=2,U182&lt;=2)),"Maybe",IF(AC182&gt;=BUY_THRESHOLD,"Buy",IF(AC182&gt;=MAYBE_THRESHOLD,"Maybe","Reject")))))))</f>
        <v/>
      </c>
      <c r="AE182" s="23" t="n"/>
      <c r="AF182" s="23" t="n"/>
      <c r="AG182" s="23" t="n"/>
      <c r="AH182" s="23" t="n"/>
      <c r="AI182" s="24" t="n"/>
      <c r="AJ182">
        <f>IF(AC182="",-9999-ROW()*0.0000001,AC182-ROW()*0.0000001)</f>
        <v/>
      </c>
      <c r="AK182">
        <f>IF(OR(AC182="",P182="",P182&gt;MAX_PRICE),-9999-ROW()*0.0000001,AC182-ROW()*0.0000001)</f>
        <v/>
      </c>
      <c r="AL182">
        <f>IF(AC182="",-9999-ROW()*0.0000001,X182*1000+AC182-ROW()*0.0000001)</f>
        <v/>
      </c>
      <c r="AM182">
        <f>IF(AC182="",-9999-ROW()*0.0000001,Y182*1000+AC182-ROW()*0.0000001)</f>
        <v/>
      </c>
      <c r="AN182">
        <f>IF(AND(OR(AD182="Maybe",AD182="Price Review"),AG182&lt;&gt;"Approved",AG182&lt;&gt;"Rejected"),IF(AC182="",0,AC182)-ROW()*0.0000001,-9999-ROW()*0.0000001)</f>
        <v/>
      </c>
      <c r="AO182" s="28" t="n"/>
      <c r="AP182" s="28" t="n"/>
      <c r="AQ182" s="29" t="n"/>
      <c r="AR182" s="29" t="n"/>
      <c r="AS182" s="23" t="n"/>
      <c r="AT182" s="29" t="n"/>
      <c r="AU182" s="29" t="n"/>
      <c r="AV182" s="29" t="n"/>
      <c r="AW182" s="25">
        <f>IF(OR(O182="",AV182=""),"",O182*AV182)</f>
        <v/>
      </c>
      <c r="AX182" s="23" t="n"/>
      <c r="AY182" s="23" t="n"/>
      <c r="AZ182" s="23" t="n"/>
      <c r="BA182" s="23" t="n"/>
      <c r="BB182" s="23" t="n"/>
      <c r="BC182" s="25" t="n"/>
      <c r="BD182" s="23" t="n"/>
      <c r="BE182" s="23">
        <f>IF(C182="","",IF(AND(ISNUMBER(P182),P182&gt;MAX_PRICE),"Price too high",IF(AND(ISNUMBER(AB182),AB182&lt;=2),"Quality risk",IF(AND(ISNUMBER(U182),U182&lt;=2),"Aesthetic mismatch",IF(AY182="High","Too fragile",IF(AND(ISNUMBER(R182),R182&lt;LOW_PROFIT_PCT),"Low profit",IF(AND(ISNUMBER(AT182),AT182&gt;MOQ_WARNING),"MOQ too high",IF(OR(AD182="Maybe",AD182="Price Review"),"Needs partner review",IF(AD182="Buy","Good candidate","")))))))))</f>
        <v/>
      </c>
      <c r="BF182" s="23" t="n"/>
      <c r="BG182" s="23" t="n"/>
      <c r="BH182" s="23" t="n"/>
      <c r="BI182" s="23" t="n"/>
      <c r="BJ182" s="23" t="n"/>
      <c r="BK182" s="23" t="n"/>
      <c r="BL182" s="23">
        <f>IF(C182="","",IF(AND(BG182="Yes",BH182="Yes",BI182="Yes",BJ182="Yes",BK182="Yes"),"Yes","No"))</f>
        <v/>
      </c>
      <c r="BM182" s="25" t="n"/>
      <c r="BN182" s="25" t="n"/>
      <c r="BO182" s="25">
        <f>IF(OR(BM182="",BN182=""),"",BM182+BN182)</f>
        <v/>
      </c>
      <c r="BP182" s="25" t="n"/>
      <c r="BQ182" s="25">
        <f>IF(OR(BP182="",BO182=""),"",BP182-BO182)</f>
        <v/>
      </c>
      <c r="BR182" s="26">
        <f>IF(OR(BP182="",BP182=0,BQ182=""),"",BQ182/BP182)</f>
        <v/>
      </c>
      <c r="BS182" s="24" t="n"/>
      <c r="BT182" s="29" t="n"/>
      <c r="BU182" s="29" t="n"/>
      <c r="BV182" s="23" t="n"/>
      <c r="BW182" s="23" t="n"/>
      <c r="BX182" s="29">
        <f>IF(OR(BT182="",BU182=""),"",BT182-BU182)</f>
        <v/>
      </c>
      <c r="BY182" s="23" t="n"/>
      <c r="BZ182" s="24" t="n"/>
      <c r="CA182" s="23" t="n"/>
      <c r="CB182" s="23" t="n"/>
    </row>
    <row r="183">
      <c r="A183" s="16">
        <f>IF(C183="","","AYN-"&amp;IFERROR(VLOOKUP(E183,CATEGORY_PREFIX_TABLE,2,FALSE),"OTH")&amp;"-"&amp;TEXT(ROW()-2,"0000"))</f>
        <v/>
      </c>
      <c r="B183" s="17" t="n"/>
      <c r="C183" s="16" t="n"/>
      <c r="D183" s="16" t="n"/>
      <c r="E183" s="16" t="n"/>
      <c r="F183" s="16" t="n"/>
      <c r="G183" s="16" t="n"/>
      <c r="H183" s="16" t="n"/>
      <c r="I183" s="16" t="n"/>
      <c r="J183" s="16" t="n"/>
      <c r="K183" s="18">
        <f>IF(I183="","",IF(J183="BDT",I183,IF(J183="USD",I183*USD_BDT,IF(J183="RMB",I183*RMB_BDT,""))))</f>
        <v/>
      </c>
      <c r="L183" s="18" t="n"/>
      <c r="M183" s="19" t="n"/>
      <c r="N183" s="18" t="n"/>
      <c r="O183" s="18">
        <f>IF(K183="","",K183+IFERROR(L183,0)+(K183*IF(M183="",CUSTOMS_PCT,M183))+IF(N183="",MISC_FEE,N183))</f>
        <v/>
      </c>
      <c r="P183" s="18">
        <f>IF(O183="","",ROUND(O183*(1+MARKUP_PCT),-1)-1)</f>
        <v/>
      </c>
      <c r="Q183" s="18">
        <f>IF(P183="","",P183-O183)</f>
        <v/>
      </c>
      <c r="R183" s="19">
        <f>IF(OR(P183="",P183=0),"",Q183/P183)</f>
        <v/>
      </c>
      <c r="S183" s="16" t="n"/>
      <c r="T183" s="16" t="n"/>
      <c r="U183" s="16" t="n"/>
      <c r="V183" s="16" t="n"/>
      <c r="W183" s="16" t="n"/>
      <c r="X183" s="16" t="n"/>
      <c r="Y183" s="16" t="n"/>
      <c r="Z183" s="16" t="n"/>
      <c r="AA183" s="16" t="n"/>
      <c r="AB183" s="16" t="n"/>
      <c r="AC183" s="20">
        <f>IF(COUNT(S183:AB183)&lt;10,"",(S183*W_FEMININE+T183*W_TREND+U183*W_AESTHETIC+V183*W_STYLE+W183*W_LIGHT+X183*W_REELS+Y183*W_GIFT+Z183*W_PRICEFIT+AA183*W_DEMAND+AB183*W_QUALITY)/5*100)</f>
        <v/>
      </c>
      <c r="AD183" s="16">
        <f>IF(P183="","",IF(P183&gt;HARD_REJECT_PRICE,"Reject",IF(P183&gt;MAX_PRICE,"Price Review",IF(AC183="","",IF(AND(AC183&gt;=BUY_THRESHOLD,OR(AB183&lt;=2,U183&lt;=2)),"Maybe",IF(AC183&gt;=BUY_THRESHOLD,"Buy",IF(AC183&gt;=MAYBE_THRESHOLD,"Maybe","Reject")))))))</f>
        <v/>
      </c>
      <c r="AE183" s="16" t="n"/>
      <c r="AF183" s="16" t="n"/>
      <c r="AG183" s="16" t="n"/>
      <c r="AH183" s="16" t="n"/>
      <c r="AI183" s="17" t="n"/>
      <c r="AJ183">
        <f>IF(AC183="",-9999-ROW()*0.0000001,AC183-ROW()*0.0000001)</f>
        <v/>
      </c>
      <c r="AK183">
        <f>IF(OR(AC183="",P183="",P183&gt;MAX_PRICE),-9999-ROW()*0.0000001,AC183-ROW()*0.0000001)</f>
        <v/>
      </c>
      <c r="AL183">
        <f>IF(AC183="",-9999-ROW()*0.0000001,X183*1000+AC183-ROW()*0.0000001)</f>
        <v/>
      </c>
      <c r="AM183">
        <f>IF(AC183="",-9999-ROW()*0.0000001,Y183*1000+AC183-ROW()*0.0000001)</f>
        <v/>
      </c>
      <c r="AN183">
        <f>IF(AND(OR(AD183="Maybe",AD183="Price Review"),AG183&lt;&gt;"Approved",AG183&lt;&gt;"Rejected"),IF(AC183="",0,AC183)-ROW()*0.0000001,-9999-ROW()*0.0000001)</f>
        <v/>
      </c>
      <c r="AO183" s="21" t="n"/>
      <c r="AP183" s="21" t="n"/>
      <c r="AQ183" s="22" t="n"/>
      <c r="AR183" s="22" t="n"/>
      <c r="AS183" s="16" t="n"/>
      <c r="AT183" s="22" t="n"/>
      <c r="AU183" s="22" t="n"/>
      <c r="AV183" s="22" t="n"/>
      <c r="AW183" s="18">
        <f>IF(OR(O183="",AV183=""),"",O183*AV183)</f>
        <v/>
      </c>
      <c r="AX183" s="16" t="n"/>
      <c r="AY183" s="16" t="n"/>
      <c r="AZ183" s="16" t="n"/>
      <c r="BA183" s="16" t="n"/>
      <c r="BB183" s="16" t="n"/>
      <c r="BC183" s="18" t="n"/>
      <c r="BD183" s="16" t="n"/>
      <c r="BE183" s="16">
        <f>IF(C183="","",IF(AND(ISNUMBER(P183),P183&gt;MAX_PRICE),"Price too high",IF(AND(ISNUMBER(AB183),AB183&lt;=2),"Quality risk",IF(AND(ISNUMBER(U183),U183&lt;=2),"Aesthetic mismatch",IF(AY183="High","Too fragile",IF(AND(ISNUMBER(R183),R183&lt;LOW_PROFIT_PCT),"Low profit",IF(AND(ISNUMBER(AT183),AT183&gt;MOQ_WARNING),"MOQ too high",IF(OR(AD183="Maybe",AD183="Price Review"),"Needs partner review",IF(AD183="Buy","Good candidate","")))))))))</f>
        <v/>
      </c>
      <c r="BF183" s="16" t="n"/>
      <c r="BG183" s="16" t="n"/>
      <c r="BH183" s="16" t="n"/>
      <c r="BI183" s="16" t="n"/>
      <c r="BJ183" s="16" t="n"/>
      <c r="BK183" s="16" t="n"/>
      <c r="BL183" s="16">
        <f>IF(C183="","",IF(AND(BG183="Yes",BH183="Yes",BI183="Yes",BJ183="Yes",BK183="Yes"),"Yes","No"))</f>
        <v/>
      </c>
      <c r="BM183" s="18" t="n"/>
      <c r="BN183" s="18" t="n"/>
      <c r="BO183" s="18">
        <f>IF(OR(BM183="",BN183=""),"",BM183+BN183)</f>
        <v/>
      </c>
      <c r="BP183" s="18" t="n"/>
      <c r="BQ183" s="18">
        <f>IF(OR(BP183="",BO183=""),"",BP183-BO183)</f>
        <v/>
      </c>
      <c r="BR183" s="19">
        <f>IF(OR(BP183="",BP183=0,BQ183=""),"",BQ183/BP183)</f>
        <v/>
      </c>
      <c r="BS183" s="17" t="n"/>
      <c r="BT183" s="22" t="n"/>
      <c r="BU183" s="22" t="n"/>
      <c r="BV183" s="16" t="n"/>
      <c r="BW183" s="16" t="n"/>
      <c r="BX183" s="22">
        <f>IF(OR(BT183="",BU183=""),"",BT183-BU183)</f>
        <v/>
      </c>
      <c r="BY183" s="16" t="n"/>
      <c r="BZ183" s="17" t="n"/>
      <c r="CA183" s="16" t="n"/>
      <c r="CB183" s="16" t="n"/>
    </row>
    <row r="184">
      <c r="A184" s="23">
        <f>IF(C184="","","AYN-"&amp;IFERROR(VLOOKUP(E184,CATEGORY_PREFIX_TABLE,2,FALSE),"OTH")&amp;"-"&amp;TEXT(ROW()-2,"0000"))</f>
        <v/>
      </c>
      <c r="B184" s="24" t="n"/>
      <c r="C184" s="23" t="n"/>
      <c r="D184" s="23" t="n"/>
      <c r="E184" s="23" t="n"/>
      <c r="F184" s="23" t="n"/>
      <c r="G184" s="23" t="n"/>
      <c r="H184" s="23" t="n"/>
      <c r="I184" s="23" t="n"/>
      <c r="J184" s="23" t="n"/>
      <c r="K184" s="25">
        <f>IF(I184="","",IF(J184="BDT",I184,IF(J184="USD",I184*USD_BDT,IF(J184="RMB",I184*RMB_BDT,""))))</f>
        <v/>
      </c>
      <c r="L184" s="25" t="n"/>
      <c r="M184" s="26" t="n"/>
      <c r="N184" s="25" t="n"/>
      <c r="O184" s="25">
        <f>IF(K184="","",K184+IFERROR(L184,0)+(K184*IF(M184="",CUSTOMS_PCT,M184))+IF(N184="",MISC_FEE,N184))</f>
        <v/>
      </c>
      <c r="P184" s="25">
        <f>IF(O184="","",ROUND(O184*(1+MARKUP_PCT),-1)-1)</f>
        <v/>
      </c>
      <c r="Q184" s="25">
        <f>IF(P184="","",P184-O184)</f>
        <v/>
      </c>
      <c r="R184" s="26">
        <f>IF(OR(P184="",P184=0),"",Q184/P184)</f>
        <v/>
      </c>
      <c r="S184" s="23" t="n"/>
      <c r="T184" s="23" t="n"/>
      <c r="U184" s="23" t="n"/>
      <c r="V184" s="23" t="n"/>
      <c r="W184" s="23" t="n"/>
      <c r="X184" s="23" t="n"/>
      <c r="Y184" s="23" t="n"/>
      <c r="Z184" s="23" t="n"/>
      <c r="AA184" s="23" t="n"/>
      <c r="AB184" s="23" t="n"/>
      <c r="AC184" s="27">
        <f>IF(COUNT(S184:AB184)&lt;10,"",(S184*W_FEMININE+T184*W_TREND+U184*W_AESTHETIC+V184*W_STYLE+W184*W_LIGHT+X184*W_REELS+Y184*W_GIFT+Z184*W_PRICEFIT+AA184*W_DEMAND+AB184*W_QUALITY)/5*100)</f>
        <v/>
      </c>
      <c r="AD184" s="23">
        <f>IF(P184="","",IF(P184&gt;HARD_REJECT_PRICE,"Reject",IF(P184&gt;MAX_PRICE,"Price Review",IF(AC184="","",IF(AND(AC184&gt;=BUY_THRESHOLD,OR(AB184&lt;=2,U184&lt;=2)),"Maybe",IF(AC184&gt;=BUY_THRESHOLD,"Buy",IF(AC184&gt;=MAYBE_THRESHOLD,"Maybe","Reject")))))))</f>
        <v/>
      </c>
      <c r="AE184" s="23" t="n"/>
      <c r="AF184" s="23" t="n"/>
      <c r="AG184" s="23" t="n"/>
      <c r="AH184" s="23" t="n"/>
      <c r="AI184" s="24" t="n"/>
      <c r="AJ184">
        <f>IF(AC184="",-9999-ROW()*0.0000001,AC184-ROW()*0.0000001)</f>
        <v/>
      </c>
      <c r="AK184">
        <f>IF(OR(AC184="",P184="",P184&gt;MAX_PRICE),-9999-ROW()*0.0000001,AC184-ROW()*0.0000001)</f>
        <v/>
      </c>
      <c r="AL184">
        <f>IF(AC184="",-9999-ROW()*0.0000001,X184*1000+AC184-ROW()*0.0000001)</f>
        <v/>
      </c>
      <c r="AM184">
        <f>IF(AC184="",-9999-ROW()*0.0000001,Y184*1000+AC184-ROW()*0.0000001)</f>
        <v/>
      </c>
      <c r="AN184">
        <f>IF(AND(OR(AD184="Maybe",AD184="Price Review"),AG184&lt;&gt;"Approved",AG184&lt;&gt;"Rejected"),IF(AC184="",0,AC184)-ROW()*0.0000001,-9999-ROW()*0.0000001)</f>
        <v/>
      </c>
      <c r="AO184" s="28" t="n"/>
      <c r="AP184" s="28" t="n"/>
      <c r="AQ184" s="29" t="n"/>
      <c r="AR184" s="29" t="n"/>
      <c r="AS184" s="23" t="n"/>
      <c r="AT184" s="29" t="n"/>
      <c r="AU184" s="29" t="n"/>
      <c r="AV184" s="29" t="n"/>
      <c r="AW184" s="25">
        <f>IF(OR(O184="",AV184=""),"",O184*AV184)</f>
        <v/>
      </c>
      <c r="AX184" s="23" t="n"/>
      <c r="AY184" s="23" t="n"/>
      <c r="AZ184" s="23" t="n"/>
      <c r="BA184" s="23" t="n"/>
      <c r="BB184" s="23" t="n"/>
      <c r="BC184" s="25" t="n"/>
      <c r="BD184" s="23" t="n"/>
      <c r="BE184" s="23">
        <f>IF(C184="","",IF(AND(ISNUMBER(P184),P184&gt;MAX_PRICE),"Price too high",IF(AND(ISNUMBER(AB184),AB184&lt;=2),"Quality risk",IF(AND(ISNUMBER(U184),U184&lt;=2),"Aesthetic mismatch",IF(AY184="High","Too fragile",IF(AND(ISNUMBER(R184),R184&lt;LOW_PROFIT_PCT),"Low profit",IF(AND(ISNUMBER(AT184),AT184&gt;MOQ_WARNING),"MOQ too high",IF(OR(AD184="Maybe",AD184="Price Review"),"Needs partner review",IF(AD184="Buy","Good candidate","")))))))))</f>
        <v/>
      </c>
      <c r="BF184" s="23" t="n"/>
      <c r="BG184" s="23" t="n"/>
      <c r="BH184" s="23" t="n"/>
      <c r="BI184" s="23" t="n"/>
      <c r="BJ184" s="23" t="n"/>
      <c r="BK184" s="23" t="n"/>
      <c r="BL184" s="23">
        <f>IF(C184="","",IF(AND(BG184="Yes",BH184="Yes",BI184="Yes",BJ184="Yes",BK184="Yes"),"Yes","No"))</f>
        <v/>
      </c>
      <c r="BM184" s="25" t="n"/>
      <c r="BN184" s="25" t="n"/>
      <c r="BO184" s="25">
        <f>IF(OR(BM184="",BN184=""),"",BM184+BN184)</f>
        <v/>
      </c>
      <c r="BP184" s="25" t="n"/>
      <c r="BQ184" s="25">
        <f>IF(OR(BP184="",BO184=""),"",BP184-BO184)</f>
        <v/>
      </c>
      <c r="BR184" s="26">
        <f>IF(OR(BP184="",BP184=0,BQ184=""),"",BQ184/BP184)</f>
        <v/>
      </c>
      <c r="BS184" s="24" t="n"/>
      <c r="BT184" s="29" t="n"/>
      <c r="BU184" s="29" t="n"/>
      <c r="BV184" s="23" t="n"/>
      <c r="BW184" s="23" t="n"/>
      <c r="BX184" s="29">
        <f>IF(OR(BT184="",BU184=""),"",BT184-BU184)</f>
        <v/>
      </c>
      <c r="BY184" s="23" t="n"/>
      <c r="BZ184" s="24" t="n"/>
      <c r="CA184" s="23" t="n"/>
      <c r="CB184" s="23" t="n"/>
    </row>
    <row r="185">
      <c r="A185" s="16">
        <f>IF(C185="","","AYN-"&amp;IFERROR(VLOOKUP(E185,CATEGORY_PREFIX_TABLE,2,FALSE),"OTH")&amp;"-"&amp;TEXT(ROW()-2,"0000"))</f>
        <v/>
      </c>
      <c r="B185" s="17" t="n"/>
      <c r="C185" s="16" t="n"/>
      <c r="D185" s="16" t="n"/>
      <c r="E185" s="16" t="n"/>
      <c r="F185" s="16" t="n"/>
      <c r="G185" s="16" t="n"/>
      <c r="H185" s="16" t="n"/>
      <c r="I185" s="16" t="n"/>
      <c r="J185" s="16" t="n"/>
      <c r="K185" s="18">
        <f>IF(I185="","",IF(J185="BDT",I185,IF(J185="USD",I185*USD_BDT,IF(J185="RMB",I185*RMB_BDT,""))))</f>
        <v/>
      </c>
      <c r="L185" s="18" t="n"/>
      <c r="M185" s="19" t="n"/>
      <c r="N185" s="18" t="n"/>
      <c r="O185" s="18">
        <f>IF(K185="","",K185+IFERROR(L185,0)+(K185*IF(M185="",CUSTOMS_PCT,M185))+IF(N185="",MISC_FEE,N185))</f>
        <v/>
      </c>
      <c r="P185" s="18">
        <f>IF(O185="","",ROUND(O185*(1+MARKUP_PCT),-1)-1)</f>
        <v/>
      </c>
      <c r="Q185" s="18">
        <f>IF(P185="","",P185-O185)</f>
        <v/>
      </c>
      <c r="R185" s="19">
        <f>IF(OR(P185="",P185=0),"",Q185/P185)</f>
        <v/>
      </c>
      <c r="S185" s="16" t="n"/>
      <c r="T185" s="16" t="n"/>
      <c r="U185" s="16" t="n"/>
      <c r="V185" s="16" t="n"/>
      <c r="W185" s="16" t="n"/>
      <c r="X185" s="16" t="n"/>
      <c r="Y185" s="16" t="n"/>
      <c r="Z185" s="16" t="n"/>
      <c r="AA185" s="16" t="n"/>
      <c r="AB185" s="16" t="n"/>
      <c r="AC185" s="20">
        <f>IF(COUNT(S185:AB185)&lt;10,"",(S185*W_FEMININE+T185*W_TREND+U185*W_AESTHETIC+V185*W_STYLE+W185*W_LIGHT+X185*W_REELS+Y185*W_GIFT+Z185*W_PRICEFIT+AA185*W_DEMAND+AB185*W_QUALITY)/5*100)</f>
        <v/>
      </c>
      <c r="AD185" s="16">
        <f>IF(P185="","",IF(P185&gt;HARD_REJECT_PRICE,"Reject",IF(P185&gt;MAX_PRICE,"Price Review",IF(AC185="","",IF(AND(AC185&gt;=BUY_THRESHOLD,OR(AB185&lt;=2,U185&lt;=2)),"Maybe",IF(AC185&gt;=BUY_THRESHOLD,"Buy",IF(AC185&gt;=MAYBE_THRESHOLD,"Maybe","Reject")))))))</f>
        <v/>
      </c>
      <c r="AE185" s="16" t="n"/>
      <c r="AF185" s="16" t="n"/>
      <c r="AG185" s="16" t="n"/>
      <c r="AH185" s="16" t="n"/>
      <c r="AI185" s="17" t="n"/>
      <c r="AJ185">
        <f>IF(AC185="",-9999-ROW()*0.0000001,AC185-ROW()*0.0000001)</f>
        <v/>
      </c>
      <c r="AK185">
        <f>IF(OR(AC185="",P185="",P185&gt;MAX_PRICE),-9999-ROW()*0.0000001,AC185-ROW()*0.0000001)</f>
        <v/>
      </c>
      <c r="AL185">
        <f>IF(AC185="",-9999-ROW()*0.0000001,X185*1000+AC185-ROW()*0.0000001)</f>
        <v/>
      </c>
      <c r="AM185">
        <f>IF(AC185="",-9999-ROW()*0.0000001,Y185*1000+AC185-ROW()*0.0000001)</f>
        <v/>
      </c>
      <c r="AN185">
        <f>IF(AND(OR(AD185="Maybe",AD185="Price Review"),AG185&lt;&gt;"Approved",AG185&lt;&gt;"Rejected"),IF(AC185="",0,AC185)-ROW()*0.0000001,-9999-ROW()*0.0000001)</f>
        <v/>
      </c>
      <c r="AO185" s="21" t="n"/>
      <c r="AP185" s="21" t="n"/>
      <c r="AQ185" s="22" t="n"/>
      <c r="AR185" s="22" t="n"/>
      <c r="AS185" s="16" t="n"/>
      <c r="AT185" s="22" t="n"/>
      <c r="AU185" s="22" t="n"/>
      <c r="AV185" s="22" t="n"/>
      <c r="AW185" s="18">
        <f>IF(OR(O185="",AV185=""),"",O185*AV185)</f>
        <v/>
      </c>
      <c r="AX185" s="16" t="n"/>
      <c r="AY185" s="16" t="n"/>
      <c r="AZ185" s="16" t="n"/>
      <c r="BA185" s="16" t="n"/>
      <c r="BB185" s="16" t="n"/>
      <c r="BC185" s="18" t="n"/>
      <c r="BD185" s="16" t="n"/>
      <c r="BE185" s="16">
        <f>IF(C185="","",IF(AND(ISNUMBER(P185),P185&gt;MAX_PRICE),"Price too high",IF(AND(ISNUMBER(AB185),AB185&lt;=2),"Quality risk",IF(AND(ISNUMBER(U185),U185&lt;=2),"Aesthetic mismatch",IF(AY185="High","Too fragile",IF(AND(ISNUMBER(R185),R185&lt;LOW_PROFIT_PCT),"Low profit",IF(AND(ISNUMBER(AT185),AT185&gt;MOQ_WARNING),"MOQ too high",IF(OR(AD185="Maybe",AD185="Price Review"),"Needs partner review",IF(AD185="Buy","Good candidate","")))))))))</f>
        <v/>
      </c>
      <c r="BF185" s="16" t="n"/>
      <c r="BG185" s="16" t="n"/>
      <c r="BH185" s="16" t="n"/>
      <c r="BI185" s="16" t="n"/>
      <c r="BJ185" s="16" t="n"/>
      <c r="BK185" s="16" t="n"/>
      <c r="BL185" s="16">
        <f>IF(C185="","",IF(AND(BG185="Yes",BH185="Yes",BI185="Yes",BJ185="Yes",BK185="Yes"),"Yes","No"))</f>
        <v/>
      </c>
      <c r="BM185" s="18" t="n"/>
      <c r="BN185" s="18" t="n"/>
      <c r="BO185" s="18">
        <f>IF(OR(BM185="",BN185=""),"",BM185+BN185)</f>
        <v/>
      </c>
      <c r="BP185" s="18" t="n"/>
      <c r="BQ185" s="18">
        <f>IF(OR(BP185="",BO185=""),"",BP185-BO185)</f>
        <v/>
      </c>
      <c r="BR185" s="19">
        <f>IF(OR(BP185="",BP185=0,BQ185=""),"",BQ185/BP185)</f>
        <v/>
      </c>
      <c r="BS185" s="17" t="n"/>
      <c r="BT185" s="22" t="n"/>
      <c r="BU185" s="22" t="n"/>
      <c r="BV185" s="16" t="n"/>
      <c r="BW185" s="16" t="n"/>
      <c r="BX185" s="22">
        <f>IF(OR(BT185="",BU185=""),"",BT185-BU185)</f>
        <v/>
      </c>
      <c r="BY185" s="16" t="n"/>
      <c r="BZ185" s="17" t="n"/>
      <c r="CA185" s="16" t="n"/>
      <c r="CB185" s="16" t="n"/>
    </row>
    <row r="186">
      <c r="A186" s="23">
        <f>IF(C186="","","AYN-"&amp;IFERROR(VLOOKUP(E186,CATEGORY_PREFIX_TABLE,2,FALSE),"OTH")&amp;"-"&amp;TEXT(ROW()-2,"0000"))</f>
        <v/>
      </c>
      <c r="B186" s="24" t="n"/>
      <c r="C186" s="23" t="n"/>
      <c r="D186" s="23" t="n"/>
      <c r="E186" s="23" t="n"/>
      <c r="F186" s="23" t="n"/>
      <c r="G186" s="23" t="n"/>
      <c r="H186" s="23" t="n"/>
      <c r="I186" s="23" t="n"/>
      <c r="J186" s="23" t="n"/>
      <c r="K186" s="25">
        <f>IF(I186="","",IF(J186="BDT",I186,IF(J186="USD",I186*USD_BDT,IF(J186="RMB",I186*RMB_BDT,""))))</f>
        <v/>
      </c>
      <c r="L186" s="25" t="n"/>
      <c r="M186" s="26" t="n"/>
      <c r="N186" s="25" t="n"/>
      <c r="O186" s="25">
        <f>IF(K186="","",K186+IFERROR(L186,0)+(K186*IF(M186="",CUSTOMS_PCT,M186))+IF(N186="",MISC_FEE,N186))</f>
        <v/>
      </c>
      <c r="P186" s="25">
        <f>IF(O186="","",ROUND(O186*(1+MARKUP_PCT),-1)-1)</f>
        <v/>
      </c>
      <c r="Q186" s="25">
        <f>IF(P186="","",P186-O186)</f>
        <v/>
      </c>
      <c r="R186" s="26">
        <f>IF(OR(P186="",P186=0),"",Q186/P186)</f>
        <v/>
      </c>
      <c r="S186" s="23" t="n"/>
      <c r="T186" s="23" t="n"/>
      <c r="U186" s="23" t="n"/>
      <c r="V186" s="23" t="n"/>
      <c r="W186" s="23" t="n"/>
      <c r="X186" s="23" t="n"/>
      <c r="Y186" s="23" t="n"/>
      <c r="Z186" s="23" t="n"/>
      <c r="AA186" s="23" t="n"/>
      <c r="AB186" s="23" t="n"/>
      <c r="AC186" s="27">
        <f>IF(COUNT(S186:AB186)&lt;10,"",(S186*W_FEMININE+T186*W_TREND+U186*W_AESTHETIC+V186*W_STYLE+W186*W_LIGHT+X186*W_REELS+Y186*W_GIFT+Z186*W_PRICEFIT+AA186*W_DEMAND+AB186*W_QUALITY)/5*100)</f>
        <v/>
      </c>
      <c r="AD186" s="23">
        <f>IF(P186="","",IF(P186&gt;HARD_REJECT_PRICE,"Reject",IF(P186&gt;MAX_PRICE,"Price Review",IF(AC186="","",IF(AND(AC186&gt;=BUY_THRESHOLD,OR(AB186&lt;=2,U186&lt;=2)),"Maybe",IF(AC186&gt;=BUY_THRESHOLD,"Buy",IF(AC186&gt;=MAYBE_THRESHOLD,"Maybe","Reject")))))))</f>
        <v/>
      </c>
      <c r="AE186" s="23" t="n"/>
      <c r="AF186" s="23" t="n"/>
      <c r="AG186" s="23" t="n"/>
      <c r="AH186" s="23" t="n"/>
      <c r="AI186" s="24" t="n"/>
      <c r="AJ186">
        <f>IF(AC186="",-9999-ROW()*0.0000001,AC186-ROW()*0.0000001)</f>
        <v/>
      </c>
      <c r="AK186">
        <f>IF(OR(AC186="",P186="",P186&gt;MAX_PRICE),-9999-ROW()*0.0000001,AC186-ROW()*0.0000001)</f>
        <v/>
      </c>
      <c r="AL186">
        <f>IF(AC186="",-9999-ROW()*0.0000001,X186*1000+AC186-ROW()*0.0000001)</f>
        <v/>
      </c>
      <c r="AM186">
        <f>IF(AC186="",-9999-ROW()*0.0000001,Y186*1000+AC186-ROW()*0.0000001)</f>
        <v/>
      </c>
      <c r="AN186">
        <f>IF(AND(OR(AD186="Maybe",AD186="Price Review"),AG186&lt;&gt;"Approved",AG186&lt;&gt;"Rejected"),IF(AC186="",0,AC186)-ROW()*0.0000001,-9999-ROW()*0.0000001)</f>
        <v/>
      </c>
      <c r="AO186" s="28" t="n"/>
      <c r="AP186" s="28" t="n"/>
      <c r="AQ186" s="29" t="n"/>
      <c r="AR186" s="29" t="n"/>
      <c r="AS186" s="23" t="n"/>
      <c r="AT186" s="29" t="n"/>
      <c r="AU186" s="29" t="n"/>
      <c r="AV186" s="29" t="n"/>
      <c r="AW186" s="25">
        <f>IF(OR(O186="",AV186=""),"",O186*AV186)</f>
        <v/>
      </c>
      <c r="AX186" s="23" t="n"/>
      <c r="AY186" s="23" t="n"/>
      <c r="AZ186" s="23" t="n"/>
      <c r="BA186" s="23" t="n"/>
      <c r="BB186" s="23" t="n"/>
      <c r="BC186" s="25" t="n"/>
      <c r="BD186" s="23" t="n"/>
      <c r="BE186" s="23">
        <f>IF(C186="","",IF(AND(ISNUMBER(P186),P186&gt;MAX_PRICE),"Price too high",IF(AND(ISNUMBER(AB186),AB186&lt;=2),"Quality risk",IF(AND(ISNUMBER(U186),U186&lt;=2),"Aesthetic mismatch",IF(AY186="High","Too fragile",IF(AND(ISNUMBER(R186),R186&lt;LOW_PROFIT_PCT),"Low profit",IF(AND(ISNUMBER(AT186),AT186&gt;MOQ_WARNING),"MOQ too high",IF(OR(AD186="Maybe",AD186="Price Review"),"Needs partner review",IF(AD186="Buy","Good candidate","")))))))))</f>
        <v/>
      </c>
      <c r="BF186" s="23" t="n"/>
      <c r="BG186" s="23" t="n"/>
      <c r="BH186" s="23" t="n"/>
      <c r="BI186" s="23" t="n"/>
      <c r="BJ186" s="23" t="n"/>
      <c r="BK186" s="23" t="n"/>
      <c r="BL186" s="23">
        <f>IF(C186="","",IF(AND(BG186="Yes",BH186="Yes",BI186="Yes",BJ186="Yes",BK186="Yes"),"Yes","No"))</f>
        <v/>
      </c>
      <c r="BM186" s="25" t="n"/>
      <c r="BN186" s="25" t="n"/>
      <c r="BO186" s="25">
        <f>IF(OR(BM186="",BN186=""),"",BM186+BN186)</f>
        <v/>
      </c>
      <c r="BP186" s="25" t="n"/>
      <c r="BQ186" s="25">
        <f>IF(OR(BP186="",BO186=""),"",BP186-BO186)</f>
        <v/>
      </c>
      <c r="BR186" s="26">
        <f>IF(OR(BP186="",BP186=0,BQ186=""),"",BQ186/BP186)</f>
        <v/>
      </c>
      <c r="BS186" s="24" t="n"/>
      <c r="BT186" s="29" t="n"/>
      <c r="BU186" s="29" t="n"/>
      <c r="BV186" s="23" t="n"/>
      <c r="BW186" s="23" t="n"/>
      <c r="BX186" s="29">
        <f>IF(OR(BT186="",BU186=""),"",BT186-BU186)</f>
        <v/>
      </c>
      <c r="BY186" s="23" t="n"/>
      <c r="BZ186" s="24" t="n"/>
      <c r="CA186" s="23" t="n"/>
      <c r="CB186" s="23" t="n"/>
    </row>
    <row r="187">
      <c r="A187" s="16">
        <f>IF(C187="","","AYN-"&amp;IFERROR(VLOOKUP(E187,CATEGORY_PREFIX_TABLE,2,FALSE),"OTH")&amp;"-"&amp;TEXT(ROW()-2,"0000"))</f>
        <v/>
      </c>
      <c r="B187" s="17" t="n"/>
      <c r="C187" s="16" t="n"/>
      <c r="D187" s="16" t="n"/>
      <c r="E187" s="16" t="n"/>
      <c r="F187" s="16" t="n"/>
      <c r="G187" s="16" t="n"/>
      <c r="H187" s="16" t="n"/>
      <c r="I187" s="16" t="n"/>
      <c r="J187" s="16" t="n"/>
      <c r="K187" s="18">
        <f>IF(I187="","",IF(J187="BDT",I187,IF(J187="USD",I187*USD_BDT,IF(J187="RMB",I187*RMB_BDT,""))))</f>
        <v/>
      </c>
      <c r="L187" s="18" t="n"/>
      <c r="M187" s="19" t="n"/>
      <c r="N187" s="18" t="n"/>
      <c r="O187" s="18">
        <f>IF(K187="","",K187+IFERROR(L187,0)+(K187*IF(M187="",CUSTOMS_PCT,M187))+IF(N187="",MISC_FEE,N187))</f>
        <v/>
      </c>
      <c r="P187" s="18">
        <f>IF(O187="","",ROUND(O187*(1+MARKUP_PCT),-1)-1)</f>
        <v/>
      </c>
      <c r="Q187" s="18">
        <f>IF(P187="","",P187-O187)</f>
        <v/>
      </c>
      <c r="R187" s="19">
        <f>IF(OR(P187="",P187=0),"",Q187/P187)</f>
        <v/>
      </c>
      <c r="S187" s="16" t="n"/>
      <c r="T187" s="16" t="n"/>
      <c r="U187" s="16" t="n"/>
      <c r="V187" s="16" t="n"/>
      <c r="W187" s="16" t="n"/>
      <c r="X187" s="16" t="n"/>
      <c r="Y187" s="16" t="n"/>
      <c r="Z187" s="16" t="n"/>
      <c r="AA187" s="16" t="n"/>
      <c r="AB187" s="16" t="n"/>
      <c r="AC187" s="20">
        <f>IF(COUNT(S187:AB187)&lt;10,"",(S187*W_FEMININE+T187*W_TREND+U187*W_AESTHETIC+V187*W_STYLE+W187*W_LIGHT+X187*W_REELS+Y187*W_GIFT+Z187*W_PRICEFIT+AA187*W_DEMAND+AB187*W_QUALITY)/5*100)</f>
        <v/>
      </c>
      <c r="AD187" s="16">
        <f>IF(P187="","",IF(P187&gt;HARD_REJECT_PRICE,"Reject",IF(P187&gt;MAX_PRICE,"Price Review",IF(AC187="","",IF(AND(AC187&gt;=BUY_THRESHOLD,OR(AB187&lt;=2,U187&lt;=2)),"Maybe",IF(AC187&gt;=BUY_THRESHOLD,"Buy",IF(AC187&gt;=MAYBE_THRESHOLD,"Maybe","Reject")))))))</f>
        <v/>
      </c>
      <c r="AE187" s="16" t="n"/>
      <c r="AF187" s="16" t="n"/>
      <c r="AG187" s="16" t="n"/>
      <c r="AH187" s="16" t="n"/>
      <c r="AI187" s="17" t="n"/>
      <c r="AJ187">
        <f>IF(AC187="",-9999-ROW()*0.0000001,AC187-ROW()*0.0000001)</f>
        <v/>
      </c>
      <c r="AK187">
        <f>IF(OR(AC187="",P187="",P187&gt;MAX_PRICE),-9999-ROW()*0.0000001,AC187-ROW()*0.0000001)</f>
        <v/>
      </c>
      <c r="AL187">
        <f>IF(AC187="",-9999-ROW()*0.0000001,X187*1000+AC187-ROW()*0.0000001)</f>
        <v/>
      </c>
      <c r="AM187">
        <f>IF(AC187="",-9999-ROW()*0.0000001,Y187*1000+AC187-ROW()*0.0000001)</f>
        <v/>
      </c>
      <c r="AN187">
        <f>IF(AND(OR(AD187="Maybe",AD187="Price Review"),AG187&lt;&gt;"Approved",AG187&lt;&gt;"Rejected"),IF(AC187="",0,AC187)-ROW()*0.0000001,-9999-ROW()*0.0000001)</f>
        <v/>
      </c>
      <c r="AO187" s="21" t="n"/>
      <c r="AP187" s="21" t="n"/>
      <c r="AQ187" s="22" t="n"/>
      <c r="AR187" s="22" t="n"/>
      <c r="AS187" s="16" t="n"/>
      <c r="AT187" s="22" t="n"/>
      <c r="AU187" s="22" t="n"/>
      <c r="AV187" s="22" t="n"/>
      <c r="AW187" s="18">
        <f>IF(OR(O187="",AV187=""),"",O187*AV187)</f>
        <v/>
      </c>
      <c r="AX187" s="16" t="n"/>
      <c r="AY187" s="16" t="n"/>
      <c r="AZ187" s="16" t="n"/>
      <c r="BA187" s="16" t="n"/>
      <c r="BB187" s="16" t="n"/>
      <c r="BC187" s="18" t="n"/>
      <c r="BD187" s="16" t="n"/>
      <c r="BE187" s="16">
        <f>IF(C187="","",IF(AND(ISNUMBER(P187),P187&gt;MAX_PRICE),"Price too high",IF(AND(ISNUMBER(AB187),AB187&lt;=2),"Quality risk",IF(AND(ISNUMBER(U187),U187&lt;=2),"Aesthetic mismatch",IF(AY187="High","Too fragile",IF(AND(ISNUMBER(R187),R187&lt;LOW_PROFIT_PCT),"Low profit",IF(AND(ISNUMBER(AT187),AT187&gt;MOQ_WARNING),"MOQ too high",IF(OR(AD187="Maybe",AD187="Price Review"),"Needs partner review",IF(AD187="Buy","Good candidate","")))))))))</f>
        <v/>
      </c>
      <c r="BF187" s="16" t="n"/>
      <c r="BG187" s="16" t="n"/>
      <c r="BH187" s="16" t="n"/>
      <c r="BI187" s="16" t="n"/>
      <c r="BJ187" s="16" t="n"/>
      <c r="BK187" s="16" t="n"/>
      <c r="BL187" s="16">
        <f>IF(C187="","",IF(AND(BG187="Yes",BH187="Yes",BI187="Yes",BJ187="Yes",BK187="Yes"),"Yes","No"))</f>
        <v/>
      </c>
      <c r="BM187" s="18" t="n"/>
      <c r="BN187" s="18" t="n"/>
      <c r="BO187" s="18">
        <f>IF(OR(BM187="",BN187=""),"",BM187+BN187)</f>
        <v/>
      </c>
      <c r="BP187" s="18" t="n"/>
      <c r="BQ187" s="18">
        <f>IF(OR(BP187="",BO187=""),"",BP187-BO187)</f>
        <v/>
      </c>
      <c r="BR187" s="19">
        <f>IF(OR(BP187="",BP187=0,BQ187=""),"",BQ187/BP187)</f>
        <v/>
      </c>
      <c r="BS187" s="17" t="n"/>
      <c r="BT187" s="22" t="n"/>
      <c r="BU187" s="22" t="n"/>
      <c r="BV187" s="16" t="n"/>
      <c r="BW187" s="16" t="n"/>
      <c r="BX187" s="22">
        <f>IF(OR(BT187="",BU187=""),"",BT187-BU187)</f>
        <v/>
      </c>
      <c r="BY187" s="16" t="n"/>
      <c r="BZ187" s="17" t="n"/>
      <c r="CA187" s="16" t="n"/>
      <c r="CB187" s="16" t="n"/>
    </row>
    <row r="188">
      <c r="A188" s="23">
        <f>IF(C188="","","AYN-"&amp;IFERROR(VLOOKUP(E188,CATEGORY_PREFIX_TABLE,2,FALSE),"OTH")&amp;"-"&amp;TEXT(ROW()-2,"0000"))</f>
        <v/>
      </c>
      <c r="B188" s="24" t="n"/>
      <c r="C188" s="23" t="n"/>
      <c r="D188" s="23" t="n"/>
      <c r="E188" s="23" t="n"/>
      <c r="F188" s="23" t="n"/>
      <c r="G188" s="23" t="n"/>
      <c r="H188" s="23" t="n"/>
      <c r="I188" s="23" t="n"/>
      <c r="J188" s="23" t="n"/>
      <c r="K188" s="25">
        <f>IF(I188="","",IF(J188="BDT",I188,IF(J188="USD",I188*USD_BDT,IF(J188="RMB",I188*RMB_BDT,""))))</f>
        <v/>
      </c>
      <c r="L188" s="25" t="n"/>
      <c r="M188" s="26" t="n"/>
      <c r="N188" s="25" t="n"/>
      <c r="O188" s="25">
        <f>IF(K188="","",K188+IFERROR(L188,0)+(K188*IF(M188="",CUSTOMS_PCT,M188))+IF(N188="",MISC_FEE,N188))</f>
        <v/>
      </c>
      <c r="P188" s="25">
        <f>IF(O188="","",ROUND(O188*(1+MARKUP_PCT),-1)-1)</f>
        <v/>
      </c>
      <c r="Q188" s="25">
        <f>IF(P188="","",P188-O188)</f>
        <v/>
      </c>
      <c r="R188" s="26">
        <f>IF(OR(P188="",P188=0),"",Q188/P188)</f>
        <v/>
      </c>
      <c r="S188" s="23" t="n"/>
      <c r="T188" s="23" t="n"/>
      <c r="U188" s="23" t="n"/>
      <c r="V188" s="23" t="n"/>
      <c r="W188" s="23" t="n"/>
      <c r="X188" s="23" t="n"/>
      <c r="Y188" s="23" t="n"/>
      <c r="Z188" s="23" t="n"/>
      <c r="AA188" s="23" t="n"/>
      <c r="AB188" s="23" t="n"/>
      <c r="AC188" s="27">
        <f>IF(COUNT(S188:AB188)&lt;10,"",(S188*W_FEMININE+T188*W_TREND+U188*W_AESTHETIC+V188*W_STYLE+W188*W_LIGHT+X188*W_REELS+Y188*W_GIFT+Z188*W_PRICEFIT+AA188*W_DEMAND+AB188*W_QUALITY)/5*100)</f>
        <v/>
      </c>
      <c r="AD188" s="23">
        <f>IF(P188="","",IF(P188&gt;HARD_REJECT_PRICE,"Reject",IF(P188&gt;MAX_PRICE,"Price Review",IF(AC188="","",IF(AND(AC188&gt;=BUY_THRESHOLD,OR(AB188&lt;=2,U188&lt;=2)),"Maybe",IF(AC188&gt;=BUY_THRESHOLD,"Buy",IF(AC188&gt;=MAYBE_THRESHOLD,"Maybe","Reject")))))))</f>
        <v/>
      </c>
      <c r="AE188" s="23" t="n"/>
      <c r="AF188" s="23" t="n"/>
      <c r="AG188" s="23" t="n"/>
      <c r="AH188" s="23" t="n"/>
      <c r="AI188" s="24" t="n"/>
      <c r="AJ188">
        <f>IF(AC188="",-9999-ROW()*0.0000001,AC188-ROW()*0.0000001)</f>
        <v/>
      </c>
      <c r="AK188">
        <f>IF(OR(AC188="",P188="",P188&gt;MAX_PRICE),-9999-ROW()*0.0000001,AC188-ROW()*0.0000001)</f>
        <v/>
      </c>
      <c r="AL188">
        <f>IF(AC188="",-9999-ROW()*0.0000001,X188*1000+AC188-ROW()*0.0000001)</f>
        <v/>
      </c>
      <c r="AM188">
        <f>IF(AC188="",-9999-ROW()*0.0000001,Y188*1000+AC188-ROW()*0.0000001)</f>
        <v/>
      </c>
      <c r="AN188">
        <f>IF(AND(OR(AD188="Maybe",AD188="Price Review"),AG188&lt;&gt;"Approved",AG188&lt;&gt;"Rejected"),IF(AC188="",0,AC188)-ROW()*0.0000001,-9999-ROW()*0.0000001)</f>
        <v/>
      </c>
      <c r="AO188" s="28" t="n"/>
      <c r="AP188" s="28" t="n"/>
      <c r="AQ188" s="29" t="n"/>
      <c r="AR188" s="29" t="n"/>
      <c r="AS188" s="23" t="n"/>
      <c r="AT188" s="29" t="n"/>
      <c r="AU188" s="29" t="n"/>
      <c r="AV188" s="29" t="n"/>
      <c r="AW188" s="25">
        <f>IF(OR(O188="",AV188=""),"",O188*AV188)</f>
        <v/>
      </c>
      <c r="AX188" s="23" t="n"/>
      <c r="AY188" s="23" t="n"/>
      <c r="AZ188" s="23" t="n"/>
      <c r="BA188" s="23" t="n"/>
      <c r="BB188" s="23" t="n"/>
      <c r="BC188" s="25" t="n"/>
      <c r="BD188" s="23" t="n"/>
      <c r="BE188" s="23">
        <f>IF(C188="","",IF(AND(ISNUMBER(P188),P188&gt;MAX_PRICE),"Price too high",IF(AND(ISNUMBER(AB188),AB188&lt;=2),"Quality risk",IF(AND(ISNUMBER(U188),U188&lt;=2),"Aesthetic mismatch",IF(AY188="High","Too fragile",IF(AND(ISNUMBER(R188),R188&lt;LOW_PROFIT_PCT),"Low profit",IF(AND(ISNUMBER(AT188),AT188&gt;MOQ_WARNING),"MOQ too high",IF(OR(AD188="Maybe",AD188="Price Review"),"Needs partner review",IF(AD188="Buy","Good candidate","")))))))))</f>
        <v/>
      </c>
      <c r="BF188" s="23" t="n"/>
      <c r="BG188" s="23" t="n"/>
      <c r="BH188" s="23" t="n"/>
      <c r="BI188" s="23" t="n"/>
      <c r="BJ188" s="23" t="n"/>
      <c r="BK188" s="23" t="n"/>
      <c r="BL188" s="23">
        <f>IF(C188="","",IF(AND(BG188="Yes",BH188="Yes",BI188="Yes",BJ188="Yes",BK188="Yes"),"Yes","No"))</f>
        <v/>
      </c>
      <c r="BM188" s="25" t="n"/>
      <c r="BN188" s="25" t="n"/>
      <c r="BO188" s="25">
        <f>IF(OR(BM188="",BN188=""),"",BM188+BN188)</f>
        <v/>
      </c>
      <c r="BP188" s="25" t="n"/>
      <c r="BQ188" s="25">
        <f>IF(OR(BP188="",BO188=""),"",BP188-BO188)</f>
        <v/>
      </c>
      <c r="BR188" s="26">
        <f>IF(OR(BP188="",BP188=0,BQ188=""),"",BQ188/BP188)</f>
        <v/>
      </c>
      <c r="BS188" s="24" t="n"/>
      <c r="BT188" s="29" t="n"/>
      <c r="BU188" s="29" t="n"/>
      <c r="BV188" s="23" t="n"/>
      <c r="BW188" s="23" t="n"/>
      <c r="BX188" s="29">
        <f>IF(OR(BT188="",BU188=""),"",BT188-BU188)</f>
        <v/>
      </c>
      <c r="BY188" s="23" t="n"/>
      <c r="BZ188" s="24" t="n"/>
      <c r="CA188" s="23" t="n"/>
      <c r="CB188" s="23" t="n"/>
    </row>
    <row r="189">
      <c r="A189" s="16">
        <f>IF(C189="","","AYN-"&amp;IFERROR(VLOOKUP(E189,CATEGORY_PREFIX_TABLE,2,FALSE),"OTH")&amp;"-"&amp;TEXT(ROW()-2,"0000"))</f>
        <v/>
      </c>
      <c r="B189" s="17" t="n"/>
      <c r="C189" s="16" t="n"/>
      <c r="D189" s="16" t="n"/>
      <c r="E189" s="16" t="n"/>
      <c r="F189" s="16" t="n"/>
      <c r="G189" s="16" t="n"/>
      <c r="H189" s="16" t="n"/>
      <c r="I189" s="16" t="n"/>
      <c r="J189" s="16" t="n"/>
      <c r="K189" s="18">
        <f>IF(I189="","",IF(J189="BDT",I189,IF(J189="USD",I189*USD_BDT,IF(J189="RMB",I189*RMB_BDT,""))))</f>
        <v/>
      </c>
      <c r="L189" s="18" t="n"/>
      <c r="M189" s="19" t="n"/>
      <c r="N189" s="18" t="n"/>
      <c r="O189" s="18">
        <f>IF(K189="","",K189+IFERROR(L189,0)+(K189*IF(M189="",CUSTOMS_PCT,M189))+IF(N189="",MISC_FEE,N189))</f>
        <v/>
      </c>
      <c r="P189" s="18">
        <f>IF(O189="","",ROUND(O189*(1+MARKUP_PCT),-1)-1)</f>
        <v/>
      </c>
      <c r="Q189" s="18">
        <f>IF(P189="","",P189-O189)</f>
        <v/>
      </c>
      <c r="R189" s="19">
        <f>IF(OR(P189="",P189=0),"",Q189/P189)</f>
        <v/>
      </c>
      <c r="S189" s="16" t="n"/>
      <c r="T189" s="16" t="n"/>
      <c r="U189" s="16" t="n"/>
      <c r="V189" s="16" t="n"/>
      <c r="W189" s="16" t="n"/>
      <c r="X189" s="16" t="n"/>
      <c r="Y189" s="16" t="n"/>
      <c r="Z189" s="16" t="n"/>
      <c r="AA189" s="16" t="n"/>
      <c r="AB189" s="16" t="n"/>
      <c r="AC189" s="20">
        <f>IF(COUNT(S189:AB189)&lt;10,"",(S189*W_FEMININE+T189*W_TREND+U189*W_AESTHETIC+V189*W_STYLE+W189*W_LIGHT+X189*W_REELS+Y189*W_GIFT+Z189*W_PRICEFIT+AA189*W_DEMAND+AB189*W_QUALITY)/5*100)</f>
        <v/>
      </c>
      <c r="AD189" s="16">
        <f>IF(P189="","",IF(P189&gt;HARD_REJECT_PRICE,"Reject",IF(P189&gt;MAX_PRICE,"Price Review",IF(AC189="","",IF(AND(AC189&gt;=BUY_THRESHOLD,OR(AB189&lt;=2,U189&lt;=2)),"Maybe",IF(AC189&gt;=BUY_THRESHOLD,"Buy",IF(AC189&gt;=MAYBE_THRESHOLD,"Maybe","Reject")))))))</f>
        <v/>
      </c>
      <c r="AE189" s="16" t="n"/>
      <c r="AF189" s="16" t="n"/>
      <c r="AG189" s="16" t="n"/>
      <c r="AH189" s="16" t="n"/>
      <c r="AI189" s="17" t="n"/>
      <c r="AJ189">
        <f>IF(AC189="",-9999-ROW()*0.0000001,AC189-ROW()*0.0000001)</f>
        <v/>
      </c>
      <c r="AK189">
        <f>IF(OR(AC189="",P189="",P189&gt;MAX_PRICE),-9999-ROW()*0.0000001,AC189-ROW()*0.0000001)</f>
        <v/>
      </c>
      <c r="AL189">
        <f>IF(AC189="",-9999-ROW()*0.0000001,X189*1000+AC189-ROW()*0.0000001)</f>
        <v/>
      </c>
      <c r="AM189">
        <f>IF(AC189="",-9999-ROW()*0.0000001,Y189*1000+AC189-ROW()*0.0000001)</f>
        <v/>
      </c>
      <c r="AN189">
        <f>IF(AND(OR(AD189="Maybe",AD189="Price Review"),AG189&lt;&gt;"Approved",AG189&lt;&gt;"Rejected"),IF(AC189="",0,AC189)-ROW()*0.0000001,-9999-ROW()*0.0000001)</f>
        <v/>
      </c>
      <c r="AO189" s="21" t="n"/>
      <c r="AP189" s="21" t="n"/>
      <c r="AQ189" s="22" t="n"/>
      <c r="AR189" s="22" t="n"/>
      <c r="AS189" s="16" t="n"/>
      <c r="AT189" s="22" t="n"/>
      <c r="AU189" s="22" t="n"/>
      <c r="AV189" s="22" t="n"/>
      <c r="AW189" s="18">
        <f>IF(OR(O189="",AV189=""),"",O189*AV189)</f>
        <v/>
      </c>
      <c r="AX189" s="16" t="n"/>
      <c r="AY189" s="16" t="n"/>
      <c r="AZ189" s="16" t="n"/>
      <c r="BA189" s="16" t="n"/>
      <c r="BB189" s="16" t="n"/>
      <c r="BC189" s="18" t="n"/>
      <c r="BD189" s="16" t="n"/>
      <c r="BE189" s="16">
        <f>IF(C189="","",IF(AND(ISNUMBER(P189),P189&gt;MAX_PRICE),"Price too high",IF(AND(ISNUMBER(AB189),AB189&lt;=2),"Quality risk",IF(AND(ISNUMBER(U189),U189&lt;=2),"Aesthetic mismatch",IF(AY189="High","Too fragile",IF(AND(ISNUMBER(R189),R189&lt;LOW_PROFIT_PCT),"Low profit",IF(AND(ISNUMBER(AT189),AT189&gt;MOQ_WARNING),"MOQ too high",IF(OR(AD189="Maybe",AD189="Price Review"),"Needs partner review",IF(AD189="Buy","Good candidate","")))))))))</f>
        <v/>
      </c>
      <c r="BF189" s="16" t="n"/>
      <c r="BG189" s="16" t="n"/>
      <c r="BH189" s="16" t="n"/>
      <c r="BI189" s="16" t="n"/>
      <c r="BJ189" s="16" t="n"/>
      <c r="BK189" s="16" t="n"/>
      <c r="BL189" s="16">
        <f>IF(C189="","",IF(AND(BG189="Yes",BH189="Yes",BI189="Yes",BJ189="Yes",BK189="Yes"),"Yes","No"))</f>
        <v/>
      </c>
      <c r="BM189" s="18" t="n"/>
      <c r="BN189" s="18" t="n"/>
      <c r="BO189" s="18">
        <f>IF(OR(BM189="",BN189=""),"",BM189+BN189)</f>
        <v/>
      </c>
      <c r="BP189" s="18" t="n"/>
      <c r="BQ189" s="18">
        <f>IF(OR(BP189="",BO189=""),"",BP189-BO189)</f>
        <v/>
      </c>
      <c r="BR189" s="19">
        <f>IF(OR(BP189="",BP189=0,BQ189=""),"",BQ189/BP189)</f>
        <v/>
      </c>
      <c r="BS189" s="17" t="n"/>
      <c r="BT189" s="22" t="n"/>
      <c r="BU189" s="22" t="n"/>
      <c r="BV189" s="16" t="n"/>
      <c r="BW189" s="16" t="n"/>
      <c r="BX189" s="22">
        <f>IF(OR(BT189="",BU189=""),"",BT189-BU189)</f>
        <v/>
      </c>
      <c r="BY189" s="16" t="n"/>
      <c r="BZ189" s="17" t="n"/>
      <c r="CA189" s="16" t="n"/>
      <c r="CB189" s="16" t="n"/>
    </row>
    <row r="190">
      <c r="A190" s="23">
        <f>IF(C190="","","AYN-"&amp;IFERROR(VLOOKUP(E190,CATEGORY_PREFIX_TABLE,2,FALSE),"OTH")&amp;"-"&amp;TEXT(ROW()-2,"0000"))</f>
        <v/>
      </c>
      <c r="B190" s="24" t="n"/>
      <c r="C190" s="23" t="n"/>
      <c r="D190" s="23" t="n"/>
      <c r="E190" s="23" t="n"/>
      <c r="F190" s="23" t="n"/>
      <c r="G190" s="23" t="n"/>
      <c r="H190" s="23" t="n"/>
      <c r="I190" s="23" t="n"/>
      <c r="J190" s="23" t="n"/>
      <c r="K190" s="25">
        <f>IF(I190="","",IF(J190="BDT",I190,IF(J190="USD",I190*USD_BDT,IF(J190="RMB",I190*RMB_BDT,""))))</f>
        <v/>
      </c>
      <c r="L190" s="25" t="n"/>
      <c r="M190" s="26" t="n"/>
      <c r="N190" s="25" t="n"/>
      <c r="O190" s="25">
        <f>IF(K190="","",K190+IFERROR(L190,0)+(K190*IF(M190="",CUSTOMS_PCT,M190))+IF(N190="",MISC_FEE,N190))</f>
        <v/>
      </c>
      <c r="P190" s="25">
        <f>IF(O190="","",ROUND(O190*(1+MARKUP_PCT),-1)-1)</f>
        <v/>
      </c>
      <c r="Q190" s="25">
        <f>IF(P190="","",P190-O190)</f>
        <v/>
      </c>
      <c r="R190" s="26">
        <f>IF(OR(P190="",P190=0),"",Q190/P190)</f>
        <v/>
      </c>
      <c r="S190" s="23" t="n"/>
      <c r="T190" s="23" t="n"/>
      <c r="U190" s="23" t="n"/>
      <c r="V190" s="23" t="n"/>
      <c r="W190" s="23" t="n"/>
      <c r="X190" s="23" t="n"/>
      <c r="Y190" s="23" t="n"/>
      <c r="Z190" s="23" t="n"/>
      <c r="AA190" s="23" t="n"/>
      <c r="AB190" s="23" t="n"/>
      <c r="AC190" s="27">
        <f>IF(COUNT(S190:AB190)&lt;10,"",(S190*W_FEMININE+T190*W_TREND+U190*W_AESTHETIC+V190*W_STYLE+W190*W_LIGHT+X190*W_REELS+Y190*W_GIFT+Z190*W_PRICEFIT+AA190*W_DEMAND+AB190*W_QUALITY)/5*100)</f>
        <v/>
      </c>
      <c r="AD190" s="23">
        <f>IF(P190="","",IF(P190&gt;HARD_REJECT_PRICE,"Reject",IF(P190&gt;MAX_PRICE,"Price Review",IF(AC190="","",IF(AND(AC190&gt;=BUY_THRESHOLD,OR(AB190&lt;=2,U190&lt;=2)),"Maybe",IF(AC190&gt;=BUY_THRESHOLD,"Buy",IF(AC190&gt;=MAYBE_THRESHOLD,"Maybe","Reject")))))))</f>
        <v/>
      </c>
      <c r="AE190" s="23" t="n"/>
      <c r="AF190" s="23" t="n"/>
      <c r="AG190" s="23" t="n"/>
      <c r="AH190" s="23" t="n"/>
      <c r="AI190" s="24" t="n"/>
      <c r="AJ190">
        <f>IF(AC190="",-9999-ROW()*0.0000001,AC190-ROW()*0.0000001)</f>
        <v/>
      </c>
      <c r="AK190">
        <f>IF(OR(AC190="",P190="",P190&gt;MAX_PRICE),-9999-ROW()*0.0000001,AC190-ROW()*0.0000001)</f>
        <v/>
      </c>
      <c r="AL190">
        <f>IF(AC190="",-9999-ROW()*0.0000001,X190*1000+AC190-ROW()*0.0000001)</f>
        <v/>
      </c>
      <c r="AM190">
        <f>IF(AC190="",-9999-ROW()*0.0000001,Y190*1000+AC190-ROW()*0.0000001)</f>
        <v/>
      </c>
      <c r="AN190">
        <f>IF(AND(OR(AD190="Maybe",AD190="Price Review"),AG190&lt;&gt;"Approved",AG190&lt;&gt;"Rejected"),IF(AC190="",0,AC190)-ROW()*0.0000001,-9999-ROW()*0.0000001)</f>
        <v/>
      </c>
      <c r="AO190" s="28" t="n"/>
      <c r="AP190" s="28" t="n"/>
      <c r="AQ190" s="29" t="n"/>
      <c r="AR190" s="29" t="n"/>
      <c r="AS190" s="23" t="n"/>
      <c r="AT190" s="29" t="n"/>
      <c r="AU190" s="29" t="n"/>
      <c r="AV190" s="29" t="n"/>
      <c r="AW190" s="25">
        <f>IF(OR(O190="",AV190=""),"",O190*AV190)</f>
        <v/>
      </c>
      <c r="AX190" s="23" t="n"/>
      <c r="AY190" s="23" t="n"/>
      <c r="AZ190" s="23" t="n"/>
      <c r="BA190" s="23" t="n"/>
      <c r="BB190" s="23" t="n"/>
      <c r="BC190" s="25" t="n"/>
      <c r="BD190" s="23" t="n"/>
      <c r="BE190" s="23">
        <f>IF(C190="","",IF(AND(ISNUMBER(P190),P190&gt;MAX_PRICE),"Price too high",IF(AND(ISNUMBER(AB190),AB190&lt;=2),"Quality risk",IF(AND(ISNUMBER(U190),U190&lt;=2),"Aesthetic mismatch",IF(AY190="High","Too fragile",IF(AND(ISNUMBER(R190),R190&lt;LOW_PROFIT_PCT),"Low profit",IF(AND(ISNUMBER(AT190),AT190&gt;MOQ_WARNING),"MOQ too high",IF(OR(AD190="Maybe",AD190="Price Review"),"Needs partner review",IF(AD190="Buy","Good candidate","")))))))))</f>
        <v/>
      </c>
      <c r="BF190" s="23" t="n"/>
      <c r="BG190" s="23" t="n"/>
      <c r="BH190" s="23" t="n"/>
      <c r="BI190" s="23" t="n"/>
      <c r="BJ190" s="23" t="n"/>
      <c r="BK190" s="23" t="n"/>
      <c r="BL190" s="23">
        <f>IF(C190="","",IF(AND(BG190="Yes",BH190="Yes",BI190="Yes",BJ190="Yes",BK190="Yes"),"Yes","No"))</f>
        <v/>
      </c>
      <c r="BM190" s="25" t="n"/>
      <c r="BN190" s="25" t="n"/>
      <c r="BO190" s="25">
        <f>IF(OR(BM190="",BN190=""),"",BM190+BN190)</f>
        <v/>
      </c>
      <c r="BP190" s="25" t="n"/>
      <c r="BQ190" s="25">
        <f>IF(OR(BP190="",BO190=""),"",BP190-BO190)</f>
        <v/>
      </c>
      <c r="BR190" s="26">
        <f>IF(OR(BP190="",BP190=0,BQ190=""),"",BQ190/BP190)</f>
        <v/>
      </c>
      <c r="BS190" s="24" t="n"/>
      <c r="BT190" s="29" t="n"/>
      <c r="BU190" s="29" t="n"/>
      <c r="BV190" s="23" t="n"/>
      <c r="BW190" s="23" t="n"/>
      <c r="BX190" s="29">
        <f>IF(OR(BT190="",BU190=""),"",BT190-BU190)</f>
        <v/>
      </c>
      <c r="BY190" s="23" t="n"/>
      <c r="BZ190" s="24" t="n"/>
      <c r="CA190" s="23" t="n"/>
      <c r="CB190" s="23" t="n"/>
    </row>
    <row r="191">
      <c r="A191" s="16">
        <f>IF(C191="","","AYN-"&amp;IFERROR(VLOOKUP(E191,CATEGORY_PREFIX_TABLE,2,FALSE),"OTH")&amp;"-"&amp;TEXT(ROW()-2,"0000"))</f>
        <v/>
      </c>
      <c r="B191" s="17" t="n"/>
      <c r="C191" s="16" t="n"/>
      <c r="D191" s="16" t="n"/>
      <c r="E191" s="16" t="n"/>
      <c r="F191" s="16" t="n"/>
      <c r="G191" s="16" t="n"/>
      <c r="H191" s="16" t="n"/>
      <c r="I191" s="16" t="n"/>
      <c r="J191" s="16" t="n"/>
      <c r="K191" s="18">
        <f>IF(I191="","",IF(J191="BDT",I191,IF(J191="USD",I191*USD_BDT,IF(J191="RMB",I191*RMB_BDT,""))))</f>
        <v/>
      </c>
      <c r="L191" s="18" t="n"/>
      <c r="M191" s="19" t="n"/>
      <c r="N191" s="18" t="n"/>
      <c r="O191" s="18">
        <f>IF(K191="","",K191+IFERROR(L191,0)+(K191*IF(M191="",CUSTOMS_PCT,M191))+IF(N191="",MISC_FEE,N191))</f>
        <v/>
      </c>
      <c r="P191" s="18">
        <f>IF(O191="","",ROUND(O191*(1+MARKUP_PCT),-1)-1)</f>
        <v/>
      </c>
      <c r="Q191" s="18">
        <f>IF(P191="","",P191-O191)</f>
        <v/>
      </c>
      <c r="R191" s="19">
        <f>IF(OR(P191="",P191=0),"",Q191/P191)</f>
        <v/>
      </c>
      <c r="S191" s="16" t="n"/>
      <c r="T191" s="16" t="n"/>
      <c r="U191" s="16" t="n"/>
      <c r="V191" s="16" t="n"/>
      <c r="W191" s="16" t="n"/>
      <c r="X191" s="16" t="n"/>
      <c r="Y191" s="16" t="n"/>
      <c r="Z191" s="16" t="n"/>
      <c r="AA191" s="16" t="n"/>
      <c r="AB191" s="16" t="n"/>
      <c r="AC191" s="20">
        <f>IF(COUNT(S191:AB191)&lt;10,"",(S191*W_FEMININE+T191*W_TREND+U191*W_AESTHETIC+V191*W_STYLE+W191*W_LIGHT+X191*W_REELS+Y191*W_GIFT+Z191*W_PRICEFIT+AA191*W_DEMAND+AB191*W_QUALITY)/5*100)</f>
        <v/>
      </c>
      <c r="AD191" s="16">
        <f>IF(P191="","",IF(P191&gt;HARD_REJECT_PRICE,"Reject",IF(P191&gt;MAX_PRICE,"Price Review",IF(AC191="","",IF(AND(AC191&gt;=BUY_THRESHOLD,OR(AB191&lt;=2,U191&lt;=2)),"Maybe",IF(AC191&gt;=BUY_THRESHOLD,"Buy",IF(AC191&gt;=MAYBE_THRESHOLD,"Maybe","Reject")))))))</f>
        <v/>
      </c>
      <c r="AE191" s="16" t="n"/>
      <c r="AF191" s="16" t="n"/>
      <c r="AG191" s="16" t="n"/>
      <c r="AH191" s="16" t="n"/>
      <c r="AI191" s="17" t="n"/>
      <c r="AJ191">
        <f>IF(AC191="",-9999-ROW()*0.0000001,AC191-ROW()*0.0000001)</f>
        <v/>
      </c>
      <c r="AK191">
        <f>IF(OR(AC191="",P191="",P191&gt;MAX_PRICE),-9999-ROW()*0.0000001,AC191-ROW()*0.0000001)</f>
        <v/>
      </c>
      <c r="AL191">
        <f>IF(AC191="",-9999-ROW()*0.0000001,X191*1000+AC191-ROW()*0.0000001)</f>
        <v/>
      </c>
      <c r="AM191">
        <f>IF(AC191="",-9999-ROW()*0.0000001,Y191*1000+AC191-ROW()*0.0000001)</f>
        <v/>
      </c>
      <c r="AN191">
        <f>IF(AND(OR(AD191="Maybe",AD191="Price Review"),AG191&lt;&gt;"Approved",AG191&lt;&gt;"Rejected"),IF(AC191="",0,AC191)-ROW()*0.0000001,-9999-ROW()*0.0000001)</f>
        <v/>
      </c>
      <c r="AO191" s="21" t="n"/>
      <c r="AP191" s="21" t="n"/>
      <c r="AQ191" s="22" t="n"/>
      <c r="AR191" s="22" t="n"/>
      <c r="AS191" s="16" t="n"/>
      <c r="AT191" s="22" t="n"/>
      <c r="AU191" s="22" t="n"/>
      <c r="AV191" s="22" t="n"/>
      <c r="AW191" s="18">
        <f>IF(OR(O191="",AV191=""),"",O191*AV191)</f>
        <v/>
      </c>
      <c r="AX191" s="16" t="n"/>
      <c r="AY191" s="16" t="n"/>
      <c r="AZ191" s="16" t="n"/>
      <c r="BA191" s="16" t="n"/>
      <c r="BB191" s="16" t="n"/>
      <c r="BC191" s="18" t="n"/>
      <c r="BD191" s="16" t="n"/>
      <c r="BE191" s="16">
        <f>IF(C191="","",IF(AND(ISNUMBER(P191),P191&gt;MAX_PRICE),"Price too high",IF(AND(ISNUMBER(AB191),AB191&lt;=2),"Quality risk",IF(AND(ISNUMBER(U191),U191&lt;=2),"Aesthetic mismatch",IF(AY191="High","Too fragile",IF(AND(ISNUMBER(R191),R191&lt;LOW_PROFIT_PCT),"Low profit",IF(AND(ISNUMBER(AT191),AT191&gt;MOQ_WARNING),"MOQ too high",IF(OR(AD191="Maybe",AD191="Price Review"),"Needs partner review",IF(AD191="Buy","Good candidate","")))))))))</f>
        <v/>
      </c>
      <c r="BF191" s="16" t="n"/>
      <c r="BG191" s="16" t="n"/>
      <c r="BH191" s="16" t="n"/>
      <c r="BI191" s="16" t="n"/>
      <c r="BJ191" s="16" t="n"/>
      <c r="BK191" s="16" t="n"/>
      <c r="BL191" s="16">
        <f>IF(C191="","",IF(AND(BG191="Yes",BH191="Yes",BI191="Yes",BJ191="Yes",BK191="Yes"),"Yes","No"))</f>
        <v/>
      </c>
      <c r="BM191" s="18" t="n"/>
      <c r="BN191" s="18" t="n"/>
      <c r="BO191" s="18">
        <f>IF(OR(BM191="",BN191=""),"",BM191+BN191)</f>
        <v/>
      </c>
      <c r="BP191" s="18" t="n"/>
      <c r="BQ191" s="18">
        <f>IF(OR(BP191="",BO191=""),"",BP191-BO191)</f>
        <v/>
      </c>
      <c r="BR191" s="19">
        <f>IF(OR(BP191="",BP191=0,BQ191=""),"",BQ191/BP191)</f>
        <v/>
      </c>
      <c r="BS191" s="17" t="n"/>
      <c r="BT191" s="22" t="n"/>
      <c r="BU191" s="22" t="n"/>
      <c r="BV191" s="16" t="n"/>
      <c r="BW191" s="16" t="n"/>
      <c r="BX191" s="22">
        <f>IF(OR(BT191="",BU191=""),"",BT191-BU191)</f>
        <v/>
      </c>
      <c r="BY191" s="16" t="n"/>
      <c r="BZ191" s="17" t="n"/>
      <c r="CA191" s="16" t="n"/>
      <c r="CB191" s="16" t="n"/>
    </row>
    <row r="192">
      <c r="A192" s="23">
        <f>IF(C192="","","AYN-"&amp;IFERROR(VLOOKUP(E192,CATEGORY_PREFIX_TABLE,2,FALSE),"OTH")&amp;"-"&amp;TEXT(ROW()-2,"0000"))</f>
        <v/>
      </c>
      <c r="B192" s="24" t="n"/>
      <c r="C192" s="23" t="n"/>
      <c r="D192" s="23" t="n"/>
      <c r="E192" s="23" t="n"/>
      <c r="F192" s="23" t="n"/>
      <c r="G192" s="23" t="n"/>
      <c r="H192" s="23" t="n"/>
      <c r="I192" s="23" t="n"/>
      <c r="J192" s="23" t="n"/>
      <c r="K192" s="25">
        <f>IF(I192="","",IF(J192="BDT",I192,IF(J192="USD",I192*USD_BDT,IF(J192="RMB",I192*RMB_BDT,""))))</f>
        <v/>
      </c>
      <c r="L192" s="25" t="n"/>
      <c r="M192" s="26" t="n"/>
      <c r="N192" s="25" t="n"/>
      <c r="O192" s="25">
        <f>IF(K192="","",K192+IFERROR(L192,0)+(K192*IF(M192="",CUSTOMS_PCT,M192))+IF(N192="",MISC_FEE,N192))</f>
        <v/>
      </c>
      <c r="P192" s="25">
        <f>IF(O192="","",ROUND(O192*(1+MARKUP_PCT),-1)-1)</f>
        <v/>
      </c>
      <c r="Q192" s="25">
        <f>IF(P192="","",P192-O192)</f>
        <v/>
      </c>
      <c r="R192" s="26">
        <f>IF(OR(P192="",P192=0),"",Q192/P192)</f>
        <v/>
      </c>
      <c r="S192" s="23" t="n"/>
      <c r="T192" s="23" t="n"/>
      <c r="U192" s="23" t="n"/>
      <c r="V192" s="23" t="n"/>
      <c r="W192" s="23" t="n"/>
      <c r="X192" s="23" t="n"/>
      <c r="Y192" s="23" t="n"/>
      <c r="Z192" s="23" t="n"/>
      <c r="AA192" s="23" t="n"/>
      <c r="AB192" s="23" t="n"/>
      <c r="AC192" s="27">
        <f>IF(COUNT(S192:AB192)&lt;10,"",(S192*W_FEMININE+T192*W_TREND+U192*W_AESTHETIC+V192*W_STYLE+W192*W_LIGHT+X192*W_REELS+Y192*W_GIFT+Z192*W_PRICEFIT+AA192*W_DEMAND+AB192*W_QUALITY)/5*100)</f>
        <v/>
      </c>
      <c r="AD192" s="23">
        <f>IF(P192="","",IF(P192&gt;HARD_REJECT_PRICE,"Reject",IF(P192&gt;MAX_PRICE,"Price Review",IF(AC192="","",IF(AND(AC192&gt;=BUY_THRESHOLD,OR(AB192&lt;=2,U192&lt;=2)),"Maybe",IF(AC192&gt;=BUY_THRESHOLD,"Buy",IF(AC192&gt;=MAYBE_THRESHOLD,"Maybe","Reject")))))))</f>
        <v/>
      </c>
      <c r="AE192" s="23" t="n"/>
      <c r="AF192" s="23" t="n"/>
      <c r="AG192" s="23" t="n"/>
      <c r="AH192" s="23" t="n"/>
      <c r="AI192" s="24" t="n"/>
      <c r="AJ192">
        <f>IF(AC192="",-9999-ROW()*0.0000001,AC192-ROW()*0.0000001)</f>
        <v/>
      </c>
      <c r="AK192">
        <f>IF(OR(AC192="",P192="",P192&gt;MAX_PRICE),-9999-ROW()*0.0000001,AC192-ROW()*0.0000001)</f>
        <v/>
      </c>
      <c r="AL192">
        <f>IF(AC192="",-9999-ROW()*0.0000001,X192*1000+AC192-ROW()*0.0000001)</f>
        <v/>
      </c>
      <c r="AM192">
        <f>IF(AC192="",-9999-ROW()*0.0000001,Y192*1000+AC192-ROW()*0.0000001)</f>
        <v/>
      </c>
      <c r="AN192">
        <f>IF(AND(OR(AD192="Maybe",AD192="Price Review"),AG192&lt;&gt;"Approved",AG192&lt;&gt;"Rejected"),IF(AC192="",0,AC192)-ROW()*0.0000001,-9999-ROW()*0.0000001)</f>
        <v/>
      </c>
      <c r="AO192" s="28" t="n"/>
      <c r="AP192" s="28" t="n"/>
      <c r="AQ192" s="29" t="n"/>
      <c r="AR192" s="29" t="n"/>
      <c r="AS192" s="23" t="n"/>
      <c r="AT192" s="29" t="n"/>
      <c r="AU192" s="29" t="n"/>
      <c r="AV192" s="29" t="n"/>
      <c r="AW192" s="25">
        <f>IF(OR(O192="",AV192=""),"",O192*AV192)</f>
        <v/>
      </c>
      <c r="AX192" s="23" t="n"/>
      <c r="AY192" s="23" t="n"/>
      <c r="AZ192" s="23" t="n"/>
      <c r="BA192" s="23" t="n"/>
      <c r="BB192" s="23" t="n"/>
      <c r="BC192" s="25" t="n"/>
      <c r="BD192" s="23" t="n"/>
      <c r="BE192" s="23">
        <f>IF(C192="","",IF(AND(ISNUMBER(P192),P192&gt;MAX_PRICE),"Price too high",IF(AND(ISNUMBER(AB192),AB192&lt;=2),"Quality risk",IF(AND(ISNUMBER(U192),U192&lt;=2),"Aesthetic mismatch",IF(AY192="High","Too fragile",IF(AND(ISNUMBER(R192),R192&lt;LOW_PROFIT_PCT),"Low profit",IF(AND(ISNUMBER(AT192),AT192&gt;MOQ_WARNING),"MOQ too high",IF(OR(AD192="Maybe",AD192="Price Review"),"Needs partner review",IF(AD192="Buy","Good candidate","")))))))))</f>
        <v/>
      </c>
      <c r="BF192" s="23" t="n"/>
      <c r="BG192" s="23" t="n"/>
      <c r="BH192" s="23" t="n"/>
      <c r="BI192" s="23" t="n"/>
      <c r="BJ192" s="23" t="n"/>
      <c r="BK192" s="23" t="n"/>
      <c r="BL192" s="23">
        <f>IF(C192="","",IF(AND(BG192="Yes",BH192="Yes",BI192="Yes",BJ192="Yes",BK192="Yes"),"Yes","No"))</f>
        <v/>
      </c>
      <c r="BM192" s="25" t="n"/>
      <c r="BN192" s="25" t="n"/>
      <c r="BO192" s="25">
        <f>IF(OR(BM192="",BN192=""),"",BM192+BN192)</f>
        <v/>
      </c>
      <c r="BP192" s="25" t="n"/>
      <c r="BQ192" s="25">
        <f>IF(OR(BP192="",BO192=""),"",BP192-BO192)</f>
        <v/>
      </c>
      <c r="BR192" s="26">
        <f>IF(OR(BP192="",BP192=0,BQ192=""),"",BQ192/BP192)</f>
        <v/>
      </c>
      <c r="BS192" s="24" t="n"/>
      <c r="BT192" s="29" t="n"/>
      <c r="BU192" s="29" t="n"/>
      <c r="BV192" s="23" t="n"/>
      <c r="BW192" s="23" t="n"/>
      <c r="BX192" s="29">
        <f>IF(OR(BT192="",BU192=""),"",BT192-BU192)</f>
        <v/>
      </c>
      <c r="BY192" s="23" t="n"/>
      <c r="BZ192" s="24" t="n"/>
      <c r="CA192" s="23" t="n"/>
      <c r="CB192" s="23" t="n"/>
    </row>
    <row r="193">
      <c r="A193" s="16">
        <f>IF(C193="","","AYN-"&amp;IFERROR(VLOOKUP(E193,CATEGORY_PREFIX_TABLE,2,FALSE),"OTH")&amp;"-"&amp;TEXT(ROW()-2,"0000"))</f>
        <v/>
      </c>
      <c r="B193" s="17" t="n"/>
      <c r="C193" s="16" t="n"/>
      <c r="D193" s="16" t="n"/>
      <c r="E193" s="16" t="n"/>
      <c r="F193" s="16" t="n"/>
      <c r="G193" s="16" t="n"/>
      <c r="H193" s="16" t="n"/>
      <c r="I193" s="16" t="n"/>
      <c r="J193" s="16" t="n"/>
      <c r="K193" s="18">
        <f>IF(I193="","",IF(J193="BDT",I193,IF(J193="USD",I193*USD_BDT,IF(J193="RMB",I193*RMB_BDT,""))))</f>
        <v/>
      </c>
      <c r="L193" s="18" t="n"/>
      <c r="M193" s="19" t="n"/>
      <c r="N193" s="18" t="n"/>
      <c r="O193" s="18">
        <f>IF(K193="","",K193+IFERROR(L193,0)+(K193*IF(M193="",CUSTOMS_PCT,M193))+IF(N193="",MISC_FEE,N193))</f>
        <v/>
      </c>
      <c r="P193" s="18">
        <f>IF(O193="","",ROUND(O193*(1+MARKUP_PCT),-1)-1)</f>
        <v/>
      </c>
      <c r="Q193" s="18">
        <f>IF(P193="","",P193-O193)</f>
        <v/>
      </c>
      <c r="R193" s="19">
        <f>IF(OR(P193="",P193=0),"",Q193/P193)</f>
        <v/>
      </c>
      <c r="S193" s="16" t="n"/>
      <c r="T193" s="16" t="n"/>
      <c r="U193" s="16" t="n"/>
      <c r="V193" s="16" t="n"/>
      <c r="W193" s="16" t="n"/>
      <c r="X193" s="16" t="n"/>
      <c r="Y193" s="16" t="n"/>
      <c r="Z193" s="16" t="n"/>
      <c r="AA193" s="16" t="n"/>
      <c r="AB193" s="16" t="n"/>
      <c r="AC193" s="20">
        <f>IF(COUNT(S193:AB193)&lt;10,"",(S193*W_FEMININE+T193*W_TREND+U193*W_AESTHETIC+V193*W_STYLE+W193*W_LIGHT+X193*W_REELS+Y193*W_GIFT+Z193*W_PRICEFIT+AA193*W_DEMAND+AB193*W_QUALITY)/5*100)</f>
        <v/>
      </c>
      <c r="AD193" s="16">
        <f>IF(P193="","",IF(P193&gt;HARD_REJECT_PRICE,"Reject",IF(P193&gt;MAX_PRICE,"Price Review",IF(AC193="","",IF(AND(AC193&gt;=BUY_THRESHOLD,OR(AB193&lt;=2,U193&lt;=2)),"Maybe",IF(AC193&gt;=BUY_THRESHOLD,"Buy",IF(AC193&gt;=MAYBE_THRESHOLD,"Maybe","Reject")))))))</f>
        <v/>
      </c>
      <c r="AE193" s="16" t="n"/>
      <c r="AF193" s="16" t="n"/>
      <c r="AG193" s="16" t="n"/>
      <c r="AH193" s="16" t="n"/>
      <c r="AI193" s="17" t="n"/>
      <c r="AJ193">
        <f>IF(AC193="",-9999-ROW()*0.0000001,AC193-ROW()*0.0000001)</f>
        <v/>
      </c>
      <c r="AK193">
        <f>IF(OR(AC193="",P193="",P193&gt;MAX_PRICE),-9999-ROW()*0.0000001,AC193-ROW()*0.0000001)</f>
        <v/>
      </c>
      <c r="AL193">
        <f>IF(AC193="",-9999-ROW()*0.0000001,X193*1000+AC193-ROW()*0.0000001)</f>
        <v/>
      </c>
      <c r="AM193">
        <f>IF(AC193="",-9999-ROW()*0.0000001,Y193*1000+AC193-ROW()*0.0000001)</f>
        <v/>
      </c>
      <c r="AN193">
        <f>IF(AND(OR(AD193="Maybe",AD193="Price Review"),AG193&lt;&gt;"Approved",AG193&lt;&gt;"Rejected"),IF(AC193="",0,AC193)-ROW()*0.0000001,-9999-ROW()*0.0000001)</f>
        <v/>
      </c>
      <c r="AO193" s="21" t="n"/>
      <c r="AP193" s="21" t="n"/>
      <c r="AQ193" s="22" t="n"/>
      <c r="AR193" s="22" t="n"/>
      <c r="AS193" s="16" t="n"/>
      <c r="AT193" s="22" t="n"/>
      <c r="AU193" s="22" t="n"/>
      <c r="AV193" s="22" t="n"/>
      <c r="AW193" s="18">
        <f>IF(OR(O193="",AV193=""),"",O193*AV193)</f>
        <v/>
      </c>
      <c r="AX193" s="16" t="n"/>
      <c r="AY193" s="16" t="n"/>
      <c r="AZ193" s="16" t="n"/>
      <c r="BA193" s="16" t="n"/>
      <c r="BB193" s="16" t="n"/>
      <c r="BC193" s="18" t="n"/>
      <c r="BD193" s="16" t="n"/>
      <c r="BE193" s="16">
        <f>IF(C193="","",IF(AND(ISNUMBER(P193),P193&gt;MAX_PRICE),"Price too high",IF(AND(ISNUMBER(AB193),AB193&lt;=2),"Quality risk",IF(AND(ISNUMBER(U193),U193&lt;=2),"Aesthetic mismatch",IF(AY193="High","Too fragile",IF(AND(ISNUMBER(R193),R193&lt;LOW_PROFIT_PCT),"Low profit",IF(AND(ISNUMBER(AT193),AT193&gt;MOQ_WARNING),"MOQ too high",IF(OR(AD193="Maybe",AD193="Price Review"),"Needs partner review",IF(AD193="Buy","Good candidate","")))))))))</f>
        <v/>
      </c>
      <c r="BF193" s="16" t="n"/>
      <c r="BG193" s="16" t="n"/>
      <c r="BH193" s="16" t="n"/>
      <c r="BI193" s="16" t="n"/>
      <c r="BJ193" s="16" t="n"/>
      <c r="BK193" s="16" t="n"/>
      <c r="BL193" s="16">
        <f>IF(C193="","",IF(AND(BG193="Yes",BH193="Yes",BI193="Yes",BJ193="Yes",BK193="Yes"),"Yes","No"))</f>
        <v/>
      </c>
      <c r="BM193" s="18" t="n"/>
      <c r="BN193" s="18" t="n"/>
      <c r="BO193" s="18">
        <f>IF(OR(BM193="",BN193=""),"",BM193+BN193)</f>
        <v/>
      </c>
      <c r="BP193" s="18" t="n"/>
      <c r="BQ193" s="18">
        <f>IF(OR(BP193="",BO193=""),"",BP193-BO193)</f>
        <v/>
      </c>
      <c r="BR193" s="19">
        <f>IF(OR(BP193="",BP193=0,BQ193=""),"",BQ193/BP193)</f>
        <v/>
      </c>
      <c r="BS193" s="17" t="n"/>
      <c r="BT193" s="22" t="n"/>
      <c r="BU193" s="22" t="n"/>
      <c r="BV193" s="16" t="n"/>
      <c r="BW193" s="16" t="n"/>
      <c r="BX193" s="22">
        <f>IF(OR(BT193="",BU193=""),"",BT193-BU193)</f>
        <v/>
      </c>
      <c r="BY193" s="16" t="n"/>
      <c r="BZ193" s="17" t="n"/>
      <c r="CA193" s="16" t="n"/>
      <c r="CB193" s="16" t="n"/>
    </row>
    <row r="194">
      <c r="A194" s="23">
        <f>IF(C194="","","AYN-"&amp;IFERROR(VLOOKUP(E194,CATEGORY_PREFIX_TABLE,2,FALSE),"OTH")&amp;"-"&amp;TEXT(ROW()-2,"0000"))</f>
        <v/>
      </c>
      <c r="B194" s="24" t="n"/>
      <c r="C194" s="23" t="n"/>
      <c r="D194" s="23" t="n"/>
      <c r="E194" s="23" t="n"/>
      <c r="F194" s="23" t="n"/>
      <c r="G194" s="23" t="n"/>
      <c r="H194" s="23" t="n"/>
      <c r="I194" s="23" t="n"/>
      <c r="J194" s="23" t="n"/>
      <c r="K194" s="25">
        <f>IF(I194="","",IF(J194="BDT",I194,IF(J194="USD",I194*USD_BDT,IF(J194="RMB",I194*RMB_BDT,""))))</f>
        <v/>
      </c>
      <c r="L194" s="25" t="n"/>
      <c r="M194" s="26" t="n"/>
      <c r="N194" s="25" t="n"/>
      <c r="O194" s="25">
        <f>IF(K194="","",K194+IFERROR(L194,0)+(K194*IF(M194="",CUSTOMS_PCT,M194))+IF(N194="",MISC_FEE,N194))</f>
        <v/>
      </c>
      <c r="P194" s="25">
        <f>IF(O194="","",ROUND(O194*(1+MARKUP_PCT),-1)-1)</f>
        <v/>
      </c>
      <c r="Q194" s="25">
        <f>IF(P194="","",P194-O194)</f>
        <v/>
      </c>
      <c r="R194" s="26">
        <f>IF(OR(P194="",P194=0),"",Q194/P194)</f>
        <v/>
      </c>
      <c r="S194" s="23" t="n"/>
      <c r="T194" s="23" t="n"/>
      <c r="U194" s="23" t="n"/>
      <c r="V194" s="23" t="n"/>
      <c r="W194" s="23" t="n"/>
      <c r="X194" s="23" t="n"/>
      <c r="Y194" s="23" t="n"/>
      <c r="Z194" s="23" t="n"/>
      <c r="AA194" s="23" t="n"/>
      <c r="AB194" s="23" t="n"/>
      <c r="AC194" s="27">
        <f>IF(COUNT(S194:AB194)&lt;10,"",(S194*W_FEMININE+T194*W_TREND+U194*W_AESTHETIC+V194*W_STYLE+W194*W_LIGHT+X194*W_REELS+Y194*W_GIFT+Z194*W_PRICEFIT+AA194*W_DEMAND+AB194*W_QUALITY)/5*100)</f>
        <v/>
      </c>
      <c r="AD194" s="23">
        <f>IF(P194="","",IF(P194&gt;HARD_REJECT_PRICE,"Reject",IF(P194&gt;MAX_PRICE,"Price Review",IF(AC194="","",IF(AND(AC194&gt;=BUY_THRESHOLD,OR(AB194&lt;=2,U194&lt;=2)),"Maybe",IF(AC194&gt;=BUY_THRESHOLD,"Buy",IF(AC194&gt;=MAYBE_THRESHOLD,"Maybe","Reject")))))))</f>
        <v/>
      </c>
      <c r="AE194" s="23" t="n"/>
      <c r="AF194" s="23" t="n"/>
      <c r="AG194" s="23" t="n"/>
      <c r="AH194" s="23" t="n"/>
      <c r="AI194" s="24" t="n"/>
      <c r="AJ194">
        <f>IF(AC194="",-9999-ROW()*0.0000001,AC194-ROW()*0.0000001)</f>
        <v/>
      </c>
      <c r="AK194">
        <f>IF(OR(AC194="",P194="",P194&gt;MAX_PRICE),-9999-ROW()*0.0000001,AC194-ROW()*0.0000001)</f>
        <v/>
      </c>
      <c r="AL194">
        <f>IF(AC194="",-9999-ROW()*0.0000001,X194*1000+AC194-ROW()*0.0000001)</f>
        <v/>
      </c>
      <c r="AM194">
        <f>IF(AC194="",-9999-ROW()*0.0000001,Y194*1000+AC194-ROW()*0.0000001)</f>
        <v/>
      </c>
      <c r="AN194">
        <f>IF(AND(OR(AD194="Maybe",AD194="Price Review"),AG194&lt;&gt;"Approved",AG194&lt;&gt;"Rejected"),IF(AC194="",0,AC194)-ROW()*0.0000001,-9999-ROW()*0.0000001)</f>
        <v/>
      </c>
      <c r="AO194" s="28" t="n"/>
      <c r="AP194" s="28" t="n"/>
      <c r="AQ194" s="29" t="n"/>
      <c r="AR194" s="29" t="n"/>
      <c r="AS194" s="23" t="n"/>
      <c r="AT194" s="29" t="n"/>
      <c r="AU194" s="29" t="n"/>
      <c r="AV194" s="29" t="n"/>
      <c r="AW194" s="25">
        <f>IF(OR(O194="",AV194=""),"",O194*AV194)</f>
        <v/>
      </c>
      <c r="AX194" s="23" t="n"/>
      <c r="AY194" s="23" t="n"/>
      <c r="AZ194" s="23" t="n"/>
      <c r="BA194" s="23" t="n"/>
      <c r="BB194" s="23" t="n"/>
      <c r="BC194" s="25" t="n"/>
      <c r="BD194" s="23" t="n"/>
      <c r="BE194" s="23">
        <f>IF(C194="","",IF(AND(ISNUMBER(P194),P194&gt;MAX_PRICE),"Price too high",IF(AND(ISNUMBER(AB194),AB194&lt;=2),"Quality risk",IF(AND(ISNUMBER(U194),U194&lt;=2),"Aesthetic mismatch",IF(AY194="High","Too fragile",IF(AND(ISNUMBER(R194),R194&lt;LOW_PROFIT_PCT),"Low profit",IF(AND(ISNUMBER(AT194),AT194&gt;MOQ_WARNING),"MOQ too high",IF(OR(AD194="Maybe",AD194="Price Review"),"Needs partner review",IF(AD194="Buy","Good candidate","")))))))))</f>
        <v/>
      </c>
      <c r="BF194" s="23" t="n"/>
      <c r="BG194" s="23" t="n"/>
      <c r="BH194" s="23" t="n"/>
      <c r="BI194" s="23" t="n"/>
      <c r="BJ194" s="23" t="n"/>
      <c r="BK194" s="23" t="n"/>
      <c r="BL194" s="23">
        <f>IF(C194="","",IF(AND(BG194="Yes",BH194="Yes",BI194="Yes",BJ194="Yes",BK194="Yes"),"Yes","No"))</f>
        <v/>
      </c>
      <c r="BM194" s="25" t="n"/>
      <c r="BN194" s="25" t="n"/>
      <c r="BO194" s="25">
        <f>IF(OR(BM194="",BN194=""),"",BM194+BN194)</f>
        <v/>
      </c>
      <c r="BP194" s="25" t="n"/>
      <c r="BQ194" s="25">
        <f>IF(OR(BP194="",BO194=""),"",BP194-BO194)</f>
        <v/>
      </c>
      <c r="BR194" s="26">
        <f>IF(OR(BP194="",BP194=0,BQ194=""),"",BQ194/BP194)</f>
        <v/>
      </c>
      <c r="BS194" s="24" t="n"/>
      <c r="BT194" s="29" t="n"/>
      <c r="BU194" s="29" t="n"/>
      <c r="BV194" s="23" t="n"/>
      <c r="BW194" s="23" t="n"/>
      <c r="BX194" s="29">
        <f>IF(OR(BT194="",BU194=""),"",BT194-BU194)</f>
        <v/>
      </c>
      <c r="BY194" s="23" t="n"/>
      <c r="BZ194" s="24" t="n"/>
      <c r="CA194" s="23" t="n"/>
      <c r="CB194" s="23" t="n"/>
    </row>
    <row r="195">
      <c r="A195" s="16">
        <f>IF(C195="","","AYN-"&amp;IFERROR(VLOOKUP(E195,CATEGORY_PREFIX_TABLE,2,FALSE),"OTH")&amp;"-"&amp;TEXT(ROW()-2,"0000"))</f>
        <v/>
      </c>
      <c r="B195" s="17" t="n"/>
      <c r="C195" s="16" t="n"/>
      <c r="D195" s="16" t="n"/>
      <c r="E195" s="16" t="n"/>
      <c r="F195" s="16" t="n"/>
      <c r="G195" s="16" t="n"/>
      <c r="H195" s="16" t="n"/>
      <c r="I195" s="16" t="n"/>
      <c r="J195" s="16" t="n"/>
      <c r="K195" s="18">
        <f>IF(I195="","",IF(J195="BDT",I195,IF(J195="USD",I195*USD_BDT,IF(J195="RMB",I195*RMB_BDT,""))))</f>
        <v/>
      </c>
      <c r="L195" s="18" t="n"/>
      <c r="M195" s="19" t="n"/>
      <c r="N195" s="18" t="n"/>
      <c r="O195" s="18">
        <f>IF(K195="","",K195+IFERROR(L195,0)+(K195*IF(M195="",CUSTOMS_PCT,M195))+IF(N195="",MISC_FEE,N195))</f>
        <v/>
      </c>
      <c r="P195" s="18">
        <f>IF(O195="","",ROUND(O195*(1+MARKUP_PCT),-1)-1)</f>
        <v/>
      </c>
      <c r="Q195" s="18">
        <f>IF(P195="","",P195-O195)</f>
        <v/>
      </c>
      <c r="R195" s="19">
        <f>IF(OR(P195="",P195=0),"",Q195/P195)</f>
        <v/>
      </c>
      <c r="S195" s="16" t="n"/>
      <c r="T195" s="16" t="n"/>
      <c r="U195" s="16" t="n"/>
      <c r="V195" s="16" t="n"/>
      <c r="W195" s="16" t="n"/>
      <c r="X195" s="16" t="n"/>
      <c r="Y195" s="16" t="n"/>
      <c r="Z195" s="16" t="n"/>
      <c r="AA195" s="16" t="n"/>
      <c r="AB195" s="16" t="n"/>
      <c r="AC195" s="20">
        <f>IF(COUNT(S195:AB195)&lt;10,"",(S195*W_FEMININE+T195*W_TREND+U195*W_AESTHETIC+V195*W_STYLE+W195*W_LIGHT+X195*W_REELS+Y195*W_GIFT+Z195*W_PRICEFIT+AA195*W_DEMAND+AB195*W_QUALITY)/5*100)</f>
        <v/>
      </c>
      <c r="AD195" s="16">
        <f>IF(P195="","",IF(P195&gt;HARD_REJECT_PRICE,"Reject",IF(P195&gt;MAX_PRICE,"Price Review",IF(AC195="","",IF(AND(AC195&gt;=BUY_THRESHOLD,OR(AB195&lt;=2,U195&lt;=2)),"Maybe",IF(AC195&gt;=BUY_THRESHOLD,"Buy",IF(AC195&gt;=MAYBE_THRESHOLD,"Maybe","Reject")))))))</f>
        <v/>
      </c>
      <c r="AE195" s="16" t="n"/>
      <c r="AF195" s="16" t="n"/>
      <c r="AG195" s="16" t="n"/>
      <c r="AH195" s="16" t="n"/>
      <c r="AI195" s="17" t="n"/>
      <c r="AJ195">
        <f>IF(AC195="",-9999-ROW()*0.0000001,AC195-ROW()*0.0000001)</f>
        <v/>
      </c>
      <c r="AK195">
        <f>IF(OR(AC195="",P195="",P195&gt;MAX_PRICE),-9999-ROW()*0.0000001,AC195-ROW()*0.0000001)</f>
        <v/>
      </c>
      <c r="AL195">
        <f>IF(AC195="",-9999-ROW()*0.0000001,X195*1000+AC195-ROW()*0.0000001)</f>
        <v/>
      </c>
      <c r="AM195">
        <f>IF(AC195="",-9999-ROW()*0.0000001,Y195*1000+AC195-ROW()*0.0000001)</f>
        <v/>
      </c>
      <c r="AN195">
        <f>IF(AND(OR(AD195="Maybe",AD195="Price Review"),AG195&lt;&gt;"Approved",AG195&lt;&gt;"Rejected"),IF(AC195="",0,AC195)-ROW()*0.0000001,-9999-ROW()*0.0000001)</f>
        <v/>
      </c>
      <c r="AO195" s="21" t="n"/>
      <c r="AP195" s="21" t="n"/>
      <c r="AQ195" s="22" t="n"/>
      <c r="AR195" s="22" t="n"/>
      <c r="AS195" s="16" t="n"/>
      <c r="AT195" s="22" t="n"/>
      <c r="AU195" s="22" t="n"/>
      <c r="AV195" s="22" t="n"/>
      <c r="AW195" s="18">
        <f>IF(OR(O195="",AV195=""),"",O195*AV195)</f>
        <v/>
      </c>
      <c r="AX195" s="16" t="n"/>
      <c r="AY195" s="16" t="n"/>
      <c r="AZ195" s="16" t="n"/>
      <c r="BA195" s="16" t="n"/>
      <c r="BB195" s="16" t="n"/>
      <c r="BC195" s="18" t="n"/>
      <c r="BD195" s="16" t="n"/>
      <c r="BE195" s="16">
        <f>IF(C195="","",IF(AND(ISNUMBER(P195),P195&gt;MAX_PRICE),"Price too high",IF(AND(ISNUMBER(AB195),AB195&lt;=2),"Quality risk",IF(AND(ISNUMBER(U195),U195&lt;=2),"Aesthetic mismatch",IF(AY195="High","Too fragile",IF(AND(ISNUMBER(R195),R195&lt;LOW_PROFIT_PCT),"Low profit",IF(AND(ISNUMBER(AT195),AT195&gt;MOQ_WARNING),"MOQ too high",IF(OR(AD195="Maybe",AD195="Price Review"),"Needs partner review",IF(AD195="Buy","Good candidate","")))))))))</f>
        <v/>
      </c>
      <c r="BF195" s="16" t="n"/>
      <c r="BG195" s="16" t="n"/>
      <c r="BH195" s="16" t="n"/>
      <c r="BI195" s="16" t="n"/>
      <c r="BJ195" s="16" t="n"/>
      <c r="BK195" s="16" t="n"/>
      <c r="BL195" s="16">
        <f>IF(C195="","",IF(AND(BG195="Yes",BH195="Yes",BI195="Yes",BJ195="Yes",BK195="Yes"),"Yes","No"))</f>
        <v/>
      </c>
      <c r="BM195" s="18" t="n"/>
      <c r="BN195" s="18" t="n"/>
      <c r="BO195" s="18">
        <f>IF(OR(BM195="",BN195=""),"",BM195+BN195)</f>
        <v/>
      </c>
      <c r="BP195" s="18" t="n"/>
      <c r="BQ195" s="18">
        <f>IF(OR(BP195="",BO195=""),"",BP195-BO195)</f>
        <v/>
      </c>
      <c r="BR195" s="19">
        <f>IF(OR(BP195="",BP195=0,BQ195=""),"",BQ195/BP195)</f>
        <v/>
      </c>
      <c r="BS195" s="17" t="n"/>
      <c r="BT195" s="22" t="n"/>
      <c r="BU195" s="22" t="n"/>
      <c r="BV195" s="16" t="n"/>
      <c r="BW195" s="16" t="n"/>
      <c r="BX195" s="22">
        <f>IF(OR(BT195="",BU195=""),"",BT195-BU195)</f>
        <v/>
      </c>
      <c r="BY195" s="16" t="n"/>
      <c r="BZ195" s="17" t="n"/>
      <c r="CA195" s="16" t="n"/>
      <c r="CB195" s="16" t="n"/>
    </row>
    <row r="196">
      <c r="A196" s="23">
        <f>IF(C196="","","AYN-"&amp;IFERROR(VLOOKUP(E196,CATEGORY_PREFIX_TABLE,2,FALSE),"OTH")&amp;"-"&amp;TEXT(ROW()-2,"0000"))</f>
        <v/>
      </c>
      <c r="B196" s="24" t="n"/>
      <c r="C196" s="23" t="n"/>
      <c r="D196" s="23" t="n"/>
      <c r="E196" s="23" t="n"/>
      <c r="F196" s="23" t="n"/>
      <c r="G196" s="23" t="n"/>
      <c r="H196" s="23" t="n"/>
      <c r="I196" s="23" t="n"/>
      <c r="J196" s="23" t="n"/>
      <c r="K196" s="25">
        <f>IF(I196="","",IF(J196="BDT",I196,IF(J196="USD",I196*USD_BDT,IF(J196="RMB",I196*RMB_BDT,""))))</f>
        <v/>
      </c>
      <c r="L196" s="25" t="n"/>
      <c r="M196" s="26" t="n"/>
      <c r="N196" s="25" t="n"/>
      <c r="O196" s="25">
        <f>IF(K196="","",K196+IFERROR(L196,0)+(K196*IF(M196="",CUSTOMS_PCT,M196))+IF(N196="",MISC_FEE,N196))</f>
        <v/>
      </c>
      <c r="P196" s="25">
        <f>IF(O196="","",ROUND(O196*(1+MARKUP_PCT),-1)-1)</f>
        <v/>
      </c>
      <c r="Q196" s="25">
        <f>IF(P196="","",P196-O196)</f>
        <v/>
      </c>
      <c r="R196" s="26">
        <f>IF(OR(P196="",P196=0),"",Q196/P196)</f>
        <v/>
      </c>
      <c r="S196" s="23" t="n"/>
      <c r="T196" s="23" t="n"/>
      <c r="U196" s="23" t="n"/>
      <c r="V196" s="23" t="n"/>
      <c r="W196" s="23" t="n"/>
      <c r="X196" s="23" t="n"/>
      <c r="Y196" s="23" t="n"/>
      <c r="Z196" s="23" t="n"/>
      <c r="AA196" s="23" t="n"/>
      <c r="AB196" s="23" t="n"/>
      <c r="AC196" s="27">
        <f>IF(COUNT(S196:AB196)&lt;10,"",(S196*W_FEMININE+T196*W_TREND+U196*W_AESTHETIC+V196*W_STYLE+W196*W_LIGHT+X196*W_REELS+Y196*W_GIFT+Z196*W_PRICEFIT+AA196*W_DEMAND+AB196*W_QUALITY)/5*100)</f>
        <v/>
      </c>
      <c r="AD196" s="23">
        <f>IF(P196="","",IF(P196&gt;HARD_REJECT_PRICE,"Reject",IF(P196&gt;MAX_PRICE,"Price Review",IF(AC196="","",IF(AND(AC196&gt;=BUY_THRESHOLD,OR(AB196&lt;=2,U196&lt;=2)),"Maybe",IF(AC196&gt;=BUY_THRESHOLD,"Buy",IF(AC196&gt;=MAYBE_THRESHOLD,"Maybe","Reject")))))))</f>
        <v/>
      </c>
      <c r="AE196" s="23" t="n"/>
      <c r="AF196" s="23" t="n"/>
      <c r="AG196" s="23" t="n"/>
      <c r="AH196" s="23" t="n"/>
      <c r="AI196" s="24" t="n"/>
      <c r="AJ196">
        <f>IF(AC196="",-9999-ROW()*0.0000001,AC196-ROW()*0.0000001)</f>
        <v/>
      </c>
      <c r="AK196">
        <f>IF(OR(AC196="",P196="",P196&gt;MAX_PRICE),-9999-ROW()*0.0000001,AC196-ROW()*0.0000001)</f>
        <v/>
      </c>
      <c r="AL196">
        <f>IF(AC196="",-9999-ROW()*0.0000001,X196*1000+AC196-ROW()*0.0000001)</f>
        <v/>
      </c>
      <c r="AM196">
        <f>IF(AC196="",-9999-ROW()*0.0000001,Y196*1000+AC196-ROW()*0.0000001)</f>
        <v/>
      </c>
      <c r="AN196">
        <f>IF(AND(OR(AD196="Maybe",AD196="Price Review"),AG196&lt;&gt;"Approved",AG196&lt;&gt;"Rejected"),IF(AC196="",0,AC196)-ROW()*0.0000001,-9999-ROW()*0.0000001)</f>
        <v/>
      </c>
      <c r="AO196" s="28" t="n"/>
      <c r="AP196" s="28" t="n"/>
      <c r="AQ196" s="29" t="n"/>
      <c r="AR196" s="29" t="n"/>
      <c r="AS196" s="23" t="n"/>
      <c r="AT196" s="29" t="n"/>
      <c r="AU196" s="29" t="n"/>
      <c r="AV196" s="29" t="n"/>
      <c r="AW196" s="25">
        <f>IF(OR(O196="",AV196=""),"",O196*AV196)</f>
        <v/>
      </c>
      <c r="AX196" s="23" t="n"/>
      <c r="AY196" s="23" t="n"/>
      <c r="AZ196" s="23" t="n"/>
      <c r="BA196" s="23" t="n"/>
      <c r="BB196" s="23" t="n"/>
      <c r="BC196" s="25" t="n"/>
      <c r="BD196" s="23" t="n"/>
      <c r="BE196" s="23">
        <f>IF(C196="","",IF(AND(ISNUMBER(P196),P196&gt;MAX_PRICE),"Price too high",IF(AND(ISNUMBER(AB196),AB196&lt;=2),"Quality risk",IF(AND(ISNUMBER(U196),U196&lt;=2),"Aesthetic mismatch",IF(AY196="High","Too fragile",IF(AND(ISNUMBER(R196),R196&lt;LOW_PROFIT_PCT),"Low profit",IF(AND(ISNUMBER(AT196),AT196&gt;MOQ_WARNING),"MOQ too high",IF(OR(AD196="Maybe",AD196="Price Review"),"Needs partner review",IF(AD196="Buy","Good candidate","")))))))))</f>
        <v/>
      </c>
      <c r="BF196" s="23" t="n"/>
      <c r="BG196" s="23" t="n"/>
      <c r="BH196" s="23" t="n"/>
      <c r="BI196" s="23" t="n"/>
      <c r="BJ196" s="23" t="n"/>
      <c r="BK196" s="23" t="n"/>
      <c r="BL196" s="23">
        <f>IF(C196="","",IF(AND(BG196="Yes",BH196="Yes",BI196="Yes",BJ196="Yes",BK196="Yes"),"Yes","No"))</f>
        <v/>
      </c>
      <c r="BM196" s="25" t="n"/>
      <c r="BN196" s="25" t="n"/>
      <c r="BO196" s="25">
        <f>IF(OR(BM196="",BN196=""),"",BM196+BN196)</f>
        <v/>
      </c>
      <c r="BP196" s="25" t="n"/>
      <c r="BQ196" s="25">
        <f>IF(OR(BP196="",BO196=""),"",BP196-BO196)</f>
        <v/>
      </c>
      <c r="BR196" s="26">
        <f>IF(OR(BP196="",BP196=0,BQ196=""),"",BQ196/BP196)</f>
        <v/>
      </c>
      <c r="BS196" s="24" t="n"/>
      <c r="BT196" s="29" t="n"/>
      <c r="BU196" s="29" t="n"/>
      <c r="BV196" s="23" t="n"/>
      <c r="BW196" s="23" t="n"/>
      <c r="BX196" s="29">
        <f>IF(OR(BT196="",BU196=""),"",BT196-BU196)</f>
        <v/>
      </c>
      <c r="BY196" s="23" t="n"/>
      <c r="BZ196" s="24" t="n"/>
      <c r="CA196" s="23" t="n"/>
      <c r="CB196" s="23" t="n"/>
    </row>
    <row r="197">
      <c r="A197" s="16">
        <f>IF(C197="","","AYN-"&amp;IFERROR(VLOOKUP(E197,CATEGORY_PREFIX_TABLE,2,FALSE),"OTH")&amp;"-"&amp;TEXT(ROW()-2,"0000"))</f>
        <v/>
      </c>
      <c r="B197" s="17" t="n"/>
      <c r="C197" s="16" t="n"/>
      <c r="D197" s="16" t="n"/>
      <c r="E197" s="16" t="n"/>
      <c r="F197" s="16" t="n"/>
      <c r="G197" s="16" t="n"/>
      <c r="H197" s="16" t="n"/>
      <c r="I197" s="16" t="n"/>
      <c r="J197" s="16" t="n"/>
      <c r="K197" s="18">
        <f>IF(I197="","",IF(J197="BDT",I197,IF(J197="USD",I197*USD_BDT,IF(J197="RMB",I197*RMB_BDT,""))))</f>
        <v/>
      </c>
      <c r="L197" s="18" t="n"/>
      <c r="M197" s="19" t="n"/>
      <c r="N197" s="18" t="n"/>
      <c r="O197" s="18">
        <f>IF(K197="","",K197+IFERROR(L197,0)+(K197*IF(M197="",CUSTOMS_PCT,M197))+IF(N197="",MISC_FEE,N197))</f>
        <v/>
      </c>
      <c r="P197" s="18">
        <f>IF(O197="","",ROUND(O197*(1+MARKUP_PCT),-1)-1)</f>
        <v/>
      </c>
      <c r="Q197" s="18">
        <f>IF(P197="","",P197-O197)</f>
        <v/>
      </c>
      <c r="R197" s="19">
        <f>IF(OR(P197="",P197=0),"",Q197/P197)</f>
        <v/>
      </c>
      <c r="S197" s="16" t="n"/>
      <c r="T197" s="16" t="n"/>
      <c r="U197" s="16" t="n"/>
      <c r="V197" s="16" t="n"/>
      <c r="W197" s="16" t="n"/>
      <c r="X197" s="16" t="n"/>
      <c r="Y197" s="16" t="n"/>
      <c r="Z197" s="16" t="n"/>
      <c r="AA197" s="16" t="n"/>
      <c r="AB197" s="16" t="n"/>
      <c r="AC197" s="20">
        <f>IF(COUNT(S197:AB197)&lt;10,"",(S197*W_FEMININE+T197*W_TREND+U197*W_AESTHETIC+V197*W_STYLE+W197*W_LIGHT+X197*W_REELS+Y197*W_GIFT+Z197*W_PRICEFIT+AA197*W_DEMAND+AB197*W_QUALITY)/5*100)</f>
        <v/>
      </c>
      <c r="AD197" s="16">
        <f>IF(P197="","",IF(P197&gt;HARD_REJECT_PRICE,"Reject",IF(P197&gt;MAX_PRICE,"Price Review",IF(AC197="","",IF(AND(AC197&gt;=BUY_THRESHOLD,OR(AB197&lt;=2,U197&lt;=2)),"Maybe",IF(AC197&gt;=BUY_THRESHOLD,"Buy",IF(AC197&gt;=MAYBE_THRESHOLD,"Maybe","Reject")))))))</f>
        <v/>
      </c>
      <c r="AE197" s="16" t="n"/>
      <c r="AF197" s="16" t="n"/>
      <c r="AG197" s="16" t="n"/>
      <c r="AH197" s="16" t="n"/>
      <c r="AI197" s="17" t="n"/>
      <c r="AJ197">
        <f>IF(AC197="",-9999-ROW()*0.0000001,AC197-ROW()*0.0000001)</f>
        <v/>
      </c>
      <c r="AK197">
        <f>IF(OR(AC197="",P197="",P197&gt;MAX_PRICE),-9999-ROW()*0.0000001,AC197-ROW()*0.0000001)</f>
        <v/>
      </c>
      <c r="AL197">
        <f>IF(AC197="",-9999-ROW()*0.0000001,X197*1000+AC197-ROW()*0.0000001)</f>
        <v/>
      </c>
      <c r="AM197">
        <f>IF(AC197="",-9999-ROW()*0.0000001,Y197*1000+AC197-ROW()*0.0000001)</f>
        <v/>
      </c>
      <c r="AN197">
        <f>IF(AND(OR(AD197="Maybe",AD197="Price Review"),AG197&lt;&gt;"Approved",AG197&lt;&gt;"Rejected"),IF(AC197="",0,AC197)-ROW()*0.0000001,-9999-ROW()*0.0000001)</f>
        <v/>
      </c>
      <c r="AO197" s="21" t="n"/>
      <c r="AP197" s="21" t="n"/>
      <c r="AQ197" s="22" t="n"/>
      <c r="AR197" s="22" t="n"/>
      <c r="AS197" s="16" t="n"/>
      <c r="AT197" s="22" t="n"/>
      <c r="AU197" s="22" t="n"/>
      <c r="AV197" s="22" t="n"/>
      <c r="AW197" s="18">
        <f>IF(OR(O197="",AV197=""),"",O197*AV197)</f>
        <v/>
      </c>
      <c r="AX197" s="16" t="n"/>
      <c r="AY197" s="16" t="n"/>
      <c r="AZ197" s="16" t="n"/>
      <c r="BA197" s="16" t="n"/>
      <c r="BB197" s="16" t="n"/>
      <c r="BC197" s="18" t="n"/>
      <c r="BD197" s="16" t="n"/>
      <c r="BE197" s="16">
        <f>IF(C197="","",IF(AND(ISNUMBER(P197),P197&gt;MAX_PRICE),"Price too high",IF(AND(ISNUMBER(AB197),AB197&lt;=2),"Quality risk",IF(AND(ISNUMBER(U197),U197&lt;=2),"Aesthetic mismatch",IF(AY197="High","Too fragile",IF(AND(ISNUMBER(R197),R197&lt;LOW_PROFIT_PCT),"Low profit",IF(AND(ISNUMBER(AT197),AT197&gt;MOQ_WARNING),"MOQ too high",IF(OR(AD197="Maybe",AD197="Price Review"),"Needs partner review",IF(AD197="Buy","Good candidate","")))))))))</f>
        <v/>
      </c>
      <c r="BF197" s="16" t="n"/>
      <c r="BG197" s="16" t="n"/>
      <c r="BH197" s="16" t="n"/>
      <c r="BI197" s="16" t="n"/>
      <c r="BJ197" s="16" t="n"/>
      <c r="BK197" s="16" t="n"/>
      <c r="BL197" s="16">
        <f>IF(C197="","",IF(AND(BG197="Yes",BH197="Yes",BI197="Yes",BJ197="Yes",BK197="Yes"),"Yes","No"))</f>
        <v/>
      </c>
      <c r="BM197" s="18" t="n"/>
      <c r="BN197" s="18" t="n"/>
      <c r="BO197" s="18">
        <f>IF(OR(BM197="",BN197=""),"",BM197+BN197)</f>
        <v/>
      </c>
      <c r="BP197" s="18" t="n"/>
      <c r="BQ197" s="18">
        <f>IF(OR(BP197="",BO197=""),"",BP197-BO197)</f>
        <v/>
      </c>
      <c r="BR197" s="19">
        <f>IF(OR(BP197="",BP197=0,BQ197=""),"",BQ197/BP197)</f>
        <v/>
      </c>
      <c r="BS197" s="17" t="n"/>
      <c r="BT197" s="22" t="n"/>
      <c r="BU197" s="22" t="n"/>
      <c r="BV197" s="16" t="n"/>
      <c r="BW197" s="16" t="n"/>
      <c r="BX197" s="22">
        <f>IF(OR(BT197="",BU197=""),"",BT197-BU197)</f>
        <v/>
      </c>
      <c r="BY197" s="16" t="n"/>
      <c r="BZ197" s="17" t="n"/>
      <c r="CA197" s="16" t="n"/>
      <c r="CB197" s="16" t="n"/>
    </row>
    <row r="198">
      <c r="A198" s="23">
        <f>IF(C198="","","AYN-"&amp;IFERROR(VLOOKUP(E198,CATEGORY_PREFIX_TABLE,2,FALSE),"OTH")&amp;"-"&amp;TEXT(ROW()-2,"0000"))</f>
        <v/>
      </c>
      <c r="B198" s="24" t="n"/>
      <c r="C198" s="23" t="n"/>
      <c r="D198" s="23" t="n"/>
      <c r="E198" s="23" t="n"/>
      <c r="F198" s="23" t="n"/>
      <c r="G198" s="23" t="n"/>
      <c r="H198" s="23" t="n"/>
      <c r="I198" s="23" t="n"/>
      <c r="J198" s="23" t="n"/>
      <c r="K198" s="25">
        <f>IF(I198="","",IF(J198="BDT",I198,IF(J198="USD",I198*USD_BDT,IF(J198="RMB",I198*RMB_BDT,""))))</f>
        <v/>
      </c>
      <c r="L198" s="25" t="n"/>
      <c r="M198" s="26" t="n"/>
      <c r="N198" s="25" t="n"/>
      <c r="O198" s="25">
        <f>IF(K198="","",K198+IFERROR(L198,0)+(K198*IF(M198="",CUSTOMS_PCT,M198))+IF(N198="",MISC_FEE,N198))</f>
        <v/>
      </c>
      <c r="P198" s="25">
        <f>IF(O198="","",ROUND(O198*(1+MARKUP_PCT),-1)-1)</f>
        <v/>
      </c>
      <c r="Q198" s="25">
        <f>IF(P198="","",P198-O198)</f>
        <v/>
      </c>
      <c r="R198" s="26">
        <f>IF(OR(P198="",P198=0),"",Q198/P198)</f>
        <v/>
      </c>
      <c r="S198" s="23" t="n"/>
      <c r="T198" s="23" t="n"/>
      <c r="U198" s="23" t="n"/>
      <c r="V198" s="23" t="n"/>
      <c r="W198" s="23" t="n"/>
      <c r="X198" s="23" t="n"/>
      <c r="Y198" s="23" t="n"/>
      <c r="Z198" s="23" t="n"/>
      <c r="AA198" s="23" t="n"/>
      <c r="AB198" s="23" t="n"/>
      <c r="AC198" s="27">
        <f>IF(COUNT(S198:AB198)&lt;10,"",(S198*W_FEMININE+T198*W_TREND+U198*W_AESTHETIC+V198*W_STYLE+W198*W_LIGHT+X198*W_REELS+Y198*W_GIFT+Z198*W_PRICEFIT+AA198*W_DEMAND+AB198*W_QUALITY)/5*100)</f>
        <v/>
      </c>
      <c r="AD198" s="23">
        <f>IF(P198="","",IF(P198&gt;HARD_REJECT_PRICE,"Reject",IF(P198&gt;MAX_PRICE,"Price Review",IF(AC198="","",IF(AND(AC198&gt;=BUY_THRESHOLD,OR(AB198&lt;=2,U198&lt;=2)),"Maybe",IF(AC198&gt;=BUY_THRESHOLD,"Buy",IF(AC198&gt;=MAYBE_THRESHOLD,"Maybe","Reject")))))))</f>
        <v/>
      </c>
      <c r="AE198" s="23" t="n"/>
      <c r="AF198" s="23" t="n"/>
      <c r="AG198" s="23" t="n"/>
      <c r="AH198" s="23" t="n"/>
      <c r="AI198" s="24" t="n"/>
      <c r="AJ198">
        <f>IF(AC198="",-9999-ROW()*0.0000001,AC198-ROW()*0.0000001)</f>
        <v/>
      </c>
      <c r="AK198">
        <f>IF(OR(AC198="",P198="",P198&gt;MAX_PRICE),-9999-ROW()*0.0000001,AC198-ROW()*0.0000001)</f>
        <v/>
      </c>
      <c r="AL198">
        <f>IF(AC198="",-9999-ROW()*0.0000001,X198*1000+AC198-ROW()*0.0000001)</f>
        <v/>
      </c>
      <c r="AM198">
        <f>IF(AC198="",-9999-ROW()*0.0000001,Y198*1000+AC198-ROW()*0.0000001)</f>
        <v/>
      </c>
      <c r="AN198">
        <f>IF(AND(OR(AD198="Maybe",AD198="Price Review"),AG198&lt;&gt;"Approved",AG198&lt;&gt;"Rejected"),IF(AC198="",0,AC198)-ROW()*0.0000001,-9999-ROW()*0.0000001)</f>
        <v/>
      </c>
      <c r="AO198" s="28" t="n"/>
      <c r="AP198" s="28" t="n"/>
      <c r="AQ198" s="29" t="n"/>
      <c r="AR198" s="29" t="n"/>
      <c r="AS198" s="23" t="n"/>
      <c r="AT198" s="29" t="n"/>
      <c r="AU198" s="29" t="n"/>
      <c r="AV198" s="29" t="n"/>
      <c r="AW198" s="25">
        <f>IF(OR(O198="",AV198=""),"",O198*AV198)</f>
        <v/>
      </c>
      <c r="AX198" s="23" t="n"/>
      <c r="AY198" s="23" t="n"/>
      <c r="AZ198" s="23" t="n"/>
      <c r="BA198" s="23" t="n"/>
      <c r="BB198" s="23" t="n"/>
      <c r="BC198" s="25" t="n"/>
      <c r="BD198" s="23" t="n"/>
      <c r="BE198" s="23">
        <f>IF(C198="","",IF(AND(ISNUMBER(P198),P198&gt;MAX_PRICE),"Price too high",IF(AND(ISNUMBER(AB198),AB198&lt;=2),"Quality risk",IF(AND(ISNUMBER(U198),U198&lt;=2),"Aesthetic mismatch",IF(AY198="High","Too fragile",IF(AND(ISNUMBER(R198),R198&lt;LOW_PROFIT_PCT),"Low profit",IF(AND(ISNUMBER(AT198),AT198&gt;MOQ_WARNING),"MOQ too high",IF(OR(AD198="Maybe",AD198="Price Review"),"Needs partner review",IF(AD198="Buy","Good candidate","")))))))))</f>
        <v/>
      </c>
      <c r="BF198" s="23" t="n"/>
      <c r="BG198" s="23" t="n"/>
      <c r="BH198" s="23" t="n"/>
      <c r="BI198" s="23" t="n"/>
      <c r="BJ198" s="23" t="n"/>
      <c r="BK198" s="23" t="n"/>
      <c r="BL198" s="23">
        <f>IF(C198="","",IF(AND(BG198="Yes",BH198="Yes",BI198="Yes",BJ198="Yes",BK198="Yes"),"Yes","No"))</f>
        <v/>
      </c>
      <c r="BM198" s="25" t="n"/>
      <c r="BN198" s="25" t="n"/>
      <c r="BO198" s="25">
        <f>IF(OR(BM198="",BN198=""),"",BM198+BN198)</f>
        <v/>
      </c>
      <c r="BP198" s="25" t="n"/>
      <c r="BQ198" s="25">
        <f>IF(OR(BP198="",BO198=""),"",BP198-BO198)</f>
        <v/>
      </c>
      <c r="BR198" s="26">
        <f>IF(OR(BP198="",BP198=0,BQ198=""),"",BQ198/BP198)</f>
        <v/>
      </c>
      <c r="BS198" s="24" t="n"/>
      <c r="BT198" s="29" t="n"/>
      <c r="BU198" s="29" t="n"/>
      <c r="BV198" s="23" t="n"/>
      <c r="BW198" s="23" t="n"/>
      <c r="BX198" s="29">
        <f>IF(OR(BT198="",BU198=""),"",BT198-BU198)</f>
        <v/>
      </c>
      <c r="BY198" s="23" t="n"/>
      <c r="BZ198" s="24" t="n"/>
      <c r="CA198" s="23" t="n"/>
      <c r="CB198" s="23" t="n"/>
    </row>
    <row r="199">
      <c r="A199" s="16">
        <f>IF(C199="","","AYN-"&amp;IFERROR(VLOOKUP(E199,CATEGORY_PREFIX_TABLE,2,FALSE),"OTH")&amp;"-"&amp;TEXT(ROW()-2,"0000"))</f>
        <v/>
      </c>
      <c r="B199" s="17" t="n"/>
      <c r="C199" s="16" t="n"/>
      <c r="D199" s="16" t="n"/>
      <c r="E199" s="16" t="n"/>
      <c r="F199" s="16" t="n"/>
      <c r="G199" s="16" t="n"/>
      <c r="H199" s="16" t="n"/>
      <c r="I199" s="16" t="n"/>
      <c r="J199" s="16" t="n"/>
      <c r="K199" s="18">
        <f>IF(I199="","",IF(J199="BDT",I199,IF(J199="USD",I199*USD_BDT,IF(J199="RMB",I199*RMB_BDT,""))))</f>
        <v/>
      </c>
      <c r="L199" s="18" t="n"/>
      <c r="M199" s="19" t="n"/>
      <c r="N199" s="18" t="n"/>
      <c r="O199" s="18">
        <f>IF(K199="","",K199+IFERROR(L199,0)+(K199*IF(M199="",CUSTOMS_PCT,M199))+IF(N199="",MISC_FEE,N199))</f>
        <v/>
      </c>
      <c r="P199" s="18">
        <f>IF(O199="","",ROUND(O199*(1+MARKUP_PCT),-1)-1)</f>
        <v/>
      </c>
      <c r="Q199" s="18">
        <f>IF(P199="","",P199-O199)</f>
        <v/>
      </c>
      <c r="R199" s="19">
        <f>IF(OR(P199="",P199=0),"",Q199/P199)</f>
        <v/>
      </c>
      <c r="S199" s="16" t="n"/>
      <c r="T199" s="16" t="n"/>
      <c r="U199" s="16" t="n"/>
      <c r="V199" s="16" t="n"/>
      <c r="W199" s="16" t="n"/>
      <c r="X199" s="16" t="n"/>
      <c r="Y199" s="16" t="n"/>
      <c r="Z199" s="16" t="n"/>
      <c r="AA199" s="16" t="n"/>
      <c r="AB199" s="16" t="n"/>
      <c r="AC199" s="20">
        <f>IF(COUNT(S199:AB199)&lt;10,"",(S199*W_FEMININE+T199*W_TREND+U199*W_AESTHETIC+V199*W_STYLE+W199*W_LIGHT+X199*W_REELS+Y199*W_GIFT+Z199*W_PRICEFIT+AA199*W_DEMAND+AB199*W_QUALITY)/5*100)</f>
        <v/>
      </c>
      <c r="AD199" s="16">
        <f>IF(P199="","",IF(P199&gt;HARD_REJECT_PRICE,"Reject",IF(P199&gt;MAX_PRICE,"Price Review",IF(AC199="","",IF(AND(AC199&gt;=BUY_THRESHOLD,OR(AB199&lt;=2,U199&lt;=2)),"Maybe",IF(AC199&gt;=BUY_THRESHOLD,"Buy",IF(AC199&gt;=MAYBE_THRESHOLD,"Maybe","Reject")))))))</f>
        <v/>
      </c>
      <c r="AE199" s="16" t="n"/>
      <c r="AF199" s="16" t="n"/>
      <c r="AG199" s="16" t="n"/>
      <c r="AH199" s="16" t="n"/>
      <c r="AI199" s="17" t="n"/>
      <c r="AJ199">
        <f>IF(AC199="",-9999-ROW()*0.0000001,AC199-ROW()*0.0000001)</f>
        <v/>
      </c>
      <c r="AK199">
        <f>IF(OR(AC199="",P199="",P199&gt;MAX_PRICE),-9999-ROW()*0.0000001,AC199-ROW()*0.0000001)</f>
        <v/>
      </c>
      <c r="AL199">
        <f>IF(AC199="",-9999-ROW()*0.0000001,X199*1000+AC199-ROW()*0.0000001)</f>
        <v/>
      </c>
      <c r="AM199">
        <f>IF(AC199="",-9999-ROW()*0.0000001,Y199*1000+AC199-ROW()*0.0000001)</f>
        <v/>
      </c>
      <c r="AN199">
        <f>IF(AND(OR(AD199="Maybe",AD199="Price Review"),AG199&lt;&gt;"Approved",AG199&lt;&gt;"Rejected"),IF(AC199="",0,AC199)-ROW()*0.0000001,-9999-ROW()*0.0000001)</f>
        <v/>
      </c>
      <c r="AO199" s="21" t="n"/>
      <c r="AP199" s="21" t="n"/>
      <c r="AQ199" s="22" t="n"/>
      <c r="AR199" s="22" t="n"/>
      <c r="AS199" s="16" t="n"/>
      <c r="AT199" s="22" t="n"/>
      <c r="AU199" s="22" t="n"/>
      <c r="AV199" s="22" t="n"/>
      <c r="AW199" s="18">
        <f>IF(OR(O199="",AV199=""),"",O199*AV199)</f>
        <v/>
      </c>
      <c r="AX199" s="16" t="n"/>
      <c r="AY199" s="16" t="n"/>
      <c r="AZ199" s="16" t="n"/>
      <c r="BA199" s="16" t="n"/>
      <c r="BB199" s="16" t="n"/>
      <c r="BC199" s="18" t="n"/>
      <c r="BD199" s="16" t="n"/>
      <c r="BE199" s="16">
        <f>IF(C199="","",IF(AND(ISNUMBER(P199),P199&gt;MAX_PRICE),"Price too high",IF(AND(ISNUMBER(AB199),AB199&lt;=2),"Quality risk",IF(AND(ISNUMBER(U199),U199&lt;=2),"Aesthetic mismatch",IF(AY199="High","Too fragile",IF(AND(ISNUMBER(R199),R199&lt;LOW_PROFIT_PCT),"Low profit",IF(AND(ISNUMBER(AT199),AT199&gt;MOQ_WARNING),"MOQ too high",IF(OR(AD199="Maybe",AD199="Price Review"),"Needs partner review",IF(AD199="Buy","Good candidate","")))))))))</f>
        <v/>
      </c>
      <c r="BF199" s="16" t="n"/>
      <c r="BG199" s="16" t="n"/>
      <c r="BH199" s="16" t="n"/>
      <c r="BI199" s="16" t="n"/>
      <c r="BJ199" s="16" t="n"/>
      <c r="BK199" s="16" t="n"/>
      <c r="BL199" s="16">
        <f>IF(C199="","",IF(AND(BG199="Yes",BH199="Yes",BI199="Yes",BJ199="Yes",BK199="Yes"),"Yes","No"))</f>
        <v/>
      </c>
      <c r="BM199" s="18" t="n"/>
      <c r="BN199" s="18" t="n"/>
      <c r="BO199" s="18">
        <f>IF(OR(BM199="",BN199=""),"",BM199+BN199)</f>
        <v/>
      </c>
      <c r="BP199" s="18" t="n"/>
      <c r="BQ199" s="18">
        <f>IF(OR(BP199="",BO199=""),"",BP199-BO199)</f>
        <v/>
      </c>
      <c r="BR199" s="19">
        <f>IF(OR(BP199="",BP199=0,BQ199=""),"",BQ199/BP199)</f>
        <v/>
      </c>
      <c r="BS199" s="17" t="n"/>
      <c r="BT199" s="22" t="n"/>
      <c r="BU199" s="22" t="n"/>
      <c r="BV199" s="16" t="n"/>
      <c r="BW199" s="16" t="n"/>
      <c r="BX199" s="22">
        <f>IF(OR(BT199="",BU199=""),"",BT199-BU199)</f>
        <v/>
      </c>
      <c r="BY199" s="16" t="n"/>
      <c r="BZ199" s="17" t="n"/>
      <c r="CA199" s="16" t="n"/>
      <c r="CB199" s="16" t="n"/>
    </row>
    <row r="200">
      <c r="A200" s="23">
        <f>IF(C200="","","AYN-"&amp;IFERROR(VLOOKUP(E200,CATEGORY_PREFIX_TABLE,2,FALSE),"OTH")&amp;"-"&amp;TEXT(ROW()-2,"0000"))</f>
        <v/>
      </c>
      <c r="B200" s="24" t="n"/>
      <c r="C200" s="23" t="n"/>
      <c r="D200" s="23" t="n"/>
      <c r="E200" s="23" t="n"/>
      <c r="F200" s="23" t="n"/>
      <c r="G200" s="23" t="n"/>
      <c r="H200" s="23" t="n"/>
      <c r="I200" s="23" t="n"/>
      <c r="J200" s="23" t="n"/>
      <c r="K200" s="25">
        <f>IF(I200="","",IF(J200="BDT",I200,IF(J200="USD",I200*USD_BDT,IF(J200="RMB",I200*RMB_BDT,""))))</f>
        <v/>
      </c>
      <c r="L200" s="25" t="n"/>
      <c r="M200" s="26" t="n"/>
      <c r="N200" s="25" t="n"/>
      <c r="O200" s="25">
        <f>IF(K200="","",K200+IFERROR(L200,0)+(K200*IF(M200="",CUSTOMS_PCT,M200))+IF(N200="",MISC_FEE,N200))</f>
        <v/>
      </c>
      <c r="P200" s="25">
        <f>IF(O200="","",ROUND(O200*(1+MARKUP_PCT),-1)-1)</f>
        <v/>
      </c>
      <c r="Q200" s="25">
        <f>IF(P200="","",P200-O200)</f>
        <v/>
      </c>
      <c r="R200" s="26">
        <f>IF(OR(P200="",P200=0),"",Q200/P200)</f>
        <v/>
      </c>
      <c r="S200" s="23" t="n"/>
      <c r="T200" s="23" t="n"/>
      <c r="U200" s="23" t="n"/>
      <c r="V200" s="23" t="n"/>
      <c r="W200" s="23" t="n"/>
      <c r="X200" s="23" t="n"/>
      <c r="Y200" s="23" t="n"/>
      <c r="Z200" s="23" t="n"/>
      <c r="AA200" s="23" t="n"/>
      <c r="AB200" s="23" t="n"/>
      <c r="AC200" s="27">
        <f>IF(COUNT(S200:AB200)&lt;10,"",(S200*W_FEMININE+T200*W_TREND+U200*W_AESTHETIC+V200*W_STYLE+W200*W_LIGHT+X200*W_REELS+Y200*W_GIFT+Z200*W_PRICEFIT+AA200*W_DEMAND+AB200*W_QUALITY)/5*100)</f>
        <v/>
      </c>
      <c r="AD200" s="23">
        <f>IF(P200="","",IF(P200&gt;HARD_REJECT_PRICE,"Reject",IF(P200&gt;MAX_PRICE,"Price Review",IF(AC200="","",IF(AND(AC200&gt;=BUY_THRESHOLD,OR(AB200&lt;=2,U200&lt;=2)),"Maybe",IF(AC200&gt;=BUY_THRESHOLD,"Buy",IF(AC200&gt;=MAYBE_THRESHOLD,"Maybe","Reject")))))))</f>
        <v/>
      </c>
      <c r="AE200" s="23" t="n"/>
      <c r="AF200" s="23" t="n"/>
      <c r="AG200" s="23" t="n"/>
      <c r="AH200" s="23" t="n"/>
      <c r="AI200" s="24" t="n"/>
      <c r="AJ200">
        <f>IF(AC200="",-9999-ROW()*0.0000001,AC200-ROW()*0.0000001)</f>
        <v/>
      </c>
      <c r="AK200">
        <f>IF(OR(AC200="",P200="",P200&gt;MAX_PRICE),-9999-ROW()*0.0000001,AC200-ROW()*0.0000001)</f>
        <v/>
      </c>
      <c r="AL200">
        <f>IF(AC200="",-9999-ROW()*0.0000001,X200*1000+AC200-ROW()*0.0000001)</f>
        <v/>
      </c>
      <c r="AM200">
        <f>IF(AC200="",-9999-ROW()*0.0000001,Y200*1000+AC200-ROW()*0.0000001)</f>
        <v/>
      </c>
      <c r="AN200">
        <f>IF(AND(OR(AD200="Maybe",AD200="Price Review"),AG200&lt;&gt;"Approved",AG200&lt;&gt;"Rejected"),IF(AC200="",0,AC200)-ROW()*0.0000001,-9999-ROW()*0.0000001)</f>
        <v/>
      </c>
      <c r="AO200" s="28" t="n"/>
      <c r="AP200" s="28" t="n"/>
      <c r="AQ200" s="29" t="n"/>
      <c r="AR200" s="29" t="n"/>
      <c r="AS200" s="23" t="n"/>
      <c r="AT200" s="29" t="n"/>
      <c r="AU200" s="29" t="n"/>
      <c r="AV200" s="29" t="n"/>
      <c r="AW200" s="25">
        <f>IF(OR(O200="",AV200=""),"",O200*AV200)</f>
        <v/>
      </c>
      <c r="AX200" s="23" t="n"/>
      <c r="AY200" s="23" t="n"/>
      <c r="AZ200" s="23" t="n"/>
      <c r="BA200" s="23" t="n"/>
      <c r="BB200" s="23" t="n"/>
      <c r="BC200" s="25" t="n"/>
      <c r="BD200" s="23" t="n"/>
      <c r="BE200" s="23">
        <f>IF(C200="","",IF(AND(ISNUMBER(P200),P200&gt;MAX_PRICE),"Price too high",IF(AND(ISNUMBER(AB200),AB200&lt;=2),"Quality risk",IF(AND(ISNUMBER(U200),U200&lt;=2),"Aesthetic mismatch",IF(AY200="High","Too fragile",IF(AND(ISNUMBER(R200),R200&lt;LOW_PROFIT_PCT),"Low profit",IF(AND(ISNUMBER(AT200),AT200&gt;MOQ_WARNING),"MOQ too high",IF(OR(AD200="Maybe",AD200="Price Review"),"Needs partner review",IF(AD200="Buy","Good candidate","")))))))))</f>
        <v/>
      </c>
      <c r="BF200" s="23" t="n"/>
      <c r="BG200" s="23" t="n"/>
      <c r="BH200" s="23" t="n"/>
      <c r="BI200" s="23" t="n"/>
      <c r="BJ200" s="23" t="n"/>
      <c r="BK200" s="23" t="n"/>
      <c r="BL200" s="23">
        <f>IF(C200="","",IF(AND(BG200="Yes",BH200="Yes",BI200="Yes",BJ200="Yes",BK200="Yes"),"Yes","No"))</f>
        <v/>
      </c>
      <c r="BM200" s="25" t="n"/>
      <c r="BN200" s="25" t="n"/>
      <c r="BO200" s="25">
        <f>IF(OR(BM200="",BN200=""),"",BM200+BN200)</f>
        <v/>
      </c>
      <c r="BP200" s="25" t="n"/>
      <c r="BQ200" s="25">
        <f>IF(OR(BP200="",BO200=""),"",BP200-BO200)</f>
        <v/>
      </c>
      <c r="BR200" s="26">
        <f>IF(OR(BP200="",BP200=0,BQ200=""),"",BQ200/BP200)</f>
        <v/>
      </c>
      <c r="BS200" s="24" t="n"/>
      <c r="BT200" s="29" t="n"/>
      <c r="BU200" s="29" t="n"/>
      <c r="BV200" s="23" t="n"/>
      <c r="BW200" s="23" t="n"/>
      <c r="BX200" s="29">
        <f>IF(OR(BT200="",BU200=""),"",BT200-BU200)</f>
        <v/>
      </c>
      <c r="BY200" s="23" t="n"/>
      <c r="BZ200" s="24" t="n"/>
      <c r="CA200" s="23" t="n"/>
      <c r="CB200" s="23" t="n"/>
    </row>
    <row r="201">
      <c r="A201" s="16">
        <f>IF(C201="","","AYN-"&amp;IFERROR(VLOOKUP(E201,CATEGORY_PREFIX_TABLE,2,FALSE),"OTH")&amp;"-"&amp;TEXT(ROW()-2,"0000"))</f>
        <v/>
      </c>
      <c r="B201" s="17" t="n"/>
      <c r="C201" s="16" t="n"/>
      <c r="D201" s="16" t="n"/>
      <c r="E201" s="16" t="n"/>
      <c r="F201" s="16" t="n"/>
      <c r="G201" s="16" t="n"/>
      <c r="H201" s="16" t="n"/>
      <c r="I201" s="16" t="n"/>
      <c r="J201" s="16" t="n"/>
      <c r="K201" s="18">
        <f>IF(I201="","",IF(J201="BDT",I201,IF(J201="USD",I201*USD_BDT,IF(J201="RMB",I201*RMB_BDT,""))))</f>
        <v/>
      </c>
      <c r="L201" s="18" t="n"/>
      <c r="M201" s="19" t="n"/>
      <c r="N201" s="18" t="n"/>
      <c r="O201" s="18">
        <f>IF(K201="","",K201+IFERROR(L201,0)+(K201*IF(M201="",CUSTOMS_PCT,M201))+IF(N201="",MISC_FEE,N201))</f>
        <v/>
      </c>
      <c r="P201" s="18">
        <f>IF(O201="","",ROUND(O201*(1+MARKUP_PCT),-1)-1)</f>
        <v/>
      </c>
      <c r="Q201" s="18">
        <f>IF(P201="","",P201-O201)</f>
        <v/>
      </c>
      <c r="R201" s="19">
        <f>IF(OR(P201="",P201=0),"",Q201/P201)</f>
        <v/>
      </c>
      <c r="S201" s="16" t="n"/>
      <c r="T201" s="16" t="n"/>
      <c r="U201" s="16" t="n"/>
      <c r="V201" s="16" t="n"/>
      <c r="W201" s="16" t="n"/>
      <c r="X201" s="16" t="n"/>
      <c r="Y201" s="16" t="n"/>
      <c r="Z201" s="16" t="n"/>
      <c r="AA201" s="16" t="n"/>
      <c r="AB201" s="16" t="n"/>
      <c r="AC201" s="20">
        <f>IF(COUNT(S201:AB201)&lt;10,"",(S201*W_FEMININE+T201*W_TREND+U201*W_AESTHETIC+V201*W_STYLE+W201*W_LIGHT+X201*W_REELS+Y201*W_GIFT+Z201*W_PRICEFIT+AA201*W_DEMAND+AB201*W_QUALITY)/5*100)</f>
        <v/>
      </c>
      <c r="AD201" s="16">
        <f>IF(P201="","",IF(P201&gt;HARD_REJECT_PRICE,"Reject",IF(P201&gt;MAX_PRICE,"Price Review",IF(AC201="","",IF(AND(AC201&gt;=BUY_THRESHOLD,OR(AB201&lt;=2,U201&lt;=2)),"Maybe",IF(AC201&gt;=BUY_THRESHOLD,"Buy",IF(AC201&gt;=MAYBE_THRESHOLD,"Maybe","Reject")))))))</f>
        <v/>
      </c>
      <c r="AE201" s="16" t="n"/>
      <c r="AF201" s="16" t="n"/>
      <c r="AG201" s="16" t="n"/>
      <c r="AH201" s="16" t="n"/>
      <c r="AI201" s="17" t="n"/>
      <c r="AJ201">
        <f>IF(AC201="",-9999-ROW()*0.0000001,AC201-ROW()*0.0000001)</f>
        <v/>
      </c>
      <c r="AK201">
        <f>IF(OR(AC201="",P201="",P201&gt;MAX_PRICE),-9999-ROW()*0.0000001,AC201-ROW()*0.0000001)</f>
        <v/>
      </c>
      <c r="AL201">
        <f>IF(AC201="",-9999-ROW()*0.0000001,X201*1000+AC201-ROW()*0.0000001)</f>
        <v/>
      </c>
      <c r="AM201">
        <f>IF(AC201="",-9999-ROW()*0.0000001,Y201*1000+AC201-ROW()*0.0000001)</f>
        <v/>
      </c>
      <c r="AN201">
        <f>IF(AND(OR(AD201="Maybe",AD201="Price Review"),AG201&lt;&gt;"Approved",AG201&lt;&gt;"Rejected"),IF(AC201="",0,AC201)-ROW()*0.0000001,-9999-ROW()*0.0000001)</f>
        <v/>
      </c>
      <c r="AO201" s="21" t="n"/>
      <c r="AP201" s="21" t="n"/>
      <c r="AQ201" s="22" t="n"/>
      <c r="AR201" s="22" t="n"/>
      <c r="AS201" s="16" t="n"/>
      <c r="AT201" s="22" t="n"/>
      <c r="AU201" s="22" t="n"/>
      <c r="AV201" s="22" t="n"/>
      <c r="AW201" s="18">
        <f>IF(OR(O201="",AV201=""),"",O201*AV201)</f>
        <v/>
      </c>
      <c r="AX201" s="16" t="n"/>
      <c r="AY201" s="16" t="n"/>
      <c r="AZ201" s="16" t="n"/>
      <c r="BA201" s="16" t="n"/>
      <c r="BB201" s="16" t="n"/>
      <c r="BC201" s="18" t="n"/>
      <c r="BD201" s="16" t="n"/>
      <c r="BE201" s="16">
        <f>IF(C201="","",IF(AND(ISNUMBER(P201),P201&gt;MAX_PRICE),"Price too high",IF(AND(ISNUMBER(AB201),AB201&lt;=2),"Quality risk",IF(AND(ISNUMBER(U201),U201&lt;=2),"Aesthetic mismatch",IF(AY201="High","Too fragile",IF(AND(ISNUMBER(R201),R201&lt;LOW_PROFIT_PCT),"Low profit",IF(AND(ISNUMBER(AT201),AT201&gt;MOQ_WARNING),"MOQ too high",IF(OR(AD201="Maybe",AD201="Price Review"),"Needs partner review",IF(AD201="Buy","Good candidate","")))))))))</f>
        <v/>
      </c>
      <c r="BF201" s="16" t="n"/>
      <c r="BG201" s="16" t="n"/>
      <c r="BH201" s="16" t="n"/>
      <c r="BI201" s="16" t="n"/>
      <c r="BJ201" s="16" t="n"/>
      <c r="BK201" s="16" t="n"/>
      <c r="BL201" s="16">
        <f>IF(C201="","",IF(AND(BG201="Yes",BH201="Yes",BI201="Yes",BJ201="Yes",BK201="Yes"),"Yes","No"))</f>
        <v/>
      </c>
      <c r="BM201" s="18" t="n"/>
      <c r="BN201" s="18" t="n"/>
      <c r="BO201" s="18">
        <f>IF(OR(BM201="",BN201=""),"",BM201+BN201)</f>
        <v/>
      </c>
      <c r="BP201" s="18" t="n"/>
      <c r="BQ201" s="18">
        <f>IF(OR(BP201="",BO201=""),"",BP201-BO201)</f>
        <v/>
      </c>
      <c r="BR201" s="19">
        <f>IF(OR(BP201="",BP201=0,BQ201=""),"",BQ201/BP201)</f>
        <v/>
      </c>
      <c r="BS201" s="17" t="n"/>
      <c r="BT201" s="22" t="n"/>
      <c r="BU201" s="22" t="n"/>
      <c r="BV201" s="16" t="n"/>
      <c r="BW201" s="16" t="n"/>
      <c r="BX201" s="22">
        <f>IF(OR(BT201="",BU201=""),"",BT201-BU201)</f>
        <v/>
      </c>
      <c r="BY201" s="16" t="n"/>
      <c r="BZ201" s="17" t="n"/>
      <c r="CA201" s="16" t="n"/>
      <c r="CB201" s="16" t="n"/>
    </row>
    <row r="202">
      <c r="A202" s="23">
        <f>IF(C202="","","AYN-"&amp;IFERROR(VLOOKUP(E202,CATEGORY_PREFIX_TABLE,2,FALSE),"OTH")&amp;"-"&amp;TEXT(ROW()-2,"0000"))</f>
        <v/>
      </c>
      <c r="B202" s="24" t="n"/>
      <c r="C202" s="23" t="n"/>
      <c r="D202" s="23" t="n"/>
      <c r="E202" s="23" t="n"/>
      <c r="F202" s="23" t="n"/>
      <c r="G202" s="23" t="n"/>
      <c r="H202" s="23" t="n"/>
      <c r="I202" s="23" t="n"/>
      <c r="J202" s="23" t="n"/>
      <c r="K202" s="25">
        <f>IF(I202="","",IF(J202="BDT",I202,IF(J202="USD",I202*USD_BDT,IF(J202="RMB",I202*RMB_BDT,""))))</f>
        <v/>
      </c>
      <c r="L202" s="25" t="n"/>
      <c r="M202" s="26" t="n"/>
      <c r="N202" s="25" t="n"/>
      <c r="O202" s="25">
        <f>IF(K202="","",K202+IFERROR(L202,0)+(K202*IF(M202="",CUSTOMS_PCT,M202))+IF(N202="",MISC_FEE,N202))</f>
        <v/>
      </c>
      <c r="P202" s="25">
        <f>IF(O202="","",ROUND(O202*(1+MARKUP_PCT),-1)-1)</f>
        <v/>
      </c>
      <c r="Q202" s="25">
        <f>IF(P202="","",P202-O202)</f>
        <v/>
      </c>
      <c r="R202" s="26">
        <f>IF(OR(P202="",P202=0),"",Q202/P202)</f>
        <v/>
      </c>
      <c r="S202" s="23" t="n"/>
      <c r="T202" s="23" t="n"/>
      <c r="U202" s="23" t="n"/>
      <c r="V202" s="23" t="n"/>
      <c r="W202" s="23" t="n"/>
      <c r="X202" s="23" t="n"/>
      <c r="Y202" s="23" t="n"/>
      <c r="Z202" s="23" t="n"/>
      <c r="AA202" s="23" t="n"/>
      <c r="AB202" s="23" t="n"/>
      <c r="AC202" s="27">
        <f>IF(COUNT(S202:AB202)&lt;10,"",(S202*W_FEMININE+T202*W_TREND+U202*W_AESTHETIC+V202*W_STYLE+W202*W_LIGHT+X202*W_REELS+Y202*W_GIFT+Z202*W_PRICEFIT+AA202*W_DEMAND+AB202*W_QUALITY)/5*100)</f>
        <v/>
      </c>
      <c r="AD202" s="23">
        <f>IF(P202="","",IF(P202&gt;HARD_REJECT_PRICE,"Reject",IF(P202&gt;MAX_PRICE,"Price Review",IF(AC202="","",IF(AND(AC202&gt;=BUY_THRESHOLD,OR(AB202&lt;=2,U202&lt;=2)),"Maybe",IF(AC202&gt;=BUY_THRESHOLD,"Buy",IF(AC202&gt;=MAYBE_THRESHOLD,"Maybe","Reject")))))))</f>
        <v/>
      </c>
      <c r="AE202" s="23" t="n"/>
      <c r="AF202" s="23" t="n"/>
      <c r="AG202" s="23" t="n"/>
      <c r="AH202" s="23" t="n"/>
      <c r="AI202" s="24" t="n"/>
      <c r="AJ202">
        <f>IF(AC202="",-9999-ROW()*0.0000001,AC202-ROW()*0.0000001)</f>
        <v/>
      </c>
      <c r="AK202">
        <f>IF(OR(AC202="",P202="",P202&gt;MAX_PRICE),-9999-ROW()*0.0000001,AC202-ROW()*0.0000001)</f>
        <v/>
      </c>
      <c r="AL202">
        <f>IF(AC202="",-9999-ROW()*0.0000001,X202*1000+AC202-ROW()*0.0000001)</f>
        <v/>
      </c>
      <c r="AM202">
        <f>IF(AC202="",-9999-ROW()*0.0000001,Y202*1000+AC202-ROW()*0.0000001)</f>
        <v/>
      </c>
      <c r="AN202">
        <f>IF(AND(OR(AD202="Maybe",AD202="Price Review"),AG202&lt;&gt;"Approved",AG202&lt;&gt;"Rejected"),IF(AC202="",0,AC202)-ROW()*0.0000001,-9999-ROW()*0.0000001)</f>
        <v/>
      </c>
      <c r="AO202" s="28" t="n"/>
      <c r="AP202" s="28" t="n"/>
      <c r="AQ202" s="29" t="n"/>
      <c r="AR202" s="29" t="n"/>
      <c r="AS202" s="23" t="n"/>
      <c r="AT202" s="29" t="n"/>
      <c r="AU202" s="29" t="n"/>
      <c r="AV202" s="29" t="n"/>
      <c r="AW202" s="25">
        <f>IF(OR(O202="",AV202=""),"",O202*AV202)</f>
        <v/>
      </c>
      <c r="AX202" s="23" t="n"/>
      <c r="AY202" s="23" t="n"/>
      <c r="AZ202" s="23" t="n"/>
      <c r="BA202" s="23" t="n"/>
      <c r="BB202" s="23" t="n"/>
      <c r="BC202" s="25" t="n"/>
      <c r="BD202" s="23" t="n"/>
      <c r="BE202" s="23">
        <f>IF(C202="","",IF(AND(ISNUMBER(P202),P202&gt;MAX_PRICE),"Price too high",IF(AND(ISNUMBER(AB202),AB202&lt;=2),"Quality risk",IF(AND(ISNUMBER(U202),U202&lt;=2),"Aesthetic mismatch",IF(AY202="High","Too fragile",IF(AND(ISNUMBER(R202),R202&lt;LOW_PROFIT_PCT),"Low profit",IF(AND(ISNUMBER(AT202),AT202&gt;MOQ_WARNING),"MOQ too high",IF(OR(AD202="Maybe",AD202="Price Review"),"Needs partner review",IF(AD202="Buy","Good candidate","")))))))))</f>
        <v/>
      </c>
      <c r="BF202" s="23" t="n"/>
      <c r="BG202" s="23" t="n"/>
      <c r="BH202" s="23" t="n"/>
      <c r="BI202" s="23" t="n"/>
      <c r="BJ202" s="23" t="n"/>
      <c r="BK202" s="23" t="n"/>
      <c r="BL202" s="23">
        <f>IF(C202="","",IF(AND(BG202="Yes",BH202="Yes",BI202="Yes",BJ202="Yes",BK202="Yes"),"Yes","No"))</f>
        <v/>
      </c>
      <c r="BM202" s="25" t="n"/>
      <c r="BN202" s="25" t="n"/>
      <c r="BO202" s="25">
        <f>IF(OR(BM202="",BN202=""),"",BM202+BN202)</f>
        <v/>
      </c>
      <c r="BP202" s="25" t="n"/>
      <c r="BQ202" s="25">
        <f>IF(OR(BP202="",BO202=""),"",BP202-BO202)</f>
        <v/>
      </c>
      <c r="BR202" s="26">
        <f>IF(OR(BP202="",BP202=0,BQ202=""),"",BQ202/BP202)</f>
        <v/>
      </c>
      <c r="BS202" s="24" t="n"/>
      <c r="BT202" s="29" t="n"/>
      <c r="BU202" s="29" t="n"/>
      <c r="BV202" s="23" t="n"/>
      <c r="BW202" s="23" t="n"/>
      <c r="BX202" s="29">
        <f>IF(OR(BT202="",BU202=""),"",BT202-BU202)</f>
        <v/>
      </c>
      <c r="BY202" s="23" t="n"/>
      <c r="BZ202" s="24" t="n"/>
      <c r="CA202" s="23" t="n"/>
      <c r="CB202" s="23" t="n"/>
    </row>
    <row r="203">
      <c r="A203" s="16">
        <f>IF(C203="","","AYN-"&amp;IFERROR(VLOOKUP(E203,CATEGORY_PREFIX_TABLE,2,FALSE),"OTH")&amp;"-"&amp;TEXT(ROW()-2,"0000"))</f>
        <v/>
      </c>
      <c r="B203" s="17" t="n"/>
      <c r="C203" s="16" t="n"/>
      <c r="D203" s="16" t="n"/>
      <c r="E203" s="16" t="n"/>
      <c r="F203" s="16" t="n"/>
      <c r="G203" s="16" t="n"/>
      <c r="H203" s="16" t="n"/>
      <c r="I203" s="16" t="n"/>
      <c r="J203" s="16" t="n"/>
      <c r="K203" s="18">
        <f>IF(I203="","",IF(J203="BDT",I203,IF(J203="USD",I203*USD_BDT,IF(J203="RMB",I203*RMB_BDT,""))))</f>
        <v/>
      </c>
      <c r="L203" s="18" t="n"/>
      <c r="M203" s="19" t="n"/>
      <c r="N203" s="18" t="n"/>
      <c r="O203" s="18">
        <f>IF(K203="","",K203+IFERROR(L203,0)+(K203*IF(M203="",CUSTOMS_PCT,M203))+IF(N203="",MISC_FEE,N203))</f>
        <v/>
      </c>
      <c r="P203" s="18">
        <f>IF(O203="","",ROUND(O203*(1+MARKUP_PCT),-1)-1)</f>
        <v/>
      </c>
      <c r="Q203" s="18">
        <f>IF(P203="","",P203-O203)</f>
        <v/>
      </c>
      <c r="R203" s="19">
        <f>IF(OR(P203="",P203=0),"",Q203/P203)</f>
        <v/>
      </c>
      <c r="S203" s="16" t="n"/>
      <c r="T203" s="16" t="n"/>
      <c r="U203" s="16" t="n"/>
      <c r="V203" s="16" t="n"/>
      <c r="W203" s="16" t="n"/>
      <c r="X203" s="16" t="n"/>
      <c r="Y203" s="16" t="n"/>
      <c r="Z203" s="16" t="n"/>
      <c r="AA203" s="16" t="n"/>
      <c r="AB203" s="16" t="n"/>
      <c r="AC203" s="20">
        <f>IF(COUNT(S203:AB203)&lt;10,"",(S203*W_FEMININE+T203*W_TREND+U203*W_AESTHETIC+V203*W_STYLE+W203*W_LIGHT+X203*W_REELS+Y203*W_GIFT+Z203*W_PRICEFIT+AA203*W_DEMAND+AB203*W_QUALITY)/5*100)</f>
        <v/>
      </c>
      <c r="AD203" s="16">
        <f>IF(P203="","",IF(P203&gt;HARD_REJECT_PRICE,"Reject",IF(P203&gt;MAX_PRICE,"Price Review",IF(AC203="","",IF(AND(AC203&gt;=BUY_THRESHOLD,OR(AB203&lt;=2,U203&lt;=2)),"Maybe",IF(AC203&gt;=BUY_THRESHOLD,"Buy",IF(AC203&gt;=MAYBE_THRESHOLD,"Maybe","Reject")))))))</f>
        <v/>
      </c>
      <c r="AE203" s="16" t="n"/>
      <c r="AF203" s="16" t="n"/>
      <c r="AG203" s="16" t="n"/>
      <c r="AH203" s="16" t="n"/>
      <c r="AI203" s="17" t="n"/>
      <c r="AJ203">
        <f>IF(AC203="",-9999-ROW()*0.0000001,AC203-ROW()*0.0000001)</f>
        <v/>
      </c>
      <c r="AK203">
        <f>IF(OR(AC203="",P203="",P203&gt;MAX_PRICE),-9999-ROW()*0.0000001,AC203-ROW()*0.0000001)</f>
        <v/>
      </c>
      <c r="AL203">
        <f>IF(AC203="",-9999-ROW()*0.0000001,X203*1000+AC203-ROW()*0.0000001)</f>
        <v/>
      </c>
      <c r="AM203">
        <f>IF(AC203="",-9999-ROW()*0.0000001,Y203*1000+AC203-ROW()*0.0000001)</f>
        <v/>
      </c>
      <c r="AN203">
        <f>IF(AND(OR(AD203="Maybe",AD203="Price Review"),AG203&lt;&gt;"Approved",AG203&lt;&gt;"Rejected"),IF(AC203="",0,AC203)-ROW()*0.0000001,-9999-ROW()*0.0000001)</f>
        <v/>
      </c>
      <c r="AO203" s="21" t="n"/>
      <c r="AP203" s="21" t="n"/>
      <c r="AQ203" s="22" t="n"/>
      <c r="AR203" s="22" t="n"/>
      <c r="AS203" s="16" t="n"/>
      <c r="AT203" s="22" t="n"/>
      <c r="AU203" s="22" t="n"/>
      <c r="AV203" s="22" t="n"/>
      <c r="AW203" s="18">
        <f>IF(OR(O203="",AV203=""),"",O203*AV203)</f>
        <v/>
      </c>
      <c r="AX203" s="16" t="n"/>
      <c r="AY203" s="16" t="n"/>
      <c r="AZ203" s="16" t="n"/>
      <c r="BA203" s="16" t="n"/>
      <c r="BB203" s="16" t="n"/>
      <c r="BC203" s="18" t="n"/>
      <c r="BD203" s="16" t="n"/>
      <c r="BE203" s="16">
        <f>IF(C203="","",IF(AND(ISNUMBER(P203),P203&gt;MAX_PRICE),"Price too high",IF(AND(ISNUMBER(AB203),AB203&lt;=2),"Quality risk",IF(AND(ISNUMBER(U203),U203&lt;=2),"Aesthetic mismatch",IF(AY203="High","Too fragile",IF(AND(ISNUMBER(R203),R203&lt;LOW_PROFIT_PCT),"Low profit",IF(AND(ISNUMBER(AT203),AT203&gt;MOQ_WARNING),"MOQ too high",IF(OR(AD203="Maybe",AD203="Price Review"),"Needs partner review",IF(AD203="Buy","Good candidate","")))))))))</f>
        <v/>
      </c>
      <c r="BF203" s="16" t="n"/>
      <c r="BG203" s="16" t="n"/>
      <c r="BH203" s="16" t="n"/>
      <c r="BI203" s="16" t="n"/>
      <c r="BJ203" s="16" t="n"/>
      <c r="BK203" s="16" t="n"/>
      <c r="BL203" s="16">
        <f>IF(C203="","",IF(AND(BG203="Yes",BH203="Yes",BI203="Yes",BJ203="Yes",BK203="Yes"),"Yes","No"))</f>
        <v/>
      </c>
      <c r="BM203" s="18" t="n"/>
      <c r="BN203" s="18" t="n"/>
      <c r="BO203" s="18">
        <f>IF(OR(BM203="",BN203=""),"",BM203+BN203)</f>
        <v/>
      </c>
      <c r="BP203" s="18" t="n"/>
      <c r="BQ203" s="18">
        <f>IF(OR(BP203="",BO203=""),"",BP203-BO203)</f>
        <v/>
      </c>
      <c r="BR203" s="19">
        <f>IF(OR(BP203="",BP203=0,BQ203=""),"",BQ203/BP203)</f>
        <v/>
      </c>
      <c r="BS203" s="17" t="n"/>
      <c r="BT203" s="22" t="n"/>
      <c r="BU203" s="22" t="n"/>
      <c r="BV203" s="16" t="n"/>
      <c r="BW203" s="16" t="n"/>
      <c r="BX203" s="22">
        <f>IF(OR(BT203="",BU203=""),"",BT203-BU203)</f>
        <v/>
      </c>
      <c r="BY203" s="16" t="n"/>
      <c r="BZ203" s="17" t="n"/>
      <c r="CA203" s="16" t="n"/>
      <c r="CB203" s="16" t="n"/>
    </row>
    <row r="204">
      <c r="A204" s="23">
        <f>IF(C204="","","AYN-"&amp;IFERROR(VLOOKUP(E204,CATEGORY_PREFIX_TABLE,2,FALSE),"OTH")&amp;"-"&amp;TEXT(ROW()-2,"0000"))</f>
        <v/>
      </c>
      <c r="B204" s="24" t="n"/>
      <c r="C204" s="23" t="n"/>
      <c r="D204" s="23" t="n"/>
      <c r="E204" s="23" t="n"/>
      <c r="F204" s="23" t="n"/>
      <c r="G204" s="23" t="n"/>
      <c r="H204" s="23" t="n"/>
      <c r="I204" s="23" t="n"/>
      <c r="J204" s="23" t="n"/>
      <c r="K204" s="25">
        <f>IF(I204="","",IF(J204="BDT",I204,IF(J204="USD",I204*USD_BDT,IF(J204="RMB",I204*RMB_BDT,""))))</f>
        <v/>
      </c>
      <c r="L204" s="25" t="n"/>
      <c r="M204" s="26" t="n"/>
      <c r="N204" s="25" t="n"/>
      <c r="O204" s="25">
        <f>IF(K204="","",K204+IFERROR(L204,0)+(K204*IF(M204="",CUSTOMS_PCT,M204))+IF(N204="",MISC_FEE,N204))</f>
        <v/>
      </c>
      <c r="P204" s="25">
        <f>IF(O204="","",ROUND(O204*(1+MARKUP_PCT),-1)-1)</f>
        <v/>
      </c>
      <c r="Q204" s="25">
        <f>IF(P204="","",P204-O204)</f>
        <v/>
      </c>
      <c r="R204" s="26">
        <f>IF(OR(P204="",P204=0),"",Q204/P204)</f>
        <v/>
      </c>
      <c r="S204" s="23" t="n"/>
      <c r="T204" s="23" t="n"/>
      <c r="U204" s="23" t="n"/>
      <c r="V204" s="23" t="n"/>
      <c r="W204" s="23" t="n"/>
      <c r="X204" s="23" t="n"/>
      <c r="Y204" s="23" t="n"/>
      <c r="Z204" s="23" t="n"/>
      <c r="AA204" s="23" t="n"/>
      <c r="AB204" s="23" t="n"/>
      <c r="AC204" s="27">
        <f>IF(COUNT(S204:AB204)&lt;10,"",(S204*W_FEMININE+T204*W_TREND+U204*W_AESTHETIC+V204*W_STYLE+W204*W_LIGHT+X204*W_REELS+Y204*W_GIFT+Z204*W_PRICEFIT+AA204*W_DEMAND+AB204*W_QUALITY)/5*100)</f>
        <v/>
      </c>
      <c r="AD204" s="23">
        <f>IF(P204="","",IF(P204&gt;HARD_REJECT_PRICE,"Reject",IF(P204&gt;MAX_PRICE,"Price Review",IF(AC204="","",IF(AND(AC204&gt;=BUY_THRESHOLD,OR(AB204&lt;=2,U204&lt;=2)),"Maybe",IF(AC204&gt;=BUY_THRESHOLD,"Buy",IF(AC204&gt;=MAYBE_THRESHOLD,"Maybe","Reject")))))))</f>
        <v/>
      </c>
      <c r="AE204" s="23" t="n"/>
      <c r="AF204" s="23" t="n"/>
      <c r="AG204" s="23" t="n"/>
      <c r="AH204" s="23" t="n"/>
      <c r="AI204" s="24" t="n"/>
      <c r="AJ204">
        <f>IF(AC204="",-9999-ROW()*0.0000001,AC204-ROW()*0.0000001)</f>
        <v/>
      </c>
      <c r="AK204">
        <f>IF(OR(AC204="",P204="",P204&gt;MAX_PRICE),-9999-ROW()*0.0000001,AC204-ROW()*0.0000001)</f>
        <v/>
      </c>
      <c r="AL204">
        <f>IF(AC204="",-9999-ROW()*0.0000001,X204*1000+AC204-ROW()*0.0000001)</f>
        <v/>
      </c>
      <c r="AM204">
        <f>IF(AC204="",-9999-ROW()*0.0000001,Y204*1000+AC204-ROW()*0.0000001)</f>
        <v/>
      </c>
      <c r="AN204">
        <f>IF(AND(OR(AD204="Maybe",AD204="Price Review"),AG204&lt;&gt;"Approved",AG204&lt;&gt;"Rejected"),IF(AC204="",0,AC204)-ROW()*0.0000001,-9999-ROW()*0.0000001)</f>
        <v/>
      </c>
      <c r="AO204" s="28" t="n"/>
      <c r="AP204" s="28" t="n"/>
      <c r="AQ204" s="29" t="n"/>
      <c r="AR204" s="29" t="n"/>
      <c r="AS204" s="23" t="n"/>
      <c r="AT204" s="29" t="n"/>
      <c r="AU204" s="29" t="n"/>
      <c r="AV204" s="29" t="n"/>
      <c r="AW204" s="25">
        <f>IF(OR(O204="",AV204=""),"",O204*AV204)</f>
        <v/>
      </c>
      <c r="AX204" s="23" t="n"/>
      <c r="AY204" s="23" t="n"/>
      <c r="AZ204" s="23" t="n"/>
      <c r="BA204" s="23" t="n"/>
      <c r="BB204" s="23" t="n"/>
      <c r="BC204" s="25" t="n"/>
      <c r="BD204" s="23" t="n"/>
      <c r="BE204" s="23">
        <f>IF(C204="","",IF(AND(ISNUMBER(P204),P204&gt;MAX_PRICE),"Price too high",IF(AND(ISNUMBER(AB204),AB204&lt;=2),"Quality risk",IF(AND(ISNUMBER(U204),U204&lt;=2),"Aesthetic mismatch",IF(AY204="High","Too fragile",IF(AND(ISNUMBER(R204),R204&lt;LOW_PROFIT_PCT),"Low profit",IF(AND(ISNUMBER(AT204),AT204&gt;MOQ_WARNING),"MOQ too high",IF(OR(AD204="Maybe",AD204="Price Review"),"Needs partner review",IF(AD204="Buy","Good candidate","")))))))))</f>
        <v/>
      </c>
      <c r="BF204" s="23" t="n"/>
      <c r="BG204" s="23" t="n"/>
      <c r="BH204" s="23" t="n"/>
      <c r="BI204" s="23" t="n"/>
      <c r="BJ204" s="23" t="n"/>
      <c r="BK204" s="23" t="n"/>
      <c r="BL204" s="23">
        <f>IF(C204="","",IF(AND(BG204="Yes",BH204="Yes",BI204="Yes",BJ204="Yes",BK204="Yes"),"Yes","No"))</f>
        <v/>
      </c>
      <c r="BM204" s="25" t="n"/>
      <c r="BN204" s="25" t="n"/>
      <c r="BO204" s="25">
        <f>IF(OR(BM204="",BN204=""),"",BM204+BN204)</f>
        <v/>
      </c>
      <c r="BP204" s="25" t="n"/>
      <c r="BQ204" s="25">
        <f>IF(OR(BP204="",BO204=""),"",BP204-BO204)</f>
        <v/>
      </c>
      <c r="BR204" s="26">
        <f>IF(OR(BP204="",BP204=0,BQ204=""),"",BQ204/BP204)</f>
        <v/>
      </c>
      <c r="BS204" s="24" t="n"/>
      <c r="BT204" s="29" t="n"/>
      <c r="BU204" s="29" t="n"/>
      <c r="BV204" s="23" t="n"/>
      <c r="BW204" s="23" t="n"/>
      <c r="BX204" s="29">
        <f>IF(OR(BT204="",BU204=""),"",BT204-BU204)</f>
        <v/>
      </c>
      <c r="BY204" s="23" t="n"/>
      <c r="BZ204" s="24" t="n"/>
      <c r="CA204" s="23" t="n"/>
      <c r="CB204" s="23" t="n"/>
    </row>
    <row r="205">
      <c r="A205" s="16">
        <f>IF(C205="","","AYN-"&amp;IFERROR(VLOOKUP(E205,CATEGORY_PREFIX_TABLE,2,FALSE),"OTH")&amp;"-"&amp;TEXT(ROW()-2,"0000"))</f>
        <v/>
      </c>
      <c r="B205" s="17" t="n"/>
      <c r="C205" s="16" t="n"/>
      <c r="D205" s="16" t="n"/>
      <c r="E205" s="16" t="n"/>
      <c r="F205" s="16" t="n"/>
      <c r="G205" s="16" t="n"/>
      <c r="H205" s="16" t="n"/>
      <c r="I205" s="16" t="n"/>
      <c r="J205" s="16" t="n"/>
      <c r="K205" s="18">
        <f>IF(I205="","",IF(J205="BDT",I205,IF(J205="USD",I205*USD_BDT,IF(J205="RMB",I205*RMB_BDT,""))))</f>
        <v/>
      </c>
      <c r="L205" s="18" t="n"/>
      <c r="M205" s="19" t="n"/>
      <c r="N205" s="18" t="n"/>
      <c r="O205" s="18">
        <f>IF(K205="","",K205+IFERROR(L205,0)+(K205*IF(M205="",CUSTOMS_PCT,M205))+IF(N205="",MISC_FEE,N205))</f>
        <v/>
      </c>
      <c r="P205" s="18">
        <f>IF(O205="","",ROUND(O205*(1+MARKUP_PCT),-1)-1)</f>
        <v/>
      </c>
      <c r="Q205" s="18">
        <f>IF(P205="","",P205-O205)</f>
        <v/>
      </c>
      <c r="R205" s="19">
        <f>IF(OR(P205="",P205=0),"",Q205/P205)</f>
        <v/>
      </c>
      <c r="S205" s="16" t="n"/>
      <c r="T205" s="16" t="n"/>
      <c r="U205" s="16" t="n"/>
      <c r="V205" s="16" t="n"/>
      <c r="W205" s="16" t="n"/>
      <c r="X205" s="16" t="n"/>
      <c r="Y205" s="16" t="n"/>
      <c r="Z205" s="16" t="n"/>
      <c r="AA205" s="16" t="n"/>
      <c r="AB205" s="16" t="n"/>
      <c r="AC205" s="20">
        <f>IF(COUNT(S205:AB205)&lt;10,"",(S205*W_FEMININE+T205*W_TREND+U205*W_AESTHETIC+V205*W_STYLE+W205*W_LIGHT+X205*W_REELS+Y205*W_GIFT+Z205*W_PRICEFIT+AA205*W_DEMAND+AB205*W_QUALITY)/5*100)</f>
        <v/>
      </c>
      <c r="AD205" s="16">
        <f>IF(P205="","",IF(P205&gt;HARD_REJECT_PRICE,"Reject",IF(P205&gt;MAX_PRICE,"Price Review",IF(AC205="","",IF(AND(AC205&gt;=BUY_THRESHOLD,OR(AB205&lt;=2,U205&lt;=2)),"Maybe",IF(AC205&gt;=BUY_THRESHOLD,"Buy",IF(AC205&gt;=MAYBE_THRESHOLD,"Maybe","Reject")))))))</f>
        <v/>
      </c>
      <c r="AE205" s="16" t="n"/>
      <c r="AF205" s="16" t="n"/>
      <c r="AG205" s="16" t="n"/>
      <c r="AH205" s="16" t="n"/>
      <c r="AI205" s="17" t="n"/>
      <c r="AJ205">
        <f>IF(AC205="",-9999-ROW()*0.0000001,AC205-ROW()*0.0000001)</f>
        <v/>
      </c>
      <c r="AK205">
        <f>IF(OR(AC205="",P205="",P205&gt;MAX_PRICE),-9999-ROW()*0.0000001,AC205-ROW()*0.0000001)</f>
        <v/>
      </c>
      <c r="AL205">
        <f>IF(AC205="",-9999-ROW()*0.0000001,X205*1000+AC205-ROW()*0.0000001)</f>
        <v/>
      </c>
      <c r="AM205">
        <f>IF(AC205="",-9999-ROW()*0.0000001,Y205*1000+AC205-ROW()*0.0000001)</f>
        <v/>
      </c>
      <c r="AN205">
        <f>IF(AND(OR(AD205="Maybe",AD205="Price Review"),AG205&lt;&gt;"Approved",AG205&lt;&gt;"Rejected"),IF(AC205="",0,AC205)-ROW()*0.0000001,-9999-ROW()*0.0000001)</f>
        <v/>
      </c>
      <c r="AO205" s="21" t="n"/>
      <c r="AP205" s="21" t="n"/>
      <c r="AQ205" s="22" t="n"/>
      <c r="AR205" s="22" t="n"/>
      <c r="AS205" s="16" t="n"/>
      <c r="AT205" s="22" t="n"/>
      <c r="AU205" s="22" t="n"/>
      <c r="AV205" s="22" t="n"/>
      <c r="AW205" s="18">
        <f>IF(OR(O205="",AV205=""),"",O205*AV205)</f>
        <v/>
      </c>
      <c r="AX205" s="16" t="n"/>
      <c r="AY205" s="16" t="n"/>
      <c r="AZ205" s="16" t="n"/>
      <c r="BA205" s="16" t="n"/>
      <c r="BB205" s="16" t="n"/>
      <c r="BC205" s="18" t="n"/>
      <c r="BD205" s="16" t="n"/>
      <c r="BE205" s="16">
        <f>IF(C205="","",IF(AND(ISNUMBER(P205),P205&gt;MAX_PRICE),"Price too high",IF(AND(ISNUMBER(AB205),AB205&lt;=2),"Quality risk",IF(AND(ISNUMBER(U205),U205&lt;=2),"Aesthetic mismatch",IF(AY205="High","Too fragile",IF(AND(ISNUMBER(R205),R205&lt;LOW_PROFIT_PCT),"Low profit",IF(AND(ISNUMBER(AT205),AT205&gt;MOQ_WARNING),"MOQ too high",IF(OR(AD205="Maybe",AD205="Price Review"),"Needs partner review",IF(AD205="Buy","Good candidate","")))))))))</f>
        <v/>
      </c>
      <c r="BF205" s="16" t="n"/>
      <c r="BG205" s="16" t="n"/>
      <c r="BH205" s="16" t="n"/>
      <c r="BI205" s="16" t="n"/>
      <c r="BJ205" s="16" t="n"/>
      <c r="BK205" s="16" t="n"/>
      <c r="BL205" s="16">
        <f>IF(C205="","",IF(AND(BG205="Yes",BH205="Yes",BI205="Yes",BJ205="Yes",BK205="Yes"),"Yes","No"))</f>
        <v/>
      </c>
      <c r="BM205" s="18" t="n"/>
      <c r="BN205" s="18" t="n"/>
      <c r="BO205" s="18">
        <f>IF(OR(BM205="",BN205=""),"",BM205+BN205)</f>
        <v/>
      </c>
      <c r="BP205" s="18" t="n"/>
      <c r="BQ205" s="18">
        <f>IF(OR(BP205="",BO205=""),"",BP205-BO205)</f>
        <v/>
      </c>
      <c r="BR205" s="19">
        <f>IF(OR(BP205="",BP205=0,BQ205=""),"",BQ205/BP205)</f>
        <v/>
      </c>
      <c r="BS205" s="17" t="n"/>
      <c r="BT205" s="22" t="n"/>
      <c r="BU205" s="22" t="n"/>
      <c r="BV205" s="16" t="n"/>
      <c r="BW205" s="16" t="n"/>
      <c r="BX205" s="22">
        <f>IF(OR(BT205="",BU205=""),"",BT205-BU205)</f>
        <v/>
      </c>
      <c r="BY205" s="16" t="n"/>
      <c r="BZ205" s="17" t="n"/>
      <c r="CA205" s="16" t="n"/>
      <c r="CB205" s="16" t="n"/>
    </row>
    <row r="206">
      <c r="A206" s="23">
        <f>IF(C206="","","AYN-"&amp;IFERROR(VLOOKUP(E206,CATEGORY_PREFIX_TABLE,2,FALSE),"OTH")&amp;"-"&amp;TEXT(ROW()-2,"0000"))</f>
        <v/>
      </c>
      <c r="B206" s="24" t="n"/>
      <c r="C206" s="23" t="n"/>
      <c r="D206" s="23" t="n"/>
      <c r="E206" s="23" t="n"/>
      <c r="F206" s="23" t="n"/>
      <c r="G206" s="23" t="n"/>
      <c r="H206" s="23" t="n"/>
      <c r="I206" s="23" t="n"/>
      <c r="J206" s="23" t="n"/>
      <c r="K206" s="25">
        <f>IF(I206="","",IF(J206="BDT",I206,IF(J206="USD",I206*USD_BDT,IF(J206="RMB",I206*RMB_BDT,""))))</f>
        <v/>
      </c>
      <c r="L206" s="25" t="n"/>
      <c r="M206" s="26" t="n"/>
      <c r="N206" s="25" t="n"/>
      <c r="O206" s="25">
        <f>IF(K206="","",K206+IFERROR(L206,0)+(K206*IF(M206="",CUSTOMS_PCT,M206))+IF(N206="",MISC_FEE,N206))</f>
        <v/>
      </c>
      <c r="P206" s="25">
        <f>IF(O206="","",ROUND(O206*(1+MARKUP_PCT),-1)-1)</f>
        <v/>
      </c>
      <c r="Q206" s="25">
        <f>IF(P206="","",P206-O206)</f>
        <v/>
      </c>
      <c r="R206" s="26">
        <f>IF(OR(P206="",P206=0),"",Q206/P206)</f>
        <v/>
      </c>
      <c r="S206" s="23" t="n"/>
      <c r="T206" s="23" t="n"/>
      <c r="U206" s="23" t="n"/>
      <c r="V206" s="23" t="n"/>
      <c r="W206" s="23" t="n"/>
      <c r="X206" s="23" t="n"/>
      <c r="Y206" s="23" t="n"/>
      <c r="Z206" s="23" t="n"/>
      <c r="AA206" s="23" t="n"/>
      <c r="AB206" s="23" t="n"/>
      <c r="AC206" s="27">
        <f>IF(COUNT(S206:AB206)&lt;10,"",(S206*W_FEMININE+T206*W_TREND+U206*W_AESTHETIC+V206*W_STYLE+W206*W_LIGHT+X206*W_REELS+Y206*W_GIFT+Z206*W_PRICEFIT+AA206*W_DEMAND+AB206*W_QUALITY)/5*100)</f>
        <v/>
      </c>
      <c r="AD206" s="23">
        <f>IF(P206="","",IF(P206&gt;HARD_REJECT_PRICE,"Reject",IF(P206&gt;MAX_PRICE,"Price Review",IF(AC206="","",IF(AND(AC206&gt;=BUY_THRESHOLD,OR(AB206&lt;=2,U206&lt;=2)),"Maybe",IF(AC206&gt;=BUY_THRESHOLD,"Buy",IF(AC206&gt;=MAYBE_THRESHOLD,"Maybe","Reject")))))))</f>
        <v/>
      </c>
      <c r="AE206" s="23" t="n"/>
      <c r="AF206" s="23" t="n"/>
      <c r="AG206" s="23" t="n"/>
      <c r="AH206" s="23" t="n"/>
      <c r="AI206" s="24" t="n"/>
      <c r="AJ206">
        <f>IF(AC206="",-9999-ROW()*0.0000001,AC206-ROW()*0.0000001)</f>
        <v/>
      </c>
      <c r="AK206">
        <f>IF(OR(AC206="",P206="",P206&gt;MAX_PRICE),-9999-ROW()*0.0000001,AC206-ROW()*0.0000001)</f>
        <v/>
      </c>
      <c r="AL206">
        <f>IF(AC206="",-9999-ROW()*0.0000001,X206*1000+AC206-ROW()*0.0000001)</f>
        <v/>
      </c>
      <c r="AM206">
        <f>IF(AC206="",-9999-ROW()*0.0000001,Y206*1000+AC206-ROW()*0.0000001)</f>
        <v/>
      </c>
      <c r="AN206">
        <f>IF(AND(OR(AD206="Maybe",AD206="Price Review"),AG206&lt;&gt;"Approved",AG206&lt;&gt;"Rejected"),IF(AC206="",0,AC206)-ROW()*0.0000001,-9999-ROW()*0.0000001)</f>
        <v/>
      </c>
      <c r="AO206" s="28" t="n"/>
      <c r="AP206" s="28" t="n"/>
      <c r="AQ206" s="29" t="n"/>
      <c r="AR206" s="29" t="n"/>
      <c r="AS206" s="23" t="n"/>
      <c r="AT206" s="29" t="n"/>
      <c r="AU206" s="29" t="n"/>
      <c r="AV206" s="29" t="n"/>
      <c r="AW206" s="25">
        <f>IF(OR(O206="",AV206=""),"",O206*AV206)</f>
        <v/>
      </c>
      <c r="AX206" s="23" t="n"/>
      <c r="AY206" s="23" t="n"/>
      <c r="AZ206" s="23" t="n"/>
      <c r="BA206" s="23" t="n"/>
      <c r="BB206" s="23" t="n"/>
      <c r="BC206" s="25" t="n"/>
      <c r="BD206" s="23" t="n"/>
      <c r="BE206" s="23">
        <f>IF(C206="","",IF(AND(ISNUMBER(P206),P206&gt;MAX_PRICE),"Price too high",IF(AND(ISNUMBER(AB206),AB206&lt;=2),"Quality risk",IF(AND(ISNUMBER(U206),U206&lt;=2),"Aesthetic mismatch",IF(AY206="High","Too fragile",IF(AND(ISNUMBER(R206),R206&lt;LOW_PROFIT_PCT),"Low profit",IF(AND(ISNUMBER(AT206),AT206&gt;MOQ_WARNING),"MOQ too high",IF(OR(AD206="Maybe",AD206="Price Review"),"Needs partner review",IF(AD206="Buy","Good candidate","")))))))))</f>
        <v/>
      </c>
      <c r="BF206" s="23" t="n"/>
      <c r="BG206" s="23" t="n"/>
      <c r="BH206" s="23" t="n"/>
      <c r="BI206" s="23" t="n"/>
      <c r="BJ206" s="23" t="n"/>
      <c r="BK206" s="23" t="n"/>
      <c r="BL206" s="23">
        <f>IF(C206="","",IF(AND(BG206="Yes",BH206="Yes",BI206="Yes",BJ206="Yes",BK206="Yes"),"Yes","No"))</f>
        <v/>
      </c>
      <c r="BM206" s="25" t="n"/>
      <c r="BN206" s="25" t="n"/>
      <c r="BO206" s="25">
        <f>IF(OR(BM206="",BN206=""),"",BM206+BN206)</f>
        <v/>
      </c>
      <c r="BP206" s="25" t="n"/>
      <c r="BQ206" s="25">
        <f>IF(OR(BP206="",BO206=""),"",BP206-BO206)</f>
        <v/>
      </c>
      <c r="BR206" s="26">
        <f>IF(OR(BP206="",BP206=0,BQ206=""),"",BQ206/BP206)</f>
        <v/>
      </c>
      <c r="BS206" s="24" t="n"/>
      <c r="BT206" s="29" t="n"/>
      <c r="BU206" s="29" t="n"/>
      <c r="BV206" s="23" t="n"/>
      <c r="BW206" s="23" t="n"/>
      <c r="BX206" s="29">
        <f>IF(OR(BT206="",BU206=""),"",BT206-BU206)</f>
        <v/>
      </c>
      <c r="BY206" s="23" t="n"/>
      <c r="BZ206" s="24" t="n"/>
      <c r="CA206" s="23" t="n"/>
      <c r="CB206" s="23" t="n"/>
    </row>
    <row r="207">
      <c r="A207" s="16">
        <f>IF(C207="","","AYN-"&amp;IFERROR(VLOOKUP(E207,CATEGORY_PREFIX_TABLE,2,FALSE),"OTH")&amp;"-"&amp;TEXT(ROW()-2,"0000"))</f>
        <v/>
      </c>
      <c r="B207" s="17" t="n"/>
      <c r="C207" s="16" t="n"/>
      <c r="D207" s="16" t="n"/>
      <c r="E207" s="16" t="n"/>
      <c r="F207" s="16" t="n"/>
      <c r="G207" s="16" t="n"/>
      <c r="H207" s="16" t="n"/>
      <c r="I207" s="16" t="n"/>
      <c r="J207" s="16" t="n"/>
      <c r="K207" s="18">
        <f>IF(I207="","",IF(J207="BDT",I207,IF(J207="USD",I207*USD_BDT,IF(J207="RMB",I207*RMB_BDT,""))))</f>
        <v/>
      </c>
      <c r="L207" s="18" t="n"/>
      <c r="M207" s="19" t="n"/>
      <c r="N207" s="18" t="n"/>
      <c r="O207" s="18">
        <f>IF(K207="","",K207+IFERROR(L207,0)+(K207*IF(M207="",CUSTOMS_PCT,M207))+IF(N207="",MISC_FEE,N207))</f>
        <v/>
      </c>
      <c r="P207" s="18">
        <f>IF(O207="","",ROUND(O207*(1+MARKUP_PCT),-1)-1)</f>
        <v/>
      </c>
      <c r="Q207" s="18">
        <f>IF(P207="","",P207-O207)</f>
        <v/>
      </c>
      <c r="R207" s="19">
        <f>IF(OR(P207="",P207=0),"",Q207/P207)</f>
        <v/>
      </c>
      <c r="S207" s="16" t="n"/>
      <c r="T207" s="16" t="n"/>
      <c r="U207" s="16" t="n"/>
      <c r="V207" s="16" t="n"/>
      <c r="W207" s="16" t="n"/>
      <c r="X207" s="16" t="n"/>
      <c r="Y207" s="16" t="n"/>
      <c r="Z207" s="16" t="n"/>
      <c r="AA207" s="16" t="n"/>
      <c r="AB207" s="16" t="n"/>
      <c r="AC207" s="20">
        <f>IF(COUNT(S207:AB207)&lt;10,"",(S207*W_FEMININE+T207*W_TREND+U207*W_AESTHETIC+V207*W_STYLE+W207*W_LIGHT+X207*W_REELS+Y207*W_GIFT+Z207*W_PRICEFIT+AA207*W_DEMAND+AB207*W_QUALITY)/5*100)</f>
        <v/>
      </c>
      <c r="AD207" s="16">
        <f>IF(P207="","",IF(P207&gt;HARD_REJECT_PRICE,"Reject",IF(P207&gt;MAX_PRICE,"Price Review",IF(AC207="","",IF(AND(AC207&gt;=BUY_THRESHOLD,OR(AB207&lt;=2,U207&lt;=2)),"Maybe",IF(AC207&gt;=BUY_THRESHOLD,"Buy",IF(AC207&gt;=MAYBE_THRESHOLD,"Maybe","Reject")))))))</f>
        <v/>
      </c>
      <c r="AE207" s="16" t="n"/>
      <c r="AF207" s="16" t="n"/>
      <c r="AG207" s="16" t="n"/>
      <c r="AH207" s="16" t="n"/>
      <c r="AI207" s="17" t="n"/>
      <c r="AJ207">
        <f>IF(AC207="",-9999-ROW()*0.0000001,AC207-ROW()*0.0000001)</f>
        <v/>
      </c>
      <c r="AK207">
        <f>IF(OR(AC207="",P207="",P207&gt;MAX_PRICE),-9999-ROW()*0.0000001,AC207-ROW()*0.0000001)</f>
        <v/>
      </c>
      <c r="AL207">
        <f>IF(AC207="",-9999-ROW()*0.0000001,X207*1000+AC207-ROW()*0.0000001)</f>
        <v/>
      </c>
      <c r="AM207">
        <f>IF(AC207="",-9999-ROW()*0.0000001,Y207*1000+AC207-ROW()*0.0000001)</f>
        <v/>
      </c>
      <c r="AN207">
        <f>IF(AND(OR(AD207="Maybe",AD207="Price Review"),AG207&lt;&gt;"Approved",AG207&lt;&gt;"Rejected"),IF(AC207="",0,AC207)-ROW()*0.0000001,-9999-ROW()*0.0000001)</f>
        <v/>
      </c>
      <c r="AO207" s="21" t="n"/>
      <c r="AP207" s="21" t="n"/>
      <c r="AQ207" s="22" t="n"/>
      <c r="AR207" s="22" t="n"/>
      <c r="AS207" s="16" t="n"/>
      <c r="AT207" s="22" t="n"/>
      <c r="AU207" s="22" t="n"/>
      <c r="AV207" s="22" t="n"/>
      <c r="AW207" s="18">
        <f>IF(OR(O207="",AV207=""),"",O207*AV207)</f>
        <v/>
      </c>
      <c r="AX207" s="16" t="n"/>
      <c r="AY207" s="16" t="n"/>
      <c r="AZ207" s="16" t="n"/>
      <c r="BA207" s="16" t="n"/>
      <c r="BB207" s="16" t="n"/>
      <c r="BC207" s="18" t="n"/>
      <c r="BD207" s="16" t="n"/>
      <c r="BE207" s="16">
        <f>IF(C207="","",IF(AND(ISNUMBER(P207),P207&gt;MAX_PRICE),"Price too high",IF(AND(ISNUMBER(AB207),AB207&lt;=2),"Quality risk",IF(AND(ISNUMBER(U207),U207&lt;=2),"Aesthetic mismatch",IF(AY207="High","Too fragile",IF(AND(ISNUMBER(R207),R207&lt;LOW_PROFIT_PCT),"Low profit",IF(AND(ISNUMBER(AT207),AT207&gt;MOQ_WARNING),"MOQ too high",IF(OR(AD207="Maybe",AD207="Price Review"),"Needs partner review",IF(AD207="Buy","Good candidate","")))))))))</f>
        <v/>
      </c>
      <c r="BF207" s="16" t="n"/>
      <c r="BG207" s="16" t="n"/>
      <c r="BH207" s="16" t="n"/>
      <c r="BI207" s="16" t="n"/>
      <c r="BJ207" s="16" t="n"/>
      <c r="BK207" s="16" t="n"/>
      <c r="BL207" s="16">
        <f>IF(C207="","",IF(AND(BG207="Yes",BH207="Yes",BI207="Yes",BJ207="Yes",BK207="Yes"),"Yes","No"))</f>
        <v/>
      </c>
      <c r="BM207" s="18" t="n"/>
      <c r="BN207" s="18" t="n"/>
      <c r="BO207" s="18">
        <f>IF(OR(BM207="",BN207=""),"",BM207+BN207)</f>
        <v/>
      </c>
      <c r="BP207" s="18" t="n"/>
      <c r="BQ207" s="18">
        <f>IF(OR(BP207="",BO207=""),"",BP207-BO207)</f>
        <v/>
      </c>
      <c r="BR207" s="19">
        <f>IF(OR(BP207="",BP207=0,BQ207=""),"",BQ207/BP207)</f>
        <v/>
      </c>
      <c r="BS207" s="17" t="n"/>
      <c r="BT207" s="22" t="n"/>
      <c r="BU207" s="22" t="n"/>
      <c r="BV207" s="16" t="n"/>
      <c r="BW207" s="16" t="n"/>
      <c r="BX207" s="22">
        <f>IF(OR(BT207="",BU207=""),"",BT207-BU207)</f>
        <v/>
      </c>
      <c r="BY207" s="16" t="n"/>
      <c r="BZ207" s="17" t="n"/>
      <c r="CA207" s="16" t="n"/>
      <c r="CB207" s="16" t="n"/>
    </row>
    <row r="208">
      <c r="A208" s="23">
        <f>IF(C208="","","AYN-"&amp;IFERROR(VLOOKUP(E208,CATEGORY_PREFIX_TABLE,2,FALSE),"OTH")&amp;"-"&amp;TEXT(ROW()-2,"0000"))</f>
        <v/>
      </c>
      <c r="B208" s="24" t="n"/>
      <c r="C208" s="23" t="n"/>
      <c r="D208" s="23" t="n"/>
      <c r="E208" s="23" t="n"/>
      <c r="F208" s="23" t="n"/>
      <c r="G208" s="23" t="n"/>
      <c r="H208" s="23" t="n"/>
      <c r="I208" s="23" t="n"/>
      <c r="J208" s="23" t="n"/>
      <c r="K208" s="25">
        <f>IF(I208="","",IF(J208="BDT",I208,IF(J208="USD",I208*USD_BDT,IF(J208="RMB",I208*RMB_BDT,""))))</f>
        <v/>
      </c>
      <c r="L208" s="25" t="n"/>
      <c r="M208" s="26" t="n"/>
      <c r="N208" s="25" t="n"/>
      <c r="O208" s="25">
        <f>IF(K208="","",K208+IFERROR(L208,0)+(K208*IF(M208="",CUSTOMS_PCT,M208))+IF(N208="",MISC_FEE,N208))</f>
        <v/>
      </c>
      <c r="P208" s="25">
        <f>IF(O208="","",ROUND(O208*(1+MARKUP_PCT),-1)-1)</f>
        <v/>
      </c>
      <c r="Q208" s="25">
        <f>IF(P208="","",P208-O208)</f>
        <v/>
      </c>
      <c r="R208" s="26">
        <f>IF(OR(P208="",P208=0),"",Q208/P208)</f>
        <v/>
      </c>
      <c r="S208" s="23" t="n"/>
      <c r="T208" s="23" t="n"/>
      <c r="U208" s="23" t="n"/>
      <c r="V208" s="23" t="n"/>
      <c r="W208" s="23" t="n"/>
      <c r="X208" s="23" t="n"/>
      <c r="Y208" s="23" t="n"/>
      <c r="Z208" s="23" t="n"/>
      <c r="AA208" s="23" t="n"/>
      <c r="AB208" s="23" t="n"/>
      <c r="AC208" s="27">
        <f>IF(COUNT(S208:AB208)&lt;10,"",(S208*W_FEMININE+T208*W_TREND+U208*W_AESTHETIC+V208*W_STYLE+W208*W_LIGHT+X208*W_REELS+Y208*W_GIFT+Z208*W_PRICEFIT+AA208*W_DEMAND+AB208*W_QUALITY)/5*100)</f>
        <v/>
      </c>
      <c r="AD208" s="23">
        <f>IF(P208="","",IF(P208&gt;HARD_REJECT_PRICE,"Reject",IF(P208&gt;MAX_PRICE,"Price Review",IF(AC208="","",IF(AND(AC208&gt;=BUY_THRESHOLD,OR(AB208&lt;=2,U208&lt;=2)),"Maybe",IF(AC208&gt;=BUY_THRESHOLD,"Buy",IF(AC208&gt;=MAYBE_THRESHOLD,"Maybe","Reject")))))))</f>
        <v/>
      </c>
      <c r="AE208" s="23" t="n"/>
      <c r="AF208" s="23" t="n"/>
      <c r="AG208" s="23" t="n"/>
      <c r="AH208" s="23" t="n"/>
      <c r="AI208" s="24" t="n"/>
      <c r="AJ208">
        <f>IF(AC208="",-9999-ROW()*0.0000001,AC208-ROW()*0.0000001)</f>
        <v/>
      </c>
      <c r="AK208">
        <f>IF(OR(AC208="",P208="",P208&gt;MAX_PRICE),-9999-ROW()*0.0000001,AC208-ROW()*0.0000001)</f>
        <v/>
      </c>
      <c r="AL208">
        <f>IF(AC208="",-9999-ROW()*0.0000001,X208*1000+AC208-ROW()*0.0000001)</f>
        <v/>
      </c>
      <c r="AM208">
        <f>IF(AC208="",-9999-ROW()*0.0000001,Y208*1000+AC208-ROW()*0.0000001)</f>
        <v/>
      </c>
      <c r="AN208">
        <f>IF(AND(OR(AD208="Maybe",AD208="Price Review"),AG208&lt;&gt;"Approved",AG208&lt;&gt;"Rejected"),IF(AC208="",0,AC208)-ROW()*0.0000001,-9999-ROW()*0.0000001)</f>
        <v/>
      </c>
      <c r="AO208" s="28" t="n"/>
      <c r="AP208" s="28" t="n"/>
      <c r="AQ208" s="29" t="n"/>
      <c r="AR208" s="29" t="n"/>
      <c r="AS208" s="23" t="n"/>
      <c r="AT208" s="29" t="n"/>
      <c r="AU208" s="29" t="n"/>
      <c r="AV208" s="29" t="n"/>
      <c r="AW208" s="25">
        <f>IF(OR(O208="",AV208=""),"",O208*AV208)</f>
        <v/>
      </c>
      <c r="AX208" s="23" t="n"/>
      <c r="AY208" s="23" t="n"/>
      <c r="AZ208" s="23" t="n"/>
      <c r="BA208" s="23" t="n"/>
      <c r="BB208" s="23" t="n"/>
      <c r="BC208" s="25" t="n"/>
      <c r="BD208" s="23" t="n"/>
      <c r="BE208" s="23">
        <f>IF(C208="","",IF(AND(ISNUMBER(P208),P208&gt;MAX_PRICE),"Price too high",IF(AND(ISNUMBER(AB208),AB208&lt;=2),"Quality risk",IF(AND(ISNUMBER(U208),U208&lt;=2),"Aesthetic mismatch",IF(AY208="High","Too fragile",IF(AND(ISNUMBER(R208),R208&lt;LOW_PROFIT_PCT),"Low profit",IF(AND(ISNUMBER(AT208),AT208&gt;MOQ_WARNING),"MOQ too high",IF(OR(AD208="Maybe",AD208="Price Review"),"Needs partner review",IF(AD208="Buy","Good candidate","")))))))))</f>
        <v/>
      </c>
      <c r="BF208" s="23" t="n"/>
      <c r="BG208" s="23" t="n"/>
      <c r="BH208" s="23" t="n"/>
      <c r="BI208" s="23" t="n"/>
      <c r="BJ208" s="23" t="n"/>
      <c r="BK208" s="23" t="n"/>
      <c r="BL208" s="23">
        <f>IF(C208="","",IF(AND(BG208="Yes",BH208="Yes",BI208="Yes",BJ208="Yes",BK208="Yes"),"Yes","No"))</f>
        <v/>
      </c>
      <c r="BM208" s="25" t="n"/>
      <c r="BN208" s="25" t="n"/>
      <c r="BO208" s="25">
        <f>IF(OR(BM208="",BN208=""),"",BM208+BN208)</f>
        <v/>
      </c>
      <c r="BP208" s="25" t="n"/>
      <c r="BQ208" s="25">
        <f>IF(OR(BP208="",BO208=""),"",BP208-BO208)</f>
        <v/>
      </c>
      <c r="BR208" s="26">
        <f>IF(OR(BP208="",BP208=0,BQ208=""),"",BQ208/BP208)</f>
        <v/>
      </c>
      <c r="BS208" s="24" t="n"/>
      <c r="BT208" s="29" t="n"/>
      <c r="BU208" s="29" t="n"/>
      <c r="BV208" s="23" t="n"/>
      <c r="BW208" s="23" t="n"/>
      <c r="BX208" s="29">
        <f>IF(OR(BT208="",BU208=""),"",BT208-BU208)</f>
        <v/>
      </c>
      <c r="BY208" s="23" t="n"/>
      <c r="BZ208" s="24" t="n"/>
      <c r="CA208" s="23" t="n"/>
      <c r="CB208" s="23" t="n"/>
    </row>
    <row r="209">
      <c r="A209" s="16">
        <f>IF(C209="","","AYN-"&amp;IFERROR(VLOOKUP(E209,CATEGORY_PREFIX_TABLE,2,FALSE),"OTH")&amp;"-"&amp;TEXT(ROW()-2,"0000"))</f>
        <v/>
      </c>
      <c r="B209" s="17" t="n"/>
      <c r="C209" s="16" t="n"/>
      <c r="D209" s="16" t="n"/>
      <c r="E209" s="16" t="n"/>
      <c r="F209" s="16" t="n"/>
      <c r="G209" s="16" t="n"/>
      <c r="H209" s="16" t="n"/>
      <c r="I209" s="16" t="n"/>
      <c r="J209" s="16" t="n"/>
      <c r="K209" s="18">
        <f>IF(I209="","",IF(J209="BDT",I209,IF(J209="USD",I209*USD_BDT,IF(J209="RMB",I209*RMB_BDT,""))))</f>
        <v/>
      </c>
      <c r="L209" s="18" t="n"/>
      <c r="M209" s="19" t="n"/>
      <c r="N209" s="18" t="n"/>
      <c r="O209" s="18">
        <f>IF(K209="","",K209+IFERROR(L209,0)+(K209*IF(M209="",CUSTOMS_PCT,M209))+IF(N209="",MISC_FEE,N209))</f>
        <v/>
      </c>
      <c r="P209" s="18">
        <f>IF(O209="","",ROUND(O209*(1+MARKUP_PCT),-1)-1)</f>
        <v/>
      </c>
      <c r="Q209" s="18">
        <f>IF(P209="","",P209-O209)</f>
        <v/>
      </c>
      <c r="R209" s="19">
        <f>IF(OR(P209="",P209=0),"",Q209/P209)</f>
        <v/>
      </c>
      <c r="S209" s="16" t="n"/>
      <c r="T209" s="16" t="n"/>
      <c r="U209" s="16" t="n"/>
      <c r="V209" s="16" t="n"/>
      <c r="W209" s="16" t="n"/>
      <c r="X209" s="16" t="n"/>
      <c r="Y209" s="16" t="n"/>
      <c r="Z209" s="16" t="n"/>
      <c r="AA209" s="16" t="n"/>
      <c r="AB209" s="16" t="n"/>
      <c r="AC209" s="20">
        <f>IF(COUNT(S209:AB209)&lt;10,"",(S209*W_FEMININE+T209*W_TREND+U209*W_AESTHETIC+V209*W_STYLE+W209*W_LIGHT+X209*W_REELS+Y209*W_GIFT+Z209*W_PRICEFIT+AA209*W_DEMAND+AB209*W_QUALITY)/5*100)</f>
        <v/>
      </c>
      <c r="AD209" s="16">
        <f>IF(P209="","",IF(P209&gt;HARD_REJECT_PRICE,"Reject",IF(P209&gt;MAX_PRICE,"Price Review",IF(AC209="","",IF(AND(AC209&gt;=BUY_THRESHOLD,OR(AB209&lt;=2,U209&lt;=2)),"Maybe",IF(AC209&gt;=BUY_THRESHOLD,"Buy",IF(AC209&gt;=MAYBE_THRESHOLD,"Maybe","Reject")))))))</f>
        <v/>
      </c>
      <c r="AE209" s="16" t="n"/>
      <c r="AF209" s="16" t="n"/>
      <c r="AG209" s="16" t="n"/>
      <c r="AH209" s="16" t="n"/>
      <c r="AI209" s="17" t="n"/>
      <c r="AJ209">
        <f>IF(AC209="",-9999-ROW()*0.0000001,AC209-ROW()*0.0000001)</f>
        <v/>
      </c>
      <c r="AK209">
        <f>IF(OR(AC209="",P209="",P209&gt;MAX_PRICE),-9999-ROW()*0.0000001,AC209-ROW()*0.0000001)</f>
        <v/>
      </c>
      <c r="AL209">
        <f>IF(AC209="",-9999-ROW()*0.0000001,X209*1000+AC209-ROW()*0.0000001)</f>
        <v/>
      </c>
      <c r="AM209">
        <f>IF(AC209="",-9999-ROW()*0.0000001,Y209*1000+AC209-ROW()*0.0000001)</f>
        <v/>
      </c>
      <c r="AN209">
        <f>IF(AND(OR(AD209="Maybe",AD209="Price Review"),AG209&lt;&gt;"Approved",AG209&lt;&gt;"Rejected"),IF(AC209="",0,AC209)-ROW()*0.0000001,-9999-ROW()*0.0000001)</f>
        <v/>
      </c>
      <c r="AO209" s="21" t="n"/>
      <c r="AP209" s="21" t="n"/>
      <c r="AQ209" s="22" t="n"/>
      <c r="AR209" s="22" t="n"/>
      <c r="AS209" s="16" t="n"/>
      <c r="AT209" s="22" t="n"/>
      <c r="AU209" s="22" t="n"/>
      <c r="AV209" s="22" t="n"/>
      <c r="AW209" s="18">
        <f>IF(OR(O209="",AV209=""),"",O209*AV209)</f>
        <v/>
      </c>
      <c r="AX209" s="16" t="n"/>
      <c r="AY209" s="16" t="n"/>
      <c r="AZ209" s="16" t="n"/>
      <c r="BA209" s="16" t="n"/>
      <c r="BB209" s="16" t="n"/>
      <c r="BC209" s="18" t="n"/>
      <c r="BD209" s="16" t="n"/>
      <c r="BE209" s="16">
        <f>IF(C209="","",IF(AND(ISNUMBER(P209),P209&gt;MAX_PRICE),"Price too high",IF(AND(ISNUMBER(AB209),AB209&lt;=2),"Quality risk",IF(AND(ISNUMBER(U209),U209&lt;=2),"Aesthetic mismatch",IF(AY209="High","Too fragile",IF(AND(ISNUMBER(R209),R209&lt;LOW_PROFIT_PCT),"Low profit",IF(AND(ISNUMBER(AT209),AT209&gt;MOQ_WARNING),"MOQ too high",IF(OR(AD209="Maybe",AD209="Price Review"),"Needs partner review",IF(AD209="Buy","Good candidate","")))))))))</f>
        <v/>
      </c>
      <c r="BF209" s="16" t="n"/>
      <c r="BG209" s="16" t="n"/>
      <c r="BH209" s="16" t="n"/>
      <c r="BI209" s="16" t="n"/>
      <c r="BJ209" s="16" t="n"/>
      <c r="BK209" s="16" t="n"/>
      <c r="BL209" s="16">
        <f>IF(C209="","",IF(AND(BG209="Yes",BH209="Yes",BI209="Yes",BJ209="Yes",BK209="Yes"),"Yes","No"))</f>
        <v/>
      </c>
      <c r="BM209" s="18" t="n"/>
      <c r="BN209" s="18" t="n"/>
      <c r="BO209" s="18">
        <f>IF(OR(BM209="",BN209=""),"",BM209+BN209)</f>
        <v/>
      </c>
      <c r="BP209" s="18" t="n"/>
      <c r="BQ209" s="18">
        <f>IF(OR(BP209="",BO209=""),"",BP209-BO209)</f>
        <v/>
      </c>
      <c r="BR209" s="19">
        <f>IF(OR(BP209="",BP209=0,BQ209=""),"",BQ209/BP209)</f>
        <v/>
      </c>
      <c r="BS209" s="17" t="n"/>
      <c r="BT209" s="22" t="n"/>
      <c r="BU209" s="22" t="n"/>
      <c r="BV209" s="16" t="n"/>
      <c r="BW209" s="16" t="n"/>
      <c r="BX209" s="22">
        <f>IF(OR(BT209="",BU209=""),"",BT209-BU209)</f>
        <v/>
      </c>
      <c r="BY209" s="16" t="n"/>
      <c r="BZ209" s="17" t="n"/>
      <c r="CA209" s="16" t="n"/>
      <c r="CB209" s="16" t="n"/>
    </row>
    <row r="210">
      <c r="A210" s="23">
        <f>IF(C210="","","AYN-"&amp;IFERROR(VLOOKUP(E210,CATEGORY_PREFIX_TABLE,2,FALSE),"OTH")&amp;"-"&amp;TEXT(ROW()-2,"0000"))</f>
        <v/>
      </c>
      <c r="B210" s="24" t="n"/>
      <c r="C210" s="23" t="n"/>
      <c r="D210" s="23" t="n"/>
      <c r="E210" s="23" t="n"/>
      <c r="F210" s="23" t="n"/>
      <c r="G210" s="23" t="n"/>
      <c r="H210" s="23" t="n"/>
      <c r="I210" s="23" t="n"/>
      <c r="J210" s="23" t="n"/>
      <c r="K210" s="25">
        <f>IF(I210="","",IF(J210="BDT",I210,IF(J210="USD",I210*USD_BDT,IF(J210="RMB",I210*RMB_BDT,""))))</f>
        <v/>
      </c>
      <c r="L210" s="25" t="n"/>
      <c r="M210" s="26" t="n"/>
      <c r="N210" s="25" t="n"/>
      <c r="O210" s="25">
        <f>IF(K210="","",K210+IFERROR(L210,0)+(K210*IF(M210="",CUSTOMS_PCT,M210))+IF(N210="",MISC_FEE,N210))</f>
        <v/>
      </c>
      <c r="P210" s="25">
        <f>IF(O210="","",ROUND(O210*(1+MARKUP_PCT),-1)-1)</f>
        <v/>
      </c>
      <c r="Q210" s="25">
        <f>IF(P210="","",P210-O210)</f>
        <v/>
      </c>
      <c r="R210" s="26">
        <f>IF(OR(P210="",P210=0),"",Q210/P210)</f>
        <v/>
      </c>
      <c r="S210" s="23" t="n"/>
      <c r="T210" s="23" t="n"/>
      <c r="U210" s="23" t="n"/>
      <c r="V210" s="23" t="n"/>
      <c r="W210" s="23" t="n"/>
      <c r="X210" s="23" t="n"/>
      <c r="Y210" s="23" t="n"/>
      <c r="Z210" s="23" t="n"/>
      <c r="AA210" s="23" t="n"/>
      <c r="AB210" s="23" t="n"/>
      <c r="AC210" s="27">
        <f>IF(COUNT(S210:AB210)&lt;10,"",(S210*W_FEMININE+T210*W_TREND+U210*W_AESTHETIC+V210*W_STYLE+W210*W_LIGHT+X210*W_REELS+Y210*W_GIFT+Z210*W_PRICEFIT+AA210*W_DEMAND+AB210*W_QUALITY)/5*100)</f>
        <v/>
      </c>
      <c r="AD210" s="23">
        <f>IF(P210="","",IF(P210&gt;HARD_REJECT_PRICE,"Reject",IF(P210&gt;MAX_PRICE,"Price Review",IF(AC210="","",IF(AND(AC210&gt;=BUY_THRESHOLD,OR(AB210&lt;=2,U210&lt;=2)),"Maybe",IF(AC210&gt;=BUY_THRESHOLD,"Buy",IF(AC210&gt;=MAYBE_THRESHOLD,"Maybe","Reject")))))))</f>
        <v/>
      </c>
      <c r="AE210" s="23" t="n"/>
      <c r="AF210" s="23" t="n"/>
      <c r="AG210" s="23" t="n"/>
      <c r="AH210" s="23" t="n"/>
      <c r="AI210" s="24" t="n"/>
      <c r="AJ210">
        <f>IF(AC210="",-9999-ROW()*0.0000001,AC210-ROW()*0.0000001)</f>
        <v/>
      </c>
      <c r="AK210">
        <f>IF(OR(AC210="",P210="",P210&gt;MAX_PRICE),-9999-ROW()*0.0000001,AC210-ROW()*0.0000001)</f>
        <v/>
      </c>
      <c r="AL210">
        <f>IF(AC210="",-9999-ROW()*0.0000001,X210*1000+AC210-ROW()*0.0000001)</f>
        <v/>
      </c>
      <c r="AM210">
        <f>IF(AC210="",-9999-ROW()*0.0000001,Y210*1000+AC210-ROW()*0.0000001)</f>
        <v/>
      </c>
      <c r="AN210">
        <f>IF(AND(OR(AD210="Maybe",AD210="Price Review"),AG210&lt;&gt;"Approved",AG210&lt;&gt;"Rejected"),IF(AC210="",0,AC210)-ROW()*0.0000001,-9999-ROW()*0.0000001)</f>
        <v/>
      </c>
      <c r="AO210" s="28" t="n"/>
      <c r="AP210" s="28" t="n"/>
      <c r="AQ210" s="29" t="n"/>
      <c r="AR210" s="29" t="n"/>
      <c r="AS210" s="23" t="n"/>
      <c r="AT210" s="29" t="n"/>
      <c r="AU210" s="29" t="n"/>
      <c r="AV210" s="29" t="n"/>
      <c r="AW210" s="25">
        <f>IF(OR(O210="",AV210=""),"",O210*AV210)</f>
        <v/>
      </c>
      <c r="AX210" s="23" t="n"/>
      <c r="AY210" s="23" t="n"/>
      <c r="AZ210" s="23" t="n"/>
      <c r="BA210" s="23" t="n"/>
      <c r="BB210" s="23" t="n"/>
      <c r="BC210" s="25" t="n"/>
      <c r="BD210" s="23" t="n"/>
      <c r="BE210" s="23">
        <f>IF(C210="","",IF(AND(ISNUMBER(P210),P210&gt;MAX_PRICE),"Price too high",IF(AND(ISNUMBER(AB210),AB210&lt;=2),"Quality risk",IF(AND(ISNUMBER(U210),U210&lt;=2),"Aesthetic mismatch",IF(AY210="High","Too fragile",IF(AND(ISNUMBER(R210),R210&lt;LOW_PROFIT_PCT),"Low profit",IF(AND(ISNUMBER(AT210),AT210&gt;MOQ_WARNING),"MOQ too high",IF(OR(AD210="Maybe",AD210="Price Review"),"Needs partner review",IF(AD210="Buy","Good candidate","")))))))))</f>
        <v/>
      </c>
      <c r="BF210" s="23" t="n"/>
      <c r="BG210" s="23" t="n"/>
      <c r="BH210" s="23" t="n"/>
      <c r="BI210" s="23" t="n"/>
      <c r="BJ210" s="23" t="n"/>
      <c r="BK210" s="23" t="n"/>
      <c r="BL210" s="23">
        <f>IF(C210="","",IF(AND(BG210="Yes",BH210="Yes",BI210="Yes",BJ210="Yes",BK210="Yes"),"Yes","No"))</f>
        <v/>
      </c>
      <c r="BM210" s="25" t="n"/>
      <c r="BN210" s="25" t="n"/>
      <c r="BO210" s="25">
        <f>IF(OR(BM210="",BN210=""),"",BM210+BN210)</f>
        <v/>
      </c>
      <c r="BP210" s="25" t="n"/>
      <c r="BQ210" s="25">
        <f>IF(OR(BP210="",BO210=""),"",BP210-BO210)</f>
        <v/>
      </c>
      <c r="BR210" s="26">
        <f>IF(OR(BP210="",BP210=0,BQ210=""),"",BQ210/BP210)</f>
        <v/>
      </c>
      <c r="BS210" s="24" t="n"/>
      <c r="BT210" s="29" t="n"/>
      <c r="BU210" s="29" t="n"/>
      <c r="BV210" s="23" t="n"/>
      <c r="BW210" s="23" t="n"/>
      <c r="BX210" s="29">
        <f>IF(OR(BT210="",BU210=""),"",BT210-BU210)</f>
        <v/>
      </c>
      <c r="BY210" s="23" t="n"/>
      <c r="BZ210" s="24" t="n"/>
      <c r="CA210" s="23" t="n"/>
      <c r="CB210" s="23" t="n"/>
    </row>
    <row r="211">
      <c r="A211" s="16">
        <f>IF(C211="","","AYN-"&amp;IFERROR(VLOOKUP(E211,CATEGORY_PREFIX_TABLE,2,FALSE),"OTH")&amp;"-"&amp;TEXT(ROW()-2,"0000"))</f>
        <v/>
      </c>
      <c r="B211" s="17" t="n"/>
      <c r="C211" s="16" t="n"/>
      <c r="D211" s="16" t="n"/>
      <c r="E211" s="16" t="n"/>
      <c r="F211" s="16" t="n"/>
      <c r="G211" s="16" t="n"/>
      <c r="H211" s="16" t="n"/>
      <c r="I211" s="16" t="n"/>
      <c r="J211" s="16" t="n"/>
      <c r="K211" s="18">
        <f>IF(I211="","",IF(J211="BDT",I211,IF(J211="USD",I211*USD_BDT,IF(J211="RMB",I211*RMB_BDT,""))))</f>
        <v/>
      </c>
      <c r="L211" s="18" t="n"/>
      <c r="M211" s="19" t="n"/>
      <c r="N211" s="18" t="n"/>
      <c r="O211" s="18">
        <f>IF(K211="","",K211+IFERROR(L211,0)+(K211*IF(M211="",CUSTOMS_PCT,M211))+IF(N211="",MISC_FEE,N211))</f>
        <v/>
      </c>
      <c r="P211" s="18">
        <f>IF(O211="","",ROUND(O211*(1+MARKUP_PCT),-1)-1)</f>
        <v/>
      </c>
      <c r="Q211" s="18">
        <f>IF(P211="","",P211-O211)</f>
        <v/>
      </c>
      <c r="R211" s="19">
        <f>IF(OR(P211="",P211=0),"",Q211/P211)</f>
        <v/>
      </c>
      <c r="S211" s="16" t="n"/>
      <c r="T211" s="16" t="n"/>
      <c r="U211" s="16" t="n"/>
      <c r="V211" s="16" t="n"/>
      <c r="W211" s="16" t="n"/>
      <c r="X211" s="16" t="n"/>
      <c r="Y211" s="16" t="n"/>
      <c r="Z211" s="16" t="n"/>
      <c r="AA211" s="16" t="n"/>
      <c r="AB211" s="16" t="n"/>
      <c r="AC211" s="20">
        <f>IF(COUNT(S211:AB211)&lt;10,"",(S211*W_FEMININE+T211*W_TREND+U211*W_AESTHETIC+V211*W_STYLE+W211*W_LIGHT+X211*W_REELS+Y211*W_GIFT+Z211*W_PRICEFIT+AA211*W_DEMAND+AB211*W_QUALITY)/5*100)</f>
        <v/>
      </c>
      <c r="AD211" s="16">
        <f>IF(P211="","",IF(P211&gt;HARD_REJECT_PRICE,"Reject",IF(P211&gt;MAX_PRICE,"Price Review",IF(AC211="","",IF(AND(AC211&gt;=BUY_THRESHOLD,OR(AB211&lt;=2,U211&lt;=2)),"Maybe",IF(AC211&gt;=BUY_THRESHOLD,"Buy",IF(AC211&gt;=MAYBE_THRESHOLD,"Maybe","Reject")))))))</f>
        <v/>
      </c>
      <c r="AE211" s="16" t="n"/>
      <c r="AF211" s="16" t="n"/>
      <c r="AG211" s="16" t="n"/>
      <c r="AH211" s="16" t="n"/>
      <c r="AI211" s="17" t="n"/>
      <c r="AJ211">
        <f>IF(AC211="",-9999-ROW()*0.0000001,AC211-ROW()*0.0000001)</f>
        <v/>
      </c>
      <c r="AK211">
        <f>IF(OR(AC211="",P211="",P211&gt;MAX_PRICE),-9999-ROW()*0.0000001,AC211-ROW()*0.0000001)</f>
        <v/>
      </c>
      <c r="AL211">
        <f>IF(AC211="",-9999-ROW()*0.0000001,X211*1000+AC211-ROW()*0.0000001)</f>
        <v/>
      </c>
      <c r="AM211">
        <f>IF(AC211="",-9999-ROW()*0.0000001,Y211*1000+AC211-ROW()*0.0000001)</f>
        <v/>
      </c>
      <c r="AN211">
        <f>IF(AND(OR(AD211="Maybe",AD211="Price Review"),AG211&lt;&gt;"Approved",AG211&lt;&gt;"Rejected"),IF(AC211="",0,AC211)-ROW()*0.0000001,-9999-ROW()*0.0000001)</f>
        <v/>
      </c>
      <c r="AO211" s="21" t="n"/>
      <c r="AP211" s="21" t="n"/>
      <c r="AQ211" s="22" t="n"/>
      <c r="AR211" s="22" t="n"/>
      <c r="AS211" s="16" t="n"/>
      <c r="AT211" s="22" t="n"/>
      <c r="AU211" s="22" t="n"/>
      <c r="AV211" s="22" t="n"/>
      <c r="AW211" s="18">
        <f>IF(OR(O211="",AV211=""),"",O211*AV211)</f>
        <v/>
      </c>
      <c r="AX211" s="16" t="n"/>
      <c r="AY211" s="16" t="n"/>
      <c r="AZ211" s="16" t="n"/>
      <c r="BA211" s="16" t="n"/>
      <c r="BB211" s="16" t="n"/>
      <c r="BC211" s="18" t="n"/>
      <c r="BD211" s="16" t="n"/>
      <c r="BE211" s="16">
        <f>IF(C211="","",IF(AND(ISNUMBER(P211),P211&gt;MAX_PRICE),"Price too high",IF(AND(ISNUMBER(AB211),AB211&lt;=2),"Quality risk",IF(AND(ISNUMBER(U211),U211&lt;=2),"Aesthetic mismatch",IF(AY211="High","Too fragile",IF(AND(ISNUMBER(R211),R211&lt;LOW_PROFIT_PCT),"Low profit",IF(AND(ISNUMBER(AT211),AT211&gt;MOQ_WARNING),"MOQ too high",IF(OR(AD211="Maybe",AD211="Price Review"),"Needs partner review",IF(AD211="Buy","Good candidate","")))))))))</f>
        <v/>
      </c>
      <c r="BF211" s="16" t="n"/>
      <c r="BG211" s="16" t="n"/>
      <c r="BH211" s="16" t="n"/>
      <c r="BI211" s="16" t="n"/>
      <c r="BJ211" s="16" t="n"/>
      <c r="BK211" s="16" t="n"/>
      <c r="BL211" s="16">
        <f>IF(C211="","",IF(AND(BG211="Yes",BH211="Yes",BI211="Yes",BJ211="Yes",BK211="Yes"),"Yes","No"))</f>
        <v/>
      </c>
      <c r="BM211" s="18" t="n"/>
      <c r="BN211" s="18" t="n"/>
      <c r="BO211" s="18">
        <f>IF(OR(BM211="",BN211=""),"",BM211+BN211)</f>
        <v/>
      </c>
      <c r="BP211" s="18" t="n"/>
      <c r="BQ211" s="18">
        <f>IF(OR(BP211="",BO211=""),"",BP211-BO211)</f>
        <v/>
      </c>
      <c r="BR211" s="19">
        <f>IF(OR(BP211="",BP211=0,BQ211=""),"",BQ211/BP211)</f>
        <v/>
      </c>
      <c r="BS211" s="17" t="n"/>
      <c r="BT211" s="22" t="n"/>
      <c r="BU211" s="22" t="n"/>
      <c r="BV211" s="16" t="n"/>
      <c r="BW211" s="16" t="n"/>
      <c r="BX211" s="22">
        <f>IF(OR(BT211="",BU211=""),"",BT211-BU211)</f>
        <v/>
      </c>
      <c r="BY211" s="16" t="n"/>
      <c r="BZ211" s="17" t="n"/>
      <c r="CA211" s="16" t="n"/>
      <c r="CB211" s="16" t="n"/>
    </row>
    <row r="212">
      <c r="A212" s="23">
        <f>IF(C212="","","AYN-"&amp;IFERROR(VLOOKUP(E212,CATEGORY_PREFIX_TABLE,2,FALSE),"OTH")&amp;"-"&amp;TEXT(ROW()-2,"0000"))</f>
        <v/>
      </c>
      <c r="B212" s="24" t="n"/>
      <c r="C212" s="23" t="n"/>
      <c r="D212" s="23" t="n"/>
      <c r="E212" s="23" t="n"/>
      <c r="F212" s="23" t="n"/>
      <c r="G212" s="23" t="n"/>
      <c r="H212" s="23" t="n"/>
      <c r="I212" s="23" t="n"/>
      <c r="J212" s="23" t="n"/>
      <c r="K212" s="25">
        <f>IF(I212="","",IF(J212="BDT",I212,IF(J212="USD",I212*USD_BDT,IF(J212="RMB",I212*RMB_BDT,""))))</f>
        <v/>
      </c>
      <c r="L212" s="25" t="n"/>
      <c r="M212" s="26" t="n"/>
      <c r="N212" s="25" t="n"/>
      <c r="O212" s="25">
        <f>IF(K212="","",K212+IFERROR(L212,0)+(K212*IF(M212="",CUSTOMS_PCT,M212))+IF(N212="",MISC_FEE,N212))</f>
        <v/>
      </c>
      <c r="P212" s="25">
        <f>IF(O212="","",ROUND(O212*(1+MARKUP_PCT),-1)-1)</f>
        <v/>
      </c>
      <c r="Q212" s="25">
        <f>IF(P212="","",P212-O212)</f>
        <v/>
      </c>
      <c r="R212" s="26">
        <f>IF(OR(P212="",P212=0),"",Q212/P212)</f>
        <v/>
      </c>
      <c r="S212" s="23" t="n"/>
      <c r="T212" s="23" t="n"/>
      <c r="U212" s="23" t="n"/>
      <c r="V212" s="23" t="n"/>
      <c r="W212" s="23" t="n"/>
      <c r="X212" s="23" t="n"/>
      <c r="Y212" s="23" t="n"/>
      <c r="Z212" s="23" t="n"/>
      <c r="AA212" s="23" t="n"/>
      <c r="AB212" s="23" t="n"/>
      <c r="AC212" s="27">
        <f>IF(COUNT(S212:AB212)&lt;10,"",(S212*W_FEMININE+T212*W_TREND+U212*W_AESTHETIC+V212*W_STYLE+W212*W_LIGHT+X212*W_REELS+Y212*W_GIFT+Z212*W_PRICEFIT+AA212*W_DEMAND+AB212*W_QUALITY)/5*100)</f>
        <v/>
      </c>
      <c r="AD212" s="23">
        <f>IF(P212="","",IF(P212&gt;HARD_REJECT_PRICE,"Reject",IF(P212&gt;MAX_PRICE,"Price Review",IF(AC212="","",IF(AND(AC212&gt;=BUY_THRESHOLD,OR(AB212&lt;=2,U212&lt;=2)),"Maybe",IF(AC212&gt;=BUY_THRESHOLD,"Buy",IF(AC212&gt;=MAYBE_THRESHOLD,"Maybe","Reject")))))))</f>
        <v/>
      </c>
      <c r="AE212" s="23" t="n"/>
      <c r="AF212" s="23" t="n"/>
      <c r="AG212" s="23" t="n"/>
      <c r="AH212" s="23" t="n"/>
      <c r="AI212" s="24" t="n"/>
      <c r="AJ212">
        <f>IF(AC212="",-9999-ROW()*0.0000001,AC212-ROW()*0.0000001)</f>
        <v/>
      </c>
      <c r="AK212">
        <f>IF(OR(AC212="",P212="",P212&gt;MAX_PRICE),-9999-ROW()*0.0000001,AC212-ROW()*0.0000001)</f>
        <v/>
      </c>
      <c r="AL212">
        <f>IF(AC212="",-9999-ROW()*0.0000001,X212*1000+AC212-ROW()*0.0000001)</f>
        <v/>
      </c>
      <c r="AM212">
        <f>IF(AC212="",-9999-ROW()*0.0000001,Y212*1000+AC212-ROW()*0.0000001)</f>
        <v/>
      </c>
      <c r="AN212">
        <f>IF(AND(OR(AD212="Maybe",AD212="Price Review"),AG212&lt;&gt;"Approved",AG212&lt;&gt;"Rejected"),IF(AC212="",0,AC212)-ROW()*0.0000001,-9999-ROW()*0.0000001)</f>
        <v/>
      </c>
      <c r="AO212" s="28" t="n"/>
      <c r="AP212" s="28" t="n"/>
      <c r="AQ212" s="29" t="n"/>
      <c r="AR212" s="29" t="n"/>
      <c r="AS212" s="23" t="n"/>
      <c r="AT212" s="29" t="n"/>
      <c r="AU212" s="29" t="n"/>
      <c r="AV212" s="29" t="n"/>
      <c r="AW212" s="25">
        <f>IF(OR(O212="",AV212=""),"",O212*AV212)</f>
        <v/>
      </c>
      <c r="AX212" s="23" t="n"/>
      <c r="AY212" s="23" t="n"/>
      <c r="AZ212" s="23" t="n"/>
      <c r="BA212" s="23" t="n"/>
      <c r="BB212" s="23" t="n"/>
      <c r="BC212" s="25" t="n"/>
      <c r="BD212" s="23" t="n"/>
      <c r="BE212" s="23">
        <f>IF(C212="","",IF(AND(ISNUMBER(P212),P212&gt;MAX_PRICE),"Price too high",IF(AND(ISNUMBER(AB212),AB212&lt;=2),"Quality risk",IF(AND(ISNUMBER(U212),U212&lt;=2),"Aesthetic mismatch",IF(AY212="High","Too fragile",IF(AND(ISNUMBER(R212),R212&lt;LOW_PROFIT_PCT),"Low profit",IF(AND(ISNUMBER(AT212),AT212&gt;MOQ_WARNING),"MOQ too high",IF(OR(AD212="Maybe",AD212="Price Review"),"Needs partner review",IF(AD212="Buy","Good candidate","")))))))))</f>
        <v/>
      </c>
      <c r="BF212" s="23" t="n"/>
      <c r="BG212" s="23" t="n"/>
      <c r="BH212" s="23" t="n"/>
      <c r="BI212" s="23" t="n"/>
      <c r="BJ212" s="23" t="n"/>
      <c r="BK212" s="23" t="n"/>
      <c r="BL212" s="23">
        <f>IF(C212="","",IF(AND(BG212="Yes",BH212="Yes",BI212="Yes",BJ212="Yes",BK212="Yes"),"Yes","No"))</f>
        <v/>
      </c>
      <c r="BM212" s="25" t="n"/>
      <c r="BN212" s="25" t="n"/>
      <c r="BO212" s="25">
        <f>IF(OR(BM212="",BN212=""),"",BM212+BN212)</f>
        <v/>
      </c>
      <c r="BP212" s="25" t="n"/>
      <c r="BQ212" s="25">
        <f>IF(OR(BP212="",BO212=""),"",BP212-BO212)</f>
        <v/>
      </c>
      <c r="BR212" s="26">
        <f>IF(OR(BP212="",BP212=0,BQ212=""),"",BQ212/BP212)</f>
        <v/>
      </c>
      <c r="BS212" s="24" t="n"/>
      <c r="BT212" s="29" t="n"/>
      <c r="BU212" s="29" t="n"/>
      <c r="BV212" s="23" t="n"/>
      <c r="BW212" s="23" t="n"/>
      <c r="BX212" s="29">
        <f>IF(OR(BT212="",BU212=""),"",BT212-BU212)</f>
        <v/>
      </c>
      <c r="BY212" s="23" t="n"/>
      <c r="BZ212" s="24" t="n"/>
      <c r="CA212" s="23" t="n"/>
      <c r="CB212" s="23" t="n"/>
    </row>
    <row r="213">
      <c r="A213" s="16">
        <f>IF(C213="","","AYN-"&amp;IFERROR(VLOOKUP(E213,CATEGORY_PREFIX_TABLE,2,FALSE),"OTH")&amp;"-"&amp;TEXT(ROW()-2,"0000"))</f>
        <v/>
      </c>
      <c r="B213" s="17" t="n"/>
      <c r="C213" s="16" t="n"/>
      <c r="D213" s="16" t="n"/>
      <c r="E213" s="16" t="n"/>
      <c r="F213" s="16" t="n"/>
      <c r="G213" s="16" t="n"/>
      <c r="H213" s="16" t="n"/>
      <c r="I213" s="16" t="n"/>
      <c r="J213" s="16" t="n"/>
      <c r="K213" s="18">
        <f>IF(I213="","",IF(J213="BDT",I213,IF(J213="USD",I213*USD_BDT,IF(J213="RMB",I213*RMB_BDT,""))))</f>
        <v/>
      </c>
      <c r="L213" s="18" t="n"/>
      <c r="M213" s="19" t="n"/>
      <c r="N213" s="18" t="n"/>
      <c r="O213" s="18">
        <f>IF(K213="","",K213+IFERROR(L213,0)+(K213*IF(M213="",CUSTOMS_PCT,M213))+IF(N213="",MISC_FEE,N213))</f>
        <v/>
      </c>
      <c r="P213" s="18">
        <f>IF(O213="","",ROUND(O213*(1+MARKUP_PCT),-1)-1)</f>
        <v/>
      </c>
      <c r="Q213" s="18">
        <f>IF(P213="","",P213-O213)</f>
        <v/>
      </c>
      <c r="R213" s="19">
        <f>IF(OR(P213="",P213=0),"",Q213/P213)</f>
        <v/>
      </c>
      <c r="S213" s="16" t="n"/>
      <c r="T213" s="16" t="n"/>
      <c r="U213" s="16" t="n"/>
      <c r="V213" s="16" t="n"/>
      <c r="W213" s="16" t="n"/>
      <c r="X213" s="16" t="n"/>
      <c r="Y213" s="16" t="n"/>
      <c r="Z213" s="16" t="n"/>
      <c r="AA213" s="16" t="n"/>
      <c r="AB213" s="16" t="n"/>
      <c r="AC213" s="20">
        <f>IF(COUNT(S213:AB213)&lt;10,"",(S213*W_FEMININE+T213*W_TREND+U213*W_AESTHETIC+V213*W_STYLE+W213*W_LIGHT+X213*W_REELS+Y213*W_GIFT+Z213*W_PRICEFIT+AA213*W_DEMAND+AB213*W_QUALITY)/5*100)</f>
        <v/>
      </c>
      <c r="AD213" s="16">
        <f>IF(P213="","",IF(P213&gt;HARD_REJECT_PRICE,"Reject",IF(P213&gt;MAX_PRICE,"Price Review",IF(AC213="","",IF(AND(AC213&gt;=BUY_THRESHOLD,OR(AB213&lt;=2,U213&lt;=2)),"Maybe",IF(AC213&gt;=BUY_THRESHOLD,"Buy",IF(AC213&gt;=MAYBE_THRESHOLD,"Maybe","Reject")))))))</f>
        <v/>
      </c>
      <c r="AE213" s="16" t="n"/>
      <c r="AF213" s="16" t="n"/>
      <c r="AG213" s="16" t="n"/>
      <c r="AH213" s="16" t="n"/>
      <c r="AI213" s="17" t="n"/>
      <c r="AJ213">
        <f>IF(AC213="",-9999-ROW()*0.0000001,AC213-ROW()*0.0000001)</f>
        <v/>
      </c>
      <c r="AK213">
        <f>IF(OR(AC213="",P213="",P213&gt;MAX_PRICE),-9999-ROW()*0.0000001,AC213-ROW()*0.0000001)</f>
        <v/>
      </c>
      <c r="AL213">
        <f>IF(AC213="",-9999-ROW()*0.0000001,X213*1000+AC213-ROW()*0.0000001)</f>
        <v/>
      </c>
      <c r="AM213">
        <f>IF(AC213="",-9999-ROW()*0.0000001,Y213*1000+AC213-ROW()*0.0000001)</f>
        <v/>
      </c>
      <c r="AN213">
        <f>IF(AND(OR(AD213="Maybe",AD213="Price Review"),AG213&lt;&gt;"Approved",AG213&lt;&gt;"Rejected"),IF(AC213="",0,AC213)-ROW()*0.0000001,-9999-ROW()*0.0000001)</f>
        <v/>
      </c>
      <c r="AO213" s="21" t="n"/>
      <c r="AP213" s="21" t="n"/>
      <c r="AQ213" s="22" t="n"/>
      <c r="AR213" s="22" t="n"/>
      <c r="AS213" s="16" t="n"/>
      <c r="AT213" s="22" t="n"/>
      <c r="AU213" s="22" t="n"/>
      <c r="AV213" s="22" t="n"/>
      <c r="AW213" s="18">
        <f>IF(OR(O213="",AV213=""),"",O213*AV213)</f>
        <v/>
      </c>
      <c r="AX213" s="16" t="n"/>
      <c r="AY213" s="16" t="n"/>
      <c r="AZ213" s="16" t="n"/>
      <c r="BA213" s="16" t="n"/>
      <c r="BB213" s="16" t="n"/>
      <c r="BC213" s="18" t="n"/>
      <c r="BD213" s="16" t="n"/>
      <c r="BE213" s="16">
        <f>IF(C213="","",IF(AND(ISNUMBER(P213),P213&gt;MAX_PRICE),"Price too high",IF(AND(ISNUMBER(AB213),AB213&lt;=2),"Quality risk",IF(AND(ISNUMBER(U213),U213&lt;=2),"Aesthetic mismatch",IF(AY213="High","Too fragile",IF(AND(ISNUMBER(R213),R213&lt;LOW_PROFIT_PCT),"Low profit",IF(AND(ISNUMBER(AT213),AT213&gt;MOQ_WARNING),"MOQ too high",IF(OR(AD213="Maybe",AD213="Price Review"),"Needs partner review",IF(AD213="Buy","Good candidate","")))))))))</f>
        <v/>
      </c>
      <c r="BF213" s="16" t="n"/>
      <c r="BG213" s="16" t="n"/>
      <c r="BH213" s="16" t="n"/>
      <c r="BI213" s="16" t="n"/>
      <c r="BJ213" s="16" t="n"/>
      <c r="BK213" s="16" t="n"/>
      <c r="BL213" s="16">
        <f>IF(C213="","",IF(AND(BG213="Yes",BH213="Yes",BI213="Yes",BJ213="Yes",BK213="Yes"),"Yes","No"))</f>
        <v/>
      </c>
      <c r="BM213" s="18" t="n"/>
      <c r="BN213" s="18" t="n"/>
      <c r="BO213" s="18">
        <f>IF(OR(BM213="",BN213=""),"",BM213+BN213)</f>
        <v/>
      </c>
      <c r="BP213" s="18" t="n"/>
      <c r="BQ213" s="18">
        <f>IF(OR(BP213="",BO213=""),"",BP213-BO213)</f>
        <v/>
      </c>
      <c r="BR213" s="19">
        <f>IF(OR(BP213="",BP213=0,BQ213=""),"",BQ213/BP213)</f>
        <v/>
      </c>
      <c r="BS213" s="17" t="n"/>
      <c r="BT213" s="22" t="n"/>
      <c r="BU213" s="22" t="n"/>
      <c r="BV213" s="16" t="n"/>
      <c r="BW213" s="16" t="n"/>
      <c r="BX213" s="22">
        <f>IF(OR(BT213="",BU213=""),"",BT213-BU213)</f>
        <v/>
      </c>
      <c r="BY213" s="16" t="n"/>
      <c r="BZ213" s="17" t="n"/>
      <c r="CA213" s="16" t="n"/>
      <c r="CB213" s="16" t="n"/>
    </row>
    <row r="214">
      <c r="A214" s="23">
        <f>IF(C214="","","AYN-"&amp;IFERROR(VLOOKUP(E214,CATEGORY_PREFIX_TABLE,2,FALSE),"OTH")&amp;"-"&amp;TEXT(ROW()-2,"0000"))</f>
        <v/>
      </c>
      <c r="B214" s="24" t="n"/>
      <c r="C214" s="23" t="n"/>
      <c r="D214" s="23" t="n"/>
      <c r="E214" s="23" t="n"/>
      <c r="F214" s="23" t="n"/>
      <c r="G214" s="23" t="n"/>
      <c r="H214" s="23" t="n"/>
      <c r="I214" s="23" t="n"/>
      <c r="J214" s="23" t="n"/>
      <c r="K214" s="25">
        <f>IF(I214="","",IF(J214="BDT",I214,IF(J214="USD",I214*USD_BDT,IF(J214="RMB",I214*RMB_BDT,""))))</f>
        <v/>
      </c>
      <c r="L214" s="25" t="n"/>
      <c r="M214" s="26" t="n"/>
      <c r="N214" s="25" t="n"/>
      <c r="O214" s="25">
        <f>IF(K214="","",K214+IFERROR(L214,0)+(K214*IF(M214="",CUSTOMS_PCT,M214))+IF(N214="",MISC_FEE,N214))</f>
        <v/>
      </c>
      <c r="P214" s="25">
        <f>IF(O214="","",ROUND(O214*(1+MARKUP_PCT),-1)-1)</f>
        <v/>
      </c>
      <c r="Q214" s="25">
        <f>IF(P214="","",P214-O214)</f>
        <v/>
      </c>
      <c r="R214" s="26">
        <f>IF(OR(P214="",P214=0),"",Q214/P214)</f>
        <v/>
      </c>
      <c r="S214" s="23" t="n"/>
      <c r="T214" s="23" t="n"/>
      <c r="U214" s="23" t="n"/>
      <c r="V214" s="23" t="n"/>
      <c r="W214" s="23" t="n"/>
      <c r="X214" s="23" t="n"/>
      <c r="Y214" s="23" t="n"/>
      <c r="Z214" s="23" t="n"/>
      <c r="AA214" s="23" t="n"/>
      <c r="AB214" s="23" t="n"/>
      <c r="AC214" s="27">
        <f>IF(COUNT(S214:AB214)&lt;10,"",(S214*W_FEMININE+T214*W_TREND+U214*W_AESTHETIC+V214*W_STYLE+W214*W_LIGHT+X214*W_REELS+Y214*W_GIFT+Z214*W_PRICEFIT+AA214*W_DEMAND+AB214*W_QUALITY)/5*100)</f>
        <v/>
      </c>
      <c r="AD214" s="23">
        <f>IF(P214="","",IF(P214&gt;HARD_REJECT_PRICE,"Reject",IF(P214&gt;MAX_PRICE,"Price Review",IF(AC214="","",IF(AND(AC214&gt;=BUY_THRESHOLD,OR(AB214&lt;=2,U214&lt;=2)),"Maybe",IF(AC214&gt;=BUY_THRESHOLD,"Buy",IF(AC214&gt;=MAYBE_THRESHOLD,"Maybe","Reject")))))))</f>
        <v/>
      </c>
      <c r="AE214" s="23" t="n"/>
      <c r="AF214" s="23" t="n"/>
      <c r="AG214" s="23" t="n"/>
      <c r="AH214" s="23" t="n"/>
      <c r="AI214" s="24" t="n"/>
      <c r="AJ214">
        <f>IF(AC214="",-9999-ROW()*0.0000001,AC214-ROW()*0.0000001)</f>
        <v/>
      </c>
      <c r="AK214">
        <f>IF(OR(AC214="",P214="",P214&gt;MAX_PRICE),-9999-ROW()*0.0000001,AC214-ROW()*0.0000001)</f>
        <v/>
      </c>
      <c r="AL214">
        <f>IF(AC214="",-9999-ROW()*0.0000001,X214*1000+AC214-ROW()*0.0000001)</f>
        <v/>
      </c>
      <c r="AM214">
        <f>IF(AC214="",-9999-ROW()*0.0000001,Y214*1000+AC214-ROW()*0.0000001)</f>
        <v/>
      </c>
      <c r="AN214">
        <f>IF(AND(OR(AD214="Maybe",AD214="Price Review"),AG214&lt;&gt;"Approved",AG214&lt;&gt;"Rejected"),IF(AC214="",0,AC214)-ROW()*0.0000001,-9999-ROW()*0.0000001)</f>
        <v/>
      </c>
      <c r="AO214" s="28" t="n"/>
      <c r="AP214" s="28" t="n"/>
      <c r="AQ214" s="29" t="n"/>
      <c r="AR214" s="29" t="n"/>
      <c r="AS214" s="23" t="n"/>
      <c r="AT214" s="29" t="n"/>
      <c r="AU214" s="29" t="n"/>
      <c r="AV214" s="29" t="n"/>
      <c r="AW214" s="25">
        <f>IF(OR(O214="",AV214=""),"",O214*AV214)</f>
        <v/>
      </c>
      <c r="AX214" s="23" t="n"/>
      <c r="AY214" s="23" t="n"/>
      <c r="AZ214" s="23" t="n"/>
      <c r="BA214" s="23" t="n"/>
      <c r="BB214" s="23" t="n"/>
      <c r="BC214" s="25" t="n"/>
      <c r="BD214" s="23" t="n"/>
      <c r="BE214" s="23">
        <f>IF(C214="","",IF(AND(ISNUMBER(P214),P214&gt;MAX_PRICE),"Price too high",IF(AND(ISNUMBER(AB214),AB214&lt;=2),"Quality risk",IF(AND(ISNUMBER(U214),U214&lt;=2),"Aesthetic mismatch",IF(AY214="High","Too fragile",IF(AND(ISNUMBER(R214),R214&lt;LOW_PROFIT_PCT),"Low profit",IF(AND(ISNUMBER(AT214),AT214&gt;MOQ_WARNING),"MOQ too high",IF(OR(AD214="Maybe",AD214="Price Review"),"Needs partner review",IF(AD214="Buy","Good candidate","")))))))))</f>
        <v/>
      </c>
      <c r="BF214" s="23" t="n"/>
      <c r="BG214" s="23" t="n"/>
      <c r="BH214" s="23" t="n"/>
      <c r="BI214" s="23" t="n"/>
      <c r="BJ214" s="23" t="n"/>
      <c r="BK214" s="23" t="n"/>
      <c r="BL214" s="23">
        <f>IF(C214="","",IF(AND(BG214="Yes",BH214="Yes",BI214="Yes",BJ214="Yes",BK214="Yes"),"Yes","No"))</f>
        <v/>
      </c>
      <c r="BM214" s="25" t="n"/>
      <c r="BN214" s="25" t="n"/>
      <c r="BO214" s="25">
        <f>IF(OR(BM214="",BN214=""),"",BM214+BN214)</f>
        <v/>
      </c>
      <c r="BP214" s="25" t="n"/>
      <c r="BQ214" s="25">
        <f>IF(OR(BP214="",BO214=""),"",BP214-BO214)</f>
        <v/>
      </c>
      <c r="BR214" s="26">
        <f>IF(OR(BP214="",BP214=0,BQ214=""),"",BQ214/BP214)</f>
        <v/>
      </c>
      <c r="BS214" s="24" t="n"/>
      <c r="BT214" s="29" t="n"/>
      <c r="BU214" s="29" t="n"/>
      <c r="BV214" s="23" t="n"/>
      <c r="BW214" s="23" t="n"/>
      <c r="BX214" s="29">
        <f>IF(OR(BT214="",BU214=""),"",BT214-BU214)</f>
        <v/>
      </c>
      <c r="BY214" s="23" t="n"/>
      <c r="BZ214" s="24" t="n"/>
      <c r="CA214" s="23" t="n"/>
      <c r="CB214" s="23" t="n"/>
    </row>
    <row r="215">
      <c r="A215" s="16">
        <f>IF(C215="","","AYN-"&amp;IFERROR(VLOOKUP(E215,CATEGORY_PREFIX_TABLE,2,FALSE),"OTH")&amp;"-"&amp;TEXT(ROW()-2,"0000"))</f>
        <v/>
      </c>
      <c r="B215" s="17" t="n"/>
      <c r="C215" s="16" t="n"/>
      <c r="D215" s="16" t="n"/>
      <c r="E215" s="16" t="n"/>
      <c r="F215" s="16" t="n"/>
      <c r="G215" s="16" t="n"/>
      <c r="H215" s="16" t="n"/>
      <c r="I215" s="16" t="n"/>
      <c r="J215" s="16" t="n"/>
      <c r="K215" s="18">
        <f>IF(I215="","",IF(J215="BDT",I215,IF(J215="USD",I215*USD_BDT,IF(J215="RMB",I215*RMB_BDT,""))))</f>
        <v/>
      </c>
      <c r="L215" s="18" t="n"/>
      <c r="M215" s="19" t="n"/>
      <c r="N215" s="18" t="n"/>
      <c r="O215" s="18">
        <f>IF(K215="","",K215+IFERROR(L215,0)+(K215*IF(M215="",CUSTOMS_PCT,M215))+IF(N215="",MISC_FEE,N215))</f>
        <v/>
      </c>
      <c r="P215" s="18">
        <f>IF(O215="","",ROUND(O215*(1+MARKUP_PCT),-1)-1)</f>
        <v/>
      </c>
      <c r="Q215" s="18">
        <f>IF(P215="","",P215-O215)</f>
        <v/>
      </c>
      <c r="R215" s="19">
        <f>IF(OR(P215="",P215=0),"",Q215/P215)</f>
        <v/>
      </c>
      <c r="S215" s="16" t="n"/>
      <c r="T215" s="16" t="n"/>
      <c r="U215" s="16" t="n"/>
      <c r="V215" s="16" t="n"/>
      <c r="W215" s="16" t="n"/>
      <c r="X215" s="16" t="n"/>
      <c r="Y215" s="16" t="n"/>
      <c r="Z215" s="16" t="n"/>
      <c r="AA215" s="16" t="n"/>
      <c r="AB215" s="16" t="n"/>
      <c r="AC215" s="20">
        <f>IF(COUNT(S215:AB215)&lt;10,"",(S215*W_FEMININE+T215*W_TREND+U215*W_AESTHETIC+V215*W_STYLE+W215*W_LIGHT+X215*W_REELS+Y215*W_GIFT+Z215*W_PRICEFIT+AA215*W_DEMAND+AB215*W_QUALITY)/5*100)</f>
        <v/>
      </c>
      <c r="AD215" s="16">
        <f>IF(P215="","",IF(P215&gt;HARD_REJECT_PRICE,"Reject",IF(P215&gt;MAX_PRICE,"Price Review",IF(AC215="","",IF(AND(AC215&gt;=BUY_THRESHOLD,OR(AB215&lt;=2,U215&lt;=2)),"Maybe",IF(AC215&gt;=BUY_THRESHOLD,"Buy",IF(AC215&gt;=MAYBE_THRESHOLD,"Maybe","Reject")))))))</f>
        <v/>
      </c>
      <c r="AE215" s="16" t="n"/>
      <c r="AF215" s="16" t="n"/>
      <c r="AG215" s="16" t="n"/>
      <c r="AH215" s="16" t="n"/>
      <c r="AI215" s="17" t="n"/>
      <c r="AJ215">
        <f>IF(AC215="",-9999-ROW()*0.0000001,AC215-ROW()*0.0000001)</f>
        <v/>
      </c>
      <c r="AK215">
        <f>IF(OR(AC215="",P215="",P215&gt;MAX_PRICE),-9999-ROW()*0.0000001,AC215-ROW()*0.0000001)</f>
        <v/>
      </c>
      <c r="AL215">
        <f>IF(AC215="",-9999-ROW()*0.0000001,X215*1000+AC215-ROW()*0.0000001)</f>
        <v/>
      </c>
      <c r="AM215">
        <f>IF(AC215="",-9999-ROW()*0.0000001,Y215*1000+AC215-ROW()*0.0000001)</f>
        <v/>
      </c>
      <c r="AN215">
        <f>IF(AND(OR(AD215="Maybe",AD215="Price Review"),AG215&lt;&gt;"Approved",AG215&lt;&gt;"Rejected"),IF(AC215="",0,AC215)-ROW()*0.0000001,-9999-ROW()*0.0000001)</f>
        <v/>
      </c>
      <c r="AO215" s="21" t="n"/>
      <c r="AP215" s="21" t="n"/>
      <c r="AQ215" s="22" t="n"/>
      <c r="AR215" s="22" t="n"/>
      <c r="AS215" s="16" t="n"/>
      <c r="AT215" s="22" t="n"/>
      <c r="AU215" s="22" t="n"/>
      <c r="AV215" s="22" t="n"/>
      <c r="AW215" s="18">
        <f>IF(OR(O215="",AV215=""),"",O215*AV215)</f>
        <v/>
      </c>
      <c r="AX215" s="16" t="n"/>
      <c r="AY215" s="16" t="n"/>
      <c r="AZ215" s="16" t="n"/>
      <c r="BA215" s="16" t="n"/>
      <c r="BB215" s="16" t="n"/>
      <c r="BC215" s="18" t="n"/>
      <c r="BD215" s="16" t="n"/>
      <c r="BE215" s="16">
        <f>IF(C215="","",IF(AND(ISNUMBER(P215),P215&gt;MAX_PRICE),"Price too high",IF(AND(ISNUMBER(AB215),AB215&lt;=2),"Quality risk",IF(AND(ISNUMBER(U215),U215&lt;=2),"Aesthetic mismatch",IF(AY215="High","Too fragile",IF(AND(ISNUMBER(R215),R215&lt;LOW_PROFIT_PCT),"Low profit",IF(AND(ISNUMBER(AT215),AT215&gt;MOQ_WARNING),"MOQ too high",IF(OR(AD215="Maybe",AD215="Price Review"),"Needs partner review",IF(AD215="Buy","Good candidate","")))))))))</f>
        <v/>
      </c>
      <c r="BF215" s="16" t="n"/>
      <c r="BG215" s="16" t="n"/>
      <c r="BH215" s="16" t="n"/>
      <c r="BI215" s="16" t="n"/>
      <c r="BJ215" s="16" t="n"/>
      <c r="BK215" s="16" t="n"/>
      <c r="BL215" s="16">
        <f>IF(C215="","",IF(AND(BG215="Yes",BH215="Yes",BI215="Yes",BJ215="Yes",BK215="Yes"),"Yes","No"))</f>
        <v/>
      </c>
      <c r="BM215" s="18" t="n"/>
      <c r="BN215" s="18" t="n"/>
      <c r="BO215" s="18">
        <f>IF(OR(BM215="",BN215=""),"",BM215+BN215)</f>
        <v/>
      </c>
      <c r="BP215" s="18" t="n"/>
      <c r="BQ215" s="18">
        <f>IF(OR(BP215="",BO215=""),"",BP215-BO215)</f>
        <v/>
      </c>
      <c r="BR215" s="19">
        <f>IF(OR(BP215="",BP215=0,BQ215=""),"",BQ215/BP215)</f>
        <v/>
      </c>
      <c r="BS215" s="17" t="n"/>
      <c r="BT215" s="22" t="n"/>
      <c r="BU215" s="22" t="n"/>
      <c r="BV215" s="16" t="n"/>
      <c r="BW215" s="16" t="n"/>
      <c r="BX215" s="22">
        <f>IF(OR(BT215="",BU215=""),"",BT215-BU215)</f>
        <v/>
      </c>
      <c r="BY215" s="16" t="n"/>
      <c r="BZ215" s="17" t="n"/>
      <c r="CA215" s="16" t="n"/>
      <c r="CB215" s="16" t="n"/>
    </row>
    <row r="216">
      <c r="A216" s="23">
        <f>IF(C216="","","AYN-"&amp;IFERROR(VLOOKUP(E216,CATEGORY_PREFIX_TABLE,2,FALSE),"OTH")&amp;"-"&amp;TEXT(ROW()-2,"0000"))</f>
        <v/>
      </c>
      <c r="B216" s="24" t="n"/>
      <c r="C216" s="23" t="n"/>
      <c r="D216" s="23" t="n"/>
      <c r="E216" s="23" t="n"/>
      <c r="F216" s="23" t="n"/>
      <c r="G216" s="23" t="n"/>
      <c r="H216" s="23" t="n"/>
      <c r="I216" s="23" t="n"/>
      <c r="J216" s="23" t="n"/>
      <c r="K216" s="25">
        <f>IF(I216="","",IF(J216="BDT",I216,IF(J216="USD",I216*USD_BDT,IF(J216="RMB",I216*RMB_BDT,""))))</f>
        <v/>
      </c>
      <c r="L216" s="25" t="n"/>
      <c r="M216" s="26" t="n"/>
      <c r="N216" s="25" t="n"/>
      <c r="O216" s="25">
        <f>IF(K216="","",K216+IFERROR(L216,0)+(K216*IF(M216="",CUSTOMS_PCT,M216))+IF(N216="",MISC_FEE,N216))</f>
        <v/>
      </c>
      <c r="P216" s="25">
        <f>IF(O216="","",ROUND(O216*(1+MARKUP_PCT),-1)-1)</f>
        <v/>
      </c>
      <c r="Q216" s="25">
        <f>IF(P216="","",P216-O216)</f>
        <v/>
      </c>
      <c r="R216" s="26">
        <f>IF(OR(P216="",P216=0),"",Q216/P216)</f>
        <v/>
      </c>
      <c r="S216" s="23" t="n"/>
      <c r="T216" s="23" t="n"/>
      <c r="U216" s="23" t="n"/>
      <c r="V216" s="23" t="n"/>
      <c r="W216" s="23" t="n"/>
      <c r="X216" s="23" t="n"/>
      <c r="Y216" s="23" t="n"/>
      <c r="Z216" s="23" t="n"/>
      <c r="AA216" s="23" t="n"/>
      <c r="AB216" s="23" t="n"/>
      <c r="AC216" s="27">
        <f>IF(COUNT(S216:AB216)&lt;10,"",(S216*W_FEMININE+T216*W_TREND+U216*W_AESTHETIC+V216*W_STYLE+W216*W_LIGHT+X216*W_REELS+Y216*W_GIFT+Z216*W_PRICEFIT+AA216*W_DEMAND+AB216*W_QUALITY)/5*100)</f>
        <v/>
      </c>
      <c r="AD216" s="23">
        <f>IF(P216="","",IF(P216&gt;HARD_REJECT_PRICE,"Reject",IF(P216&gt;MAX_PRICE,"Price Review",IF(AC216="","",IF(AND(AC216&gt;=BUY_THRESHOLD,OR(AB216&lt;=2,U216&lt;=2)),"Maybe",IF(AC216&gt;=BUY_THRESHOLD,"Buy",IF(AC216&gt;=MAYBE_THRESHOLD,"Maybe","Reject")))))))</f>
        <v/>
      </c>
      <c r="AE216" s="23" t="n"/>
      <c r="AF216" s="23" t="n"/>
      <c r="AG216" s="23" t="n"/>
      <c r="AH216" s="23" t="n"/>
      <c r="AI216" s="24" t="n"/>
      <c r="AJ216">
        <f>IF(AC216="",-9999-ROW()*0.0000001,AC216-ROW()*0.0000001)</f>
        <v/>
      </c>
      <c r="AK216">
        <f>IF(OR(AC216="",P216="",P216&gt;MAX_PRICE),-9999-ROW()*0.0000001,AC216-ROW()*0.0000001)</f>
        <v/>
      </c>
      <c r="AL216">
        <f>IF(AC216="",-9999-ROW()*0.0000001,X216*1000+AC216-ROW()*0.0000001)</f>
        <v/>
      </c>
      <c r="AM216">
        <f>IF(AC216="",-9999-ROW()*0.0000001,Y216*1000+AC216-ROW()*0.0000001)</f>
        <v/>
      </c>
      <c r="AN216">
        <f>IF(AND(OR(AD216="Maybe",AD216="Price Review"),AG216&lt;&gt;"Approved",AG216&lt;&gt;"Rejected"),IF(AC216="",0,AC216)-ROW()*0.0000001,-9999-ROW()*0.0000001)</f>
        <v/>
      </c>
      <c r="AO216" s="28" t="n"/>
      <c r="AP216" s="28" t="n"/>
      <c r="AQ216" s="29" t="n"/>
      <c r="AR216" s="29" t="n"/>
      <c r="AS216" s="23" t="n"/>
      <c r="AT216" s="29" t="n"/>
      <c r="AU216" s="29" t="n"/>
      <c r="AV216" s="29" t="n"/>
      <c r="AW216" s="25">
        <f>IF(OR(O216="",AV216=""),"",O216*AV216)</f>
        <v/>
      </c>
      <c r="AX216" s="23" t="n"/>
      <c r="AY216" s="23" t="n"/>
      <c r="AZ216" s="23" t="n"/>
      <c r="BA216" s="23" t="n"/>
      <c r="BB216" s="23" t="n"/>
      <c r="BC216" s="25" t="n"/>
      <c r="BD216" s="23" t="n"/>
      <c r="BE216" s="23">
        <f>IF(C216="","",IF(AND(ISNUMBER(P216),P216&gt;MAX_PRICE),"Price too high",IF(AND(ISNUMBER(AB216),AB216&lt;=2),"Quality risk",IF(AND(ISNUMBER(U216),U216&lt;=2),"Aesthetic mismatch",IF(AY216="High","Too fragile",IF(AND(ISNUMBER(R216),R216&lt;LOW_PROFIT_PCT),"Low profit",IF(AND(ISNUMBER(AT216),AT216&gt;MOQ_WARNING),"MOQ too high",IF(OR(AD216="Maybe",AD216="Price Review"),"Needs partner review",IF(AD216="Buy","Good candidate","")))))))))</f>
        <v/>
      </c>
      <c r="BF216" s="23" t="n"/>
      <c r="BG216" s="23" t="n"/>
      <c r="BH216" s="23" t="n"/>
      <c r="BI216" s="23" t="n"/>
      <c r="BJ216" s="23" t="n"/>
      <c r="BK216" s="23" t="n"/>
      <c r="BL216" s="23">
        <f>IF(C216="","",IF(AND(BG216="Yes",BH216="Yes",BI216="Yes",BJ216="Yes",BK216="Yes"),"Yes","No"))</f>
        <v/>
      </c>
      <c r="BM216" s="25" t="n"/>
      <c r="BN216" s="25" t="n"/>
      <c r="BO216" s="25">
        <f>IF(OR(BM216="",BN216=""),"",BM216+BN216)</f>
        <v/>
      </c>
      <c r="BP216" s="25" t="n"/>
      <c r="BQ216" s="25">
        <f>IF(OR(BP216="",BO216=""),"",BP216-BO216)</f>
        <v/>
      </c>
      <c r="BR216" s="26">
        <f>IF(OR(BP216="",BP216=0,BQ216=""),"",BQ216/BP216)</f>
        <v/>
      </c>
      <c r="BS216" s="24" t="n"/>
      <c r="BT216" s="29" t="n"/>
      <c r="BU216" s="29" t="n"/>
      <c r="BV216" s="23" t="n"/>
      <c r="BW216" s="23" t="n"/>
      <c r="BX216" s="29">
        <f>IF(OR(BT216="",BU216=""),"",BT216-BU216)</f>
        <v/>
      </c>
      <c r="BY216" s="23" t="n"/>
      <c r="BZ216" s="24" t="n"/>
      <c r="CA216" s="23" t="n"/>
      <c r="CB216" s="23" t="n"/>
    </row>
    <row r="217">
      <c r="A217" s="16">
        <f>IF(C217="","","AYN-"&amp;IFERROR(VLOOKUP(E217,CATEGORY_PREFIX_TABLE,2,FALSE),"OTH")&amp;"-"&amp;TEXT(ROW()-2,"0000"))</f>
        <v/>
      </c>
      <c r="B217" s="17" t="n"/>
      <c r="C217" s="16" t="n"/>
      <c r="D217" s="16" t="n"/>
      <c r="E217" s="16" t="n"/>
      <c r="F217" s="16" t="n"/>
      <c r="G217" s="16" t="n"/>
      <c r="H217" s="16" t="n"/>
      <c r="I217" s="16" t="n"/>
      <c r="J217" s="16" t="n"/>
      <c r="K217" s="18">
        <f>IF(I217="","",IF(J217="BDT",I217,IF(J217="USD",I217*USD_BDT,IF(J217="RMB",I217*RMB_BDT,""))))</f>
        <v/>
      </c>
      <c r="L217" s="18" t="n"/>
      <c r="M217" s="19" t="n"/>
      <c r="N217" s="18" t="n"/>
      <c r="O217" s="18">
        <f>IF(K217="","",K217+IFERROR(L217,0)+(K217*IF(M217="",CUSTOMS_PCT,M217))+IF(N217="",MISC_FEE,N217))</f>
        <v/>
      </c>
      <c r="P217" s="18">
        <f>IF(O217="","",ROUND(O217*(1+MARKUP_PCT),-1)-1)</f>
        <v/>
      </c>
      <c r="Q217" s="18">
        <f>IF(P217="","",P217-O217)</f>
        <v/>
      </c>
      <c r="R217" s="19">
        <f>IF(OR(P217="",P217=0),"",Q217/P217)</f>
        <v/>
      </c>
      <c r="S217" s="16" t="n"/>
      <c r="T217" s="16" t="n"/>
      <c r="U217" s="16" t="n"/>
      <c r="V217" s="16" t="n"/>
      <c r="W217" s="16" t="n"/>
      <c r="X217" s="16" t="n"/>
      <c r="Y217" s="16" t="n"/>
      <c r="Z217" s="16" t="n"/>
      <c r="AA217" s="16" t="n"/>
      <c r="AB217" s="16" t="n"/>
      <c r="AC217" s="20">
        <f>IF(COUNT(S217:AB217)&lt;10,"",(S217*W_FEMININE+T217*W_TREND+U217*W_AESTHETIC+V217*W_STYLE+W217*W_LIGHT+X217*W_REELS+Y217*W_GIFT+Z217*W_PRICEFIT+AA217*W_DEMAND+AB217*W_QUALITY)/5*100)</f>
        <v/>
      </c>
      <c r="AD217" s="16">
        <f>IF(P217="","",IF(P217&gt;HARD_REJECT_PRICE,"Reject",IF(P217&gt;MAX_PRICE,"Price Review",IF(AC217="","",IF(AND(AC217&gt;=BUY_THRESHOLD,OR(AB217&lt;=2,U217&lt;=2)),"Maybe",IF(AC217&gt;=BUY_THRESHOLD,"Buy",IF(AC217&gt;=MAYBE_THRESHOLD,"Maybe","Reject")))))))</f>
        <v/>
      </c>
      <c r="AE217" s="16" t="n"/>
      <c r="AF217" s="16" t="n"/>
      <c r="AG217" s="16" t="n"/>
      <c r="AH217" s="16" t="n"/>
      <c r="AI217" s="17" t="n"/>
      <c r="AJ217">
        <f>IF(AC217="",-9999-ROW()*0.0000001,AC217-ROW()*0.0000001)</f>
        <v/>
      </c>
      <c r="AK217">
        <f>IF(OR(AC217="",P217="",P217&gt;MAX_PRICE),-9999-ROW()*0.0000001,AC217-ROW()*0.0000001)</f>
        <v/>
      </c>
      <c r="AL217">
        <f>IF(AC217="",-9999-ROW()*0.0000001,X217*1000+AC217-ROW()*0.0000001)</f>
        <v/>
      </c>
      <c r="AM217">
        <f>IF(AC217="",-9999-ROW()*0.0000001,Y217*1000+AC217-ROW()*0.0000001)</f>
        <v/>
      </c>
      <c r="AN217">
        <f>IF(AND(OR(AD217="Maybe",AD217="Price Review"),AG217&lt;&gt;"Approved",AG217&lt;&gt;"Rejected"),IF(AC217="",0,AC217)-ROW()*0.0000001,-9999-ROW()*0.0000001)</f>
        <v/>
      </c>
      <c r="AO217" s="21" t="n"/>
      <c r="AP217" s="21" t="n"/>
      <c r="AQ217" s="22" t="n"/>
      <c r="AR217" s="22" t="n"/>
      <c r="AS217" s="16" t="n"/>
      <c r="AT217" s="22" t="n"/>
      <c r="AU217" s="22" t="n"/>
      <c r="AV217" s="22" t="n"/>
      <c r="AW217" s="18">
        <f>IF(OR(O217="",AV217=""),"",O217*AV217)</f>
        <v/>
      </c>
      <c r="AX217" s="16" t="n"/>
      <c r="AY217" s="16" t="n"/>
      <c r="AZ217" s="16" t="n"/>
      <c r="BA217" s="16" t="n"/>
      <c r="BB217" s="16" t="n"/>
      <c r="BC217" s="18" t="n"/>
      <c r="BD217" s="16" t="n"/>
      <c r="BE217" s="16">
        <f>IF(C217="","",IF(AND(ISNUMBER(P217),P217&gt;MAX_PRICE),"Price too high",IF(AND(ISNUMBER(AB217),AB217&lt;=2),"Quality risk",IF(AND(ISNUMBER(U217),U217&lt;=2),"Aesthetic mismatch",IF(AY217="High","Too fragile",IF(AND(ISNUMBER(R217),R217&lt;LOW_PROFIT_PCT),"Low profit",IF(AND(ISNUMBER(AT217),AT217&gt;MOQ_WARNING),"MOQ too high",IF(OR(AD217="Maybe",AD217="Price Review"),"Needs partner review",IF(AD217="Buy","Good candidate","")))))))))</f>
        <v/>
      </c>
      <c r="BF217" s="16" t="n"/>
      <c r="BG217" s="16" t="n"/>
      <c r="BH217" s="16" t="n"/>
      <c r="BI217" s="16" t="n"/>
      <c r="BJ217" s="16" t="n"/>
      <c r="BK217" s="16" t="n"/>
      <c r="BL217" s="16">
        <f>IF(C217="","",IF(AND(BG217="Yes",BH217="Yes",BI217="Yes",BJ217="Yes",BK217="Yes"),"Yes","No"))</f>
        <v/>
      </c>
      <c r="BM217" s="18" t="n"/>
      <c r="BN217" s="18" t="n"/>
      <c r="BO217" s="18">
        <f>IF(OR(BM217="",BN217=""),"",BM217+BN217)</f>
        <v/>
      </c>
      <c r="BP217" s="18" t="n"/>
      <c r="BQ217" s="18">
        <f>IF(OR(BP217="",BO217=""),"",BP217-BO217)</f>
        <v/>
      </c>
      <c r="BR217" s="19">
        <f>IF(OR(BP217="",BP217=0,BQ217=""),"",BQ217/BP217)</f>
        <v/>
      </c>
      <c r="BS217" s="17" t="n"/>
      <c r="BT217" s="22" t="n"/>
      <c r="BU217" s="22" t="n"/>
      <c r="BV217" s="16" t="n"/>
      <c r="BW217" s="16" t="n"/>
      <c r="BX217" s="22">
        <f>IF(OR(BT217="",BU217=""),"",BT217-BU217)</f>
        <v/>
      </c>
      <c r="BY217" s="16" t="n"/>
      <c r="BZ217" s="17" t="n"/>
      <c r="CA217" s="16" t="n"/>
      <c r="CB217" s="16" t="n"/>
    </row>
    <row r="218">
      <c r="A218" s="23">
        <f>IF(C218="","","AYN-"&amp;IFERROR(VLOOKUP(E218,CATEGORY_PREFIX_TABLE,2,FALSE),"OTH")&amp;"-"&amp;TEXT(ROW()-2,"0000"))</f>
        <v/>
      </c>
      <c r="B218" s="24" t="n"/>
      <c r="C218" s="23" t="n"/>
      <c r="D218" s="23" t="n"/>
      <c r="E218" s="23" t="n"/>
      <c r="F218" s="23" t="n"/>
      <c r="G218" s="23" t="n"/>
      <c r="H218" s="23" t="n"/>
      <c r="I218" s="23" t="n"/>
      <c r="J218" s="23" t="n"/>
      <c r="K218" s="25">
        <f>IF(I218="","",IF(J218="BDT",I218,IF(J218="USD",I218*USD_BDT,IF(J218="RMB",I218*RMB_BDT,""))))</f>
        <v/>
      </c>
      <c r="L218" s="25" t="n"/>
      <c r="M218" s="26" t="n"/>
      <c r="N218" s="25" t="n"/>
      <c r="O218" s="25">
        <f>IF(K218="","",K218+IFERROR(L218,0)+(K218*IF(M218="",CUSTOMS_PCT,M218))+IF(N218="",MISC_FEE,N218))</f>
        <v/>
      </c>
      <c r="P218" s="25">
        <f>IF(O218="","",ROUND(O218*(1+MARKUP_PCT),-1)-1)</f>
        <v/>
      </c>
      <c r="Q218" s="25">
        <f>IF(P218="","",P218-O218)</f>
        <v/>
      </c>
      <c r="R218" s="26">
        <f>IF(OR(P218="",P218=0),"",Q218/P218)</f>
        <v/>
      </c>
      <c r="S218" s="23" t="n"/>
      <c r="T218" s="23" t="n"/>
      <c r="U218" s="23" t="n"/>
      <c r="V218" s="23" t="n"/>
      <c r="W218" s="23" t="n"/>
      <c r="X218" s="23" t="n"/>
      <c r="Y218" s="23" t="n"/>
      <c r="Z218" s="23" t="n"/>
      <c r="AA218" s="23" t="n"/>
      <c r="AB218" s="23" t="n"/>
      <c r="AC218" s="27">
        <f>IF(COUNT(S218:AB218)&lt;10,"",(S218*W_FEMININE+T218*W_TREND+U218*W_AESTHETIC+V218*W_STYLE+W218*W_LIGHT+X218*W_REELS+Y218*W_GIFT+Z218*W_PRICEFIT+AA218*W_DEMAND+AB218*W_QUALITY)/5*100)</f>
        <v/>
      </c>
      <c r="AD218" s="23">
        <f>IF(P218="","",IF(P218&gt;HARD_REJECT_PRICE,"Reject",IF(P218&gt;MAX_PRICE,"Price Review",IF(AC218="","",IF(AND(AC218&gt;=BUY_THRESHOLD,OR(AB218&lt;=2,U218&lt;=2)),"Maybe",IF(AC218&gt;=BUY_THRESHOLD,"Buy",IF(AC218&gt;=MAYBE_THRESHOLD,"Maybe","Reject")))))))</f>
        <v/>
      </c>
      <c r="AE218" s="23" t="n"/>
      <c r="AF218" s="23" t="n"/>
      <c r="AG218" s="23" t="n"/>
      <c r="AH218" s="23" t="n"/>
      <c r="AI218" s="24" t="n"/>
      <c r="AJ218">
        <f>IF(AC218="",-9999-ROW()*0.0000001,AC218-ROW()*0.0000001)</f>
        <v/>
      </c>
      <c r="AK218">
        <f>IF(OR(AC218="",P218="",P218&gt;MAX_PRICE),-9999-ROW()*0.0000001,AC218-ROW()*0.0000001)</f>
        <v/>
      </c>
      <c r="AL218">
        <f>IF(AC218="",-9999-ROW()*0.0000001,X218*1000+AC218-ROW()*0.0000001)</f>
        <v/>
      </c>
      <c r="AM218">
        <f>IF(AC218="",-9999-ROW()*0.0000001,Y218*1000+AC218-ROW()*0.0000001)</f>
        <v/>
      </c>
      <c r="AN218">
        <f>IF(AND(OR(AD218="Maybe",AD218="Price Review"),AG218&lt;&gt;"Approved",AG218&lt;&gt;"Rejected"),IF(AC218="",0,AC218)-ROW()*0.0000001,-9999-ROW()*0.0000001)</f>
        <v/>
      </c>
      <c r="AO218" s="28" t="n"/>
      <c r="AP218" s="28" t="n"/>
      <c r="AQ218" s="29" t="n"/>
      <c r="AR218" s="29" t="n"/>
      <c r="AS218" s="23" t="n"/>
      <c r="AT218" s="29" t="n"/>
      <c r="AU218" s="29" t="n"/>
      <c r="AV218" s="29" t="n"/>
      <c r="AW218" s="25">
        <f>IF(OR(O218="",AV218=""),"",O218*AV218)</f>
        <v/>
      </c>
      <c r="AX218" s="23" t="n"/>
      <c r="AY218" s="23" t="n"/>
      <c r="AZ218" s="23" t="n"/>
      <c r="BA218" s="23" t="n"/>
      <c r="BB218" s="23" t="n"/>
      <c r="BC218" s="25" t="n"/>
      <c r="BD218" s="23" t="n"/>
      <c r="BE218" s="23">
        <f>IF(C218="","",IF(AND(ISNUMBER(P218),P218&gt;MAX_PRICE),"Price too high",IF(AND(ISNUMBER(AB218),AB218&lt;=2),"Quality risk",IF(AND(ISNUMBER(U218),U218&lt;=2),"Aesthetic mismatch",IF(AY218="High","Too fragile",IF(AND(ISNUMBER(R218),R218&lt;LOW_PROFIT_PCT),"Low profit",IF(AND(ISNUMBER(AT218),AT218&gt;MOQ_WARNING),"MOQ too high",IF(OR(AD218="Maybe",AD218="Price Review"),"Needs partner review",IF(AD218="Buy","Good candidate","")))))))))</f>
        <v/>
      </c>
      <c r="BF218" s="23" t="n"/>
      <c r="BG218" s="23" t="n"/>
      <c r="BH218" s="23" t="n"/>
      <c r="BI218" s="23" t="n"/>
      <c r="BJ218" s="23" t="n"/>
      <c r="BK218" s="23" t="n"/>
      <c r="BL218" s="23">
        <f>IF(C218="","",IF(AND(BG218="Yes",BH218="Yes",BI218="Yes",BJ218="Yes",BK218="Yes"),"Yes","No"))</f>
        <v/>
      </c>
      <c r="BM218" s="25" t="n"/>
      <c r="BN218" s="25" t="n"/>
      <c r="BO218" s="25">
        <f>IF(OR(BM218="",BN218=""),"",BM218+BN218)</f>
        <v/>
      </c>
      <c r="BP218" s="25" t="n"/>
      <c r="BQ218" s="25">
        <f>IF(OR(BP218="",BO218=""),"",BP218-BO218)</f>
        <v/>
      </c>
      <c r="BR218" s="26">
        <f>IF(OR(BP218="",BP218=0,BQ218=""),"",BQ218/BP218)</f>
        <v/>
      </c>
      <c r="BS218" s="24" t="n"/>
      <c r="BT218" s="29" t="n"/>
      <c r="BU218" s="29" t="n"/>
      <c r="BV218" s="23" t="n"/>
      <c r="BW218" s="23" t="n"/>
      <c r="BX218" s="29">
        <f>IF(OR(BT218="",BU218=""),"",BT218-BU218)</f>
        <v/>
      </c>
      <c r="BY218" s="23" t="n"/>
      <c r="BZ218" s="24" t="n"/>
      <c r="CA218" s="23" t="n"/>
      <c r="CB218" s="23" t="n"/>
    </row>
    <row r="219">
      <c r="A219" s="16">
        <f>IF(C219="","","AYN-"&amp;IFERROR(VLOOKUP(E219,CATEGORY_PREFIX_TABLE,2,FALSE),"OTH")&amp;"-"&amp;TEXT(ROW()-2,"0000"))</f>
        <v/>
      </c>
      <c r="B219" s="17" t="n"/>
      <c r="C219" s="16" t="n"/>
      <c r="D219" s="16" t="n"/>
      <c r="E219" s="16" t="n"/>
      <c r="F219" s="16" t="n"/>
      <c r="G219" s="16" t="n"/>
      <c r="H219" s="16" t="n"/>
      <c r="I219" s="16" t="n"/>
      <c r="J219" s="16" t="n"/>
      <c r="K219" s="18">
        <f>IF(I219="","",IF(J219="BDT",I219,IF(J219="USD",I219*USD_BDT,IF(J219="RMB",I219*RMB_BDT,""))))</f>
        <v/>
      </c>
      <c r="L219" s="18" t="n"/>
      <c r="M219" s="19" t="n"/>
      <c r="N219" s="18" t="n"/>
      <c r="O219" s="18">
        <f>IF(K219="","",K219+IFERROR(L219,0)+(K219*IF(M219="",CUSTOMS_PCT,M219))+IF(N219="",MISC_FEE,N219))</f>
        <v/>
      </c>
      <c r="P219" s="18">
        <f>IF(O219="","",ROUND(O219*(1+MARKUP_PCT),-1)-1)</f>
        <v/>
      </c>
      <c r="Q219" s="18">
        <f>IF(P219="","",P219-O219)</f>
        <v/>
      </c>
      <c r="R219" s="19">
        <f>IF(OR(P219="",P219=0),"",Q219/P219)</f>
        <v/>
      </c>
      <c r="S219" s="16" t="n"/>
      <c r="T219" s="16" t="n"/>
      <c r="U219" s="16" t="n"/>
      <c r="V219" s="16" t="n"/>
      <c r="W219" s="16" t="n"/>
      <c r="X219" s="16" t="n"/>
      <c r="Y219" s="16" t="n"/>
      <c r="Z219" s="16" t="n"/>
      <c r="AA219" s="16" t="n"/>
      <c r="AB219" s="16" t="n"/>
      <c r="AC219" s="20">
        <f>IF(COUNT(S219:AB219)&lt;10,"",(S219*W_FEMININE+T219*W_TREND+U219*W_AESTHETIC+V219*W_STYLE+W219*W_LIGHT+X219*W_REELS+Y219*W_GIFT+Z219*W_PRICEFIT+AA219*W_DEMAND+AB219*W_QUALITY)/5*100)</f>
        <v/>
      </c>
      <c r="AD219" s="16">
        <f>IF(P219="","",IF(P219&gt;HARD_REJECT_PRICE,"Reject",IF(P219&gt;MAX_PRICE,"Price Review",IF(AC219="","",IF(AND(AC219&gt;=BUY_THRESHOLD,OR(AB219&lt;=2,U219&lt;=2)),"Maybe",IF(AC219&gt;=BUY_THRESHOLD,"Buy",IF(AC219&gt;=MAYBE_THRESHOLD,"Maybe","Reject")))))))</f>
        <v/>
      </c>
      <c r="AE219" s="16" t="n"/>
      <c r="AF219" s="16" t="n"/>
      <c r="AG219" s="16" t="n"/>
      <c r="AH219" s="16" t="n"/>
      <c r="AI219" s="17" t="n"/>
      <c r="AJ219">
        <f>IF(AC219="",-9999-ROW()*0.0000001,AC219-ROW()*0.0000001)</f>
        <v/>
      </c>
      <c r="AK219">
        <f>IF(OR(AC219="",P219="",P219&gt;MAX_PRICE),-9999-ROW()*0.0000001,AC219-ROW()*0.0000001)</f>
        <v/>
      </c>
      <c r="AL219">
        <f>IF(AC219="",-9999-ROW()*0.0000001,X219*1000+AC219-ROW()*0.0000001)</f>
        <v/>
      </c>
      <c r="AM219">
        <f>IF(AC219="",-9999-ROW()*0.0000001,Y219*1000+AC219-ROW()*0.0000001)</f>
        <v/>
      </c>
      <c r="AN219">
        <f>IF(AND(OR(AD219="Maybe",AD219="Price Review"),AG219&lt;&gt;"Approved",AG219&lt;&gt;"Rejected"),IF(AC219="",0,AC219)-ROW()*0.0000001,-9999-ROW()*0.0000001)</f>
        <v/>
      </c>
      <c r="AO219" s="21" t="n"/>
      <c r="AP219" s="21" t="n"/>
      <c r="AQ219" s="22" t="n"/>
      <c r="AR219" s="22" t="n"/>
      <c r="AS219" s="16" t="n"/>
      <c r="AT219" s="22" t="n"/>
      <c r="AU219" s="22" t="n"/>
      <c r="AV219" s="22" t="n"/>
      <c r="AW219" s="18">
        <f>IF(OR(O219="",AV219=""),"",O219*AV219)</f>
        <v/>
      </c>
      <c r="AX219" s="16" t="n"/>
      <c r="AY219" s="16" t="n"/>
      <c r="AZ219" s="16" t="n"/>
      <c r="BA219" s="16" t="n"/>
      <c r="BB219" s="16" t="n"/>
      <c r="BC219" s="18" t="n"/>
      <c r="BD219" s="16" t="n"/>
      <c r="BE219" s="16">
        <f>IF(C219="","",IF(AND(ISNUMBER(P219),P219&gt;MAX_PRICE),"Price too high",IF(AND(ISNUMBER(AB219),AB219&lt;=2),"Quality risk",IF(AND(ISNUMBER(U219),U219&lt;=2),"Aesthetic mismatch",IF(AY219="High","Too fragile",IF(AND(ISNUMBER(R219),R219&lt;LOW_PROFIT_PCT),"Low profit",IF(AND(ISNUMBER(AT219),AT219&gt;MOQ_WARNING),"MOQ too high",IF(OR(AD219="Maybe",AD219="Price Review"),"Needs partner review",IF(AD219="Buy","Good candidate","")))))))))</f>
        <v/>
      </c>
      <c r="BF219" s="16" t="n"/>
      <c r="BG219" s="16" t="n"/>
      <c r="BH219" s="16" t="n"/>
      <c r="BI219" s="16" t="n"/>
      <c r="BJ219" s="16" t="n"/>
      <c r="BK219" s="16" t="n"/>
      <c r="BL219" s="16">
        <f>IF(C219="","",IF(AND(BG219="Yes",BH219="Yes",BI219="Yes",BJ219="Yes",BK219="Yes"),"Yes","No"))</f>
        <v/>
      </c>
      <c r="BM219" s="18" t="n"/>
      <c r="BN219" s="18" t="n"/>
      <c r="BO219" s="18">
        <f>IF(OR(BM219="",BN219=""),"",BM219+BN219)</f>
        <v/>
      </c>
      <c r="BP219" s="18" t="n"/>
      <c r="BQ219" s="18">
        <f>IF(OR(BP219="",BO219=""),"",BP219-BO219)</f>
        <v/>
      </c>
      <c r="BR219" s="19">
        <f>IF(OR(BP219="",BP219=0,BQ219=""),"",BQ219/BP219)</f>
        <v/>
      </c>
      <c r="BS219" s="17" t="n"/>
      <c r="BT219" s="22" t="n"/>
      <c r="BU219" s="22" t="n"/>
      <c r="BV219" s="16" t="n"/>
      <c r="BW219" s="16" t="n"/>
      <c r="BX219" s="22">
        <f>IF(OR(BT219="",BU219=""),"",BT219-BU219)</f>
        <v/>
      </c>
      <c r="BY219" s="16" t="n"/>
      <c r="BZ219" s="17" t="n"/>
      <c r="CA219" s="16" t="n"/>
      <c r="CB219" s="16" t="n"/>
    </row>
    <row r="220">
      <c r="A220" s="23">
        <f>IF(C220="","","AYN-"&amp;IFERROR(VLOOKUP(E220,CATEGORY_PREFIX_TABLE,2,FALSE),"OTH")&amp;"-"&amp;TEXT(ROW()-2,"0000"))</f>
        <v/>
      </c>
      <c r="B220" s="24" t="n"/>
      <c r="C220" s="23" t="n"/>
      <c r="D220" s="23" t="n"/>
      <c r="E220" s="23" t="n"/>
      <c r="F220" s="23" t="n"/>
      <c r="G220" s="23" t="n"/>
      <c r="H220" s="23" t="n"/>
      <c r="I220" s="23" t="n"/>
      <c r="J220" s="23" t="n"/>
      <c r="K220" s="25">
        <f>IF(I220="","",IF(J220="BDT",I220,IF(J220="USD",I220*USD_BDT,IF(J220="RMB",I220*RMB_BDT,""))))</f>
        <v/>
      </c>
      <c r="L220" s="25" t="n"/>
      <c r="M220" s="26" t="n"/>
      <c r="N220" s="25" t="n"/>
      <c r="O220" s="25">
        <f>IF(K220="","",K220+IFERROR(L220,0)+(K220*IF(M220="",CUSTOMS_PCT,M220))+IF(N220="",MISC_FEE,N220))</f>
        <v/>
      </c>
      <c r="P220" s="25">
        <f>IF(O220="","",ROUND(O220*(1+MARKUP_PCT),-1)-1)</f>
        <v/>
      </c>
      <c r="Q220" s="25">
        <f>IF(P220="","",P220-O220)</f>
        <v/>
      </c>
      <c r="R220" s="26">
        <f>IF(OR(P220="",P220=0),"",Q220/P220)</f>
        <v/>
      </c>
      <c r="S220" s="23" t="n"/>
      <c r="T220" s="23" t="n"/>
      <c r="U220" s="23" t="n"/>
      <c r="V220" s="23" t="n"/>
      <c r="W220" s="23" t="n"/>
      <c r="X220" s="23" t="n"/>
      <c r="Y220" s="23" t="n"/>
      <c r="Z220" s="23" t="n"/>
      <c r="AA220" s="23" t="n"/>
      <c r="AB220" s="23" t="n"/>
      <c r="AC220" s="27">
        <f>IF(COUNT(S220:AB220)&lt;10,"",(S220*W_FEMININE+T220*W_TREND+U220*W_AESTHETIC+V220*W_STYLE+W220*W_LIGHT+X220*W_REELS+Y220*W_GIFT+Z220*W_PRICEFIT+AA220*W_DEMAND+AB220*W_QUALITY)/5*100)</f>
        <v/>
      </c>
      <c r="AD220" s="23">
        <f>IF(P220="","",IF(P220&gt;HARD_REJECT_PRICE,"Reject",IF(P220&gt;MAX_PRICE,"Price Review",IF(AC220="","",IF(AND(AC220&gt;=BUY_THRESHOLD,OR(AB220&lt;=2,U220&lt;=2)),"Maybe",IF(AC220&gt;=BUY_THRESHOLD,"Buy",IF(AC220&gt;=MAYBE_THRESHOLD,"Maybe","Reject")))))))</f>
        <v/>
      </c>
      <c r="AE220" s="23" t="n"/>
      <c r="AF220" s="23" t="n"/>
      <c r="AG220" s="23" t="n"/>
      <c r="AH220" s="23" t="n"/>
      <c r="AI220" s="24" t="n"/>
      <c r="AJ220">
        <f>IF(AC220="",-9999-ROW()*0.0000001,AC220-ROW()*0.0000001)</f>
        <v/>
      </c>
      <c r="AK220">
        <f>IF(OR(AC220="",P220="",P220&gt;MAX_PRICE),-9999-ROW()*0.0000001,AC220-ROW()*0.0000001)</f>
        <v/>
      </c>
      <c r="AL220">
        <f>IF(AC220="",-9999-ROW()*0.0000001,X220*1000+AC220-ROW()*0.0000001)</f>
        <v/>
      </c>
      <c r="AM220">
        <f>IF(AC220="",-9999-ROW()*0.0000001,Y220*1000+AC220-ROW()*0.0000001)</f>
        <v/>
      </c>
      <c r="AN220">
        <f>IF(AND(OR(AD220="Maybe",AD220="Price Review"),AG220&lt;&gt;"Approved",AG220&lt;&gt;"Rejected"),IF(AC220="",0,AC220)-ROW()*0.0000001,-9999-ROW()*0.0000001)</f>
        <v/>
      </c>
      <c r="AO220" s="28" t="n"/>
      <c r="AP220" s="28" t="n"/>
      <c r="AQ220" s="29" t="n"/>
      <c r="AR220" s="29" t="n"/>
      <c r="AS220" s="23" t="n"/>
      <c r="AT220" s="29" t="n"/>
      <c r="AU220" s="29" t="n"/>
      <c r="AV220" s="29" t="n"/>
      <c r="AW220" s="25">
        <f>IF(OR(O220="",AV220=""),"",O220*AV220)</f>
        <v/>
      </c>
      <c r="AX220" s="23" t="n"/>
      <c r="AY220" s="23" t="n"/>
      <c r="AZ220" s="23" t="n"/>
      <c r="BA220" s="23" t="n"/>
      <c r="BB220" s="23" t="n"/>
      <c r="BC220" s="25" t="n"/>
      <c r="BD220" s="23" t="n"/>
      <c r="BE220" s="23">
        <f>IF(C220="","",IF(AND(ISNUMBER(P220),P220&gt;MAX_PRICE),"Price too high",IF(AND(ISNUMBER(AB220),AB220&lt;=2),"Quality risk",IF(AND(ISNUMBER(U220),U220&lt;=2),"Aesthetic mismatch",IF(AY220="High","Too fragile",IF(AND(ISNUMBER(R220),R220&lt;LOW_PROFIT_PCT),"Low profit",IF(AND(ISNUMBER(AT220),AT220&gt;MOQ_WARNING),"MOQ too high",IF(OR(AD220="Maybe",AD220="Price Review"),"Needs partner review",IF(AD220="Buy","Good candidate","")))))))))</f>
        <v/>
      </c>
      <c r="BF220" s="23" t="n"/>
      <c r="BG220" s="23" t="n"/>
      <c r="BH220" s="23" t="n"/>
      <c r="BI220" s="23" t="n"/>
      <c r="BJ220" s="23" t="n"/>
      <c r="BK220" s="23" t="n"/>
      <c r="BL220" s="23">
        <f>IF(C220="","",IF(AND(BG220="Yes",BH220="Yes",BI220="Yes",BJ220="Yes",BK220="Yes"),"Yes","No"))</f>
        <v/>
      </c>
      <c r="BM220" s="25" t="n"/>
      <c r="BN220" s="25" t="n"/>
      <c r="BO220" s="25">
        <f>IF(OR(BM220="",BN220=""),"",BM220+BN220)</f>
        <v/>
      </c>
      <c r="BP220" s="25" t="n"/>
      <c r="BQ220" s="25">
        <f>IF(OR(BP220="",BO220=""),"",BP220-BO220)</f>
        <v/>
      </c>
      <c r="BR220" s="26">
        <f>IF(OR(BP220="",BP220=0,BQ220=""),"",BQ220/BP220)</f>
        <v/>
      </c>
      <c r="BS220" s="24" t="n"/>
      <c r="BT220" s="29" t="n"/>
      <c r="BU220" s="29" t="n"/>
      <c r="BV220" s="23" t="n"/>
      <c r="BW220" s="23" t="n"/>
      <c r="BX220" s="29">
        <f>IF(OR(BT220="",BU220=""),"",BT220-BU220)</f>
        <v/>
      </c>
      <c r="BY220" s="23" t="n"/>
      <c r="BZ220" s="24" t="n"/>
      <c r="CA220" s="23" t="n"/>
      <c r="CB220" s="23" t="n"/>
    </row>
    <row r="221">
      <c r="A221" s="16">
        <f>IF(C221="","","AYN-"&amp;IFERROR(VLOOKUP(E221,CATEGORY_PREFIX_TABLE,2,FALSE),"OTH")&amp;"-"&amp;TEXT(ROW()-2,"0000"))</f>
        <v/>
      </c>
      <c r="B221" s="17" t="n"/>
      <c r="C221" s="16" t="n"/>
      <c r="D221" s="16" t="n"/>
      <c r="E221" s="16" t="n"/>
      <c r="F221" s="16" t="n"/>
      <c r="G221" s="16" t="n"/>
      <c r="H221" s="16" t="n"/>
      <c r="I221" s="16" t="n"/>
      <c r="J221" s="16" t="n"/>
      <c r="K221" s="18">
        <f>IF(I221="","",IF(J221="BDT",I221,IF(J221="USD",I221*USD_BDT,IF(J221="RMB",I221*RMB_BDT,""))))</f>
        <v/>
      </c>
      <c r="L221" s="18" t="n"/>
      <c r="M221" s="19" t="n"/>
      <c r="N221" s="18" t="n"/>
      <c r="O221" s="18">
        <f>IF(K221="","",K221+IFERROR(L221,0)+(K221*IF(M221="",CUSTOMS_PCT,M221))+IF(N221="",MISC_FEE,N221))</f>
        <v/>
      </c>
      <c r="P221" s="18">
        <f>IF(O221="","",ROUND(O221*(1+MARKUP_PCT),-1)-1)</f>
        <v/>
      </c>
      <c r="Q221" s="18">
        <f>IF(P221="","",P221-O221)</f>
        <v/>
      </c>
      <c r="R221" s="19">
        <f>IF(OR(P221="",P221=0),"",Q221/P221)</f>
        <v/>
      </c>
      <c r="S221" s="16" t="n"/>
      <c r="T221" s="16" t="n"/>
      <c r="U221" s="16" t="n"/>
      <c r="V221" s="16" t="n"/>
      <c r="W221" s="16" t="n"/>
      <c r="X221" s="16" t="n"/>
      <c r="Y221" s="16" t="n"/>
      <c r="Z221" s="16" t="n"/>
      <c r="AA221" s="16" t="n"/>
      <c r="AB221" s="16" t="n"/>
      <c r="AC221" s="20">
        <f>IF(COUNT(S221:AB221)&lt;10,"",(S221*W_FEMININE+T221*W_TREND+U221*W_AESTHETIC+V221*W_STYLE+W221*W_LIGHT+X221*W_REELS+Y221*W_GIFT+Z221*W_PRICEFIT+AA221*W_DEMAND+AB221*W_QUALITY)/5*100)</f>
        <v/>
      </c>
      <c r="AD221" s="16">
        <f>IF(P221="","",IF(P221&gt;HARD_REJECT_PRICE,"Reject",IF(P221&gt;MAX_PRICE,"Price Review",IF(AC221="","",IF(AND(AC221&gt;=BUY_THRESHOLD,OR(AB221&lt;=2,U221&lt;=2)),"Maybe",IF(AC221&gt;=BUY_THRESHOLD,"Buy",IF(AC221&gt;=MAYBE_THRESHOLD,"Maybe","Reject")))))))</f>
        <v/>
      </c>
      <c r="AE221" s="16" t="n"/>
      <c r="AF221" s="16" t="n"/>
      <c r="AG221" s="16" t="n"/>
      <c r="AH221" s="16" t="n"/>
      <c r="AI221" s="17" t="n"/>
      <c r="AJ221">
        <f>IF(AC221="",-9999-ROW()*0.0000001,AC221-ROW()*0.0000001)</f>
        <v/>
      </c>
      <c r="AK221">
        <f>IF(OR(AC221="",P221="",P221&gt;MAX_PRICE),-9999-ROW()*0.0000001,AC221-ROW()*0.0000001)</f>
        <v/>
      </c>
      <c r="AL221">
        <f>IF(AC221="",-9999-ROW()*0.0000001,X221*1000+AC221-ROW()*0.0000001)</f>
        <v/>
      </c>
      <c r="AM221">
        <f>IF(AC221="",-9999-ROW()*0.0000001,Y221*1000+AC221-ROW()*0.0000001)</f>
        <v/>
      </c>
      <c r="AN221">
        <f>IF(AND(OR(AD221="Maybe",AD221="Price Review"),AG221&lt;&gt;"Approved",AG221&lt;&gt;"Rejected"),IF(AC221="",0,AC221)-ROW()*0.0000001,-9999-ROW()*0.0000001)</f>
        <v/>
      </c>
      <c r="AO221" s="21" t="n"/>
      <c r="AP221" s="21" t="n"/>
      <c r="AQ221" s="22" t="n"/>
      <c r="AR221" s="22" t="n"/>
      <c r="AS221" s="16" t="n"/>
      <c r="AT221" s="22" t="n"/>
      <c r="AU221" s="22" t="n"/>
      <c r="AV221" s="22" t="n"/>
      <c r="AW221" s="18">
        <f>IF(OR(O221="",AV221=""),"",O221*AV221)</f>
        <v/>
      </c>
      <c r="AX221" s="16" t="n"/>
      <c r="AY221" s="16" t="n"/>
      <c r="AZ221" s="16" t="n"/>
      <c r="BA221" s="16" t="n"/>
      <c r="BB221" s="16" t="n"/>
      <c r="BC221" s="18" t="n"/>
      <c r="BD221" s="16" t="n"/>
      <c r="BE221" s="16">
        <f>IF(C221="","",IF(AND(ISNUMBER(P221),P221&gt;MAX_PRICE),"Price too high",IF(AND(ISNUMBER(AB221),AB221&lt;=2),"Quality risk",IF(AND(ISNUMBER(U221),U221&lt;=2),"Aesthetic mismatch",IF(AY221="High","Too fragile",IF(AND(ISNUMBER(R221),R221&lt;LOW_PROFIT_PCT),"Low profit",IF(AND(ISNUMBER(AT221),AT221&gt;MOQ_WARNING),"MOQ too high",IF(OR(AD221="Maybe",AD221="Price Review"),"Needs partner review",IF(AD221="Buy","Good candidate","")))))))))</f>
        <v/>
      </c>
      <c r="BF221" s="16" t="n"/>
      <c r="BG221" s="16" t="n"/>
      <c r="BH221" s="16" t="n"/>
      <c r="BI221" s="16" t="n"/>
      <c r="BJ221" s="16" t="n"/>
      <c r="BK221" s="16" t="n"/>
      <c r="BL221" s="16">
        <f>IF(C221="","",IF(AND(BG221="Yes",BH221="Yes",BI221="Yes",BJ221="Yes",BK221="Yes"),"Yes","No"))</f>
        <v/>
      </c>
      <c r="BM221" s="18" t="n"/>
      <c r="BN221" s="18" t="n"/>
      <c r="BO221" s="18">
        <f>IF(OR(BM221="",BN221=""),"",BM221+BN221)</f>
        <v/>
      </c>
      <c r="BP221" s="18" t="n"/>
      <c r="BQ221" s="18">
        <f>IF(OR(BP221="",BO221=""),"",BP221-BO221)</f>
        <v/>
      </c>
      <c r="BR221" s="19">
        <f>IF(OR(BP221="",BP221=0,BQ221=""),"",BQ221/BP221)</f>
        <v/>
      </c>
      <c r="BS221" s="17" t="n"/>
      <c r="BT221" s="22" t="n"/>
      <c r="BU221" s="22" t="n"/>
      <c r="BV221" s="16" t="n"/>
      <c r="BW221" s="16" t="n"/>
      <c r="BX221" s="22">
        <f>IF(OR(BT221="",BU221=""),"",BT221-BU221)</f>
        <v/>
      </c>
      <c r="BY221" s="16" t="n"/>
      <c r="BZ221" s="17" t="n"/>
      <c r="CA221" s="16" t="n"/>
      <c r="CB221" s="16" t="n"/>
    </row>
    <row r="222">
      <c r="A222" s="23">
        <f>IF(C222="","","AYN-"&amp;IFERROR(VLOOKUP(E222,CATEGORY_PREFIX_TABLE,2,FALSE),"OTH")&amp;"-"&amp;TEXT(ROW()-2,"0000"))</f>
        <v/>
      </c>
      <c r="B222" s="24" t="n"/>
      <c r="C222" s="23" t="n"/>
      <c r="D222" s="23" t="n"/>
      <c r="E222" s="23" t="n"/>
      <c r="F222" s="23" t="n"/>
      <c r="G222" s="23" t="n"/>
      <c r="H222" s="23" t="n"/>
      <c r="I222" s="23" t="n"/>
      <c r="J222" s="23" t="n"/>
      <c r="K222" s="25">
        <f>IF(I222="","",IF(J222="BDT",I222,IF(J222="USD",I222*USD_BDT,IF(J222="RMB",I222*RMB_BDT,""))))</f>
        <v/>
      </c>
      <c r="L222" s="25" t="n"/>
      <c r="M222" s="26" t="n"/>
      <c r="N222" s="25" t="n"/>
      <c r="O222" s="25">
        <f>IF(K222="","",K222+IFERROR(L222,0)+(K222*IF(M222="",CUSTOMS_PCT,M222))+IF(N222="",MISC_FEE,N222))</f>
        <v/>
      </c>
      <c r="P222" s="25">
        <f>IF(O222="","",ROUND(O222*(1+MARKUP_PCT),-1)-1)</f>
        <v/>
      </c>
      <c r="Q222" s="25">
        <f>IF(P222="","",P222-O222)</f>
        <v/>
      </c>
      <c r="R222" s="26">
        <f>IF(OR(P222="",P222=0),"",Q222/P222)</f>
        <v/>
      </c>
      <c r="S222" s="23" t="n"/>
      <c r="T222" s="23" t="n"/>
      <c r="U222" s="23" t="n"/>
      <c r="V222" s="23" t="n"/>
      <c r="W222" s="23" t="n"/>
      <c r="X222" s="23" t="n"/>
      <c r="Y222" s="23" t="n"/>
      <c r="Z222" s="23" t="n"/>
      <c r="AA222" s="23" t="n"/>
      <c r="AB222" s="23" t="n"/>
      <c r="AC222" s="27">
        <f>IF(COUNT(S222:AB222)&lt;10,"",(S222*W_FEMININE+T222*W_TREND+U222*W_AESTHETIC+V222*W_STYLE+W222*W_LIGHT+X222*W_REELS+Y222*W_GIFT+Z222*W_PRICEFIT+AA222*W_DEMAND+AB222*W_QUALITY)/5*100)</f>
        <v/>
      </c>
      <c r="AD222" s="23">
        <f>IF(P222="","",IF(P222&gt;HARD_REJECT_PRICE,"Reject",IF(P222&gt;MAX_PRICE,"Price Review",IF(AC222="","",IF(AND(AC222&gt;=BUY_THRESHOLD,OR(AB222&lt;=2,U222&lt;=2)),"Maybe",IF(AC222&gt;=BUY_THRESHOLD,"Buy",IF(AC222&gt;=MAYBE_THRESHOLD,"Maybe","Reject")))))))</f>
        <v/>
      </c>
      <c r="AE222" s="23" t="n"/>
      <c r="AF222" s="23" t="n"/>
      <c r="AG222" s="23" t="n"/>
      <c r="AH222" s="23" t="n"/>
      <c r="AI222" s="24" t="n"/>
      <c r="AJ222">
        <f>IF(AC222="",-9999-ROW()*0.0000001,AC222-ROW()*0.0000001)</f>
        <v/>
      </c>
      <c r="AK222">
        <f>IF(OR(AC222="",P222="",P222&gt;MAX_PRICE),-9999-ROW()*0.0000001,AC222-ROW()*0.0000001)</f>
        <v/>
      </c>
      <c r="AL222">
        <f>IF(AC222="",-9999-ROW()*0.0000001,X222*1000+AC222-ROW()*0.0000001)</f>
        <v/>
      </c>
      <c r="AM222">
        <f>IF(AC222="",-9999-ROW()*0.0000001,Y222*1000+AC222-ROW()*0.0000001)</f>
        <v/>
      </c>
      <c r="AN222">
        <f>IF(AND(OR(AD222="Maybe",AD222="Price Review"),AG222&lt;&gt;"Approved",AG222&lt;&gt;"Rejected"),IF(AC222="",0,AC222)-ROW()*0.0000001,-9999-ROW()*0.0000001)</f>
        <v/>
      </c>
      <c r="AO222" s="28" t="n"/>
      <c r="AP222" s="28" t="n"/>
      <c r="AQ222" s="29" t="n"/>
      <c r="AR222" s="29" t="n"/>
      <c r="AS222" s="23" t="n"/>
      <c r="AT222" s="29" t="n"/>
      <c r="AU222" s="29" t="n"/>
      <c r="AV222" s="29" t="n"/>
      <c r="AW222" s="25">
        <f>IF(OR(O222="",AV222=""),"",O222*AV222)</f>
        <v/>
      </c>
      <c r="AX222" s="23" t="n"/>
      <c r="AY222" s="23" t="n"/>
      <c r="AZ222" s="23" t="n"/>
      <c r="BA222" s="23" t="n"/>
      <c r="BB222" s="23" t="n"/>
      <c r="BC222" s="25" t="n"/>
      <c r="BD222" s="23" t="n"/>
      <c r="BE222" s="23">
        <f>IF(C222="","",IF(AND(ISNUMBER(P222),P222&gt;MAX_PRICE),"Price too high",IF(AND(ISNUMBER(AB222),AB222&lt;=2),"Quality risk",IF(AND(ISNUMBER(U222),U222&lt;=2),"Aesthetic mismatch",IF(AY222="High","Too fragile",IF(AND(ISNUMBER(R222),R222&lt;LOW_PROFIT_PCT),"Low profit",IF(AND(ISNUMBER(AT222),AT222&gt;MOQ_WARNING),"MOQ too high",IF(OR(AD222="Maybe",AD222="Price Review"),"Needs partner review",IF(AD222="Buy","Good candidate","")))))))))</f>
        <v/>
      </c>
      <c r="BF222" s="23" t="n"/>
      <c r="BG222" s="23" t="n"/>
      <c r="BH222" s="23" t="n"/>
      <c r="BI222" s="23" t="n"/>
      <c r="BJ222" s="23" t="n"/>
      <c r="BK222" s="23" t="n"/>
      <c r="BL222" s="23">
        <f>IF(C222="","",IF(AND(BG222="Yes",BH222="Yes",BI222="Yes",BJ222="Yes",BK222="Yes"),"Yes","No"))</f>
        <v/>
      </c>
      <c r="BM222" s="25" t="n"/>
      <c r="BN222" s="25" t="n"/>
      <c r="BO222" s="25">
        <f>IF(OR(BM222="",BN222=""),"",BM222+BN222)</f>
        <v/>
      </c>
      <c r="BP222" s="25" t="n"/>
      <c r="BQ222" s="25">
        <f>IF(OR(BP222="",BO222=""),"",BP222-BO222)</f>
        <v/>
      </c>
      <c r="BR222" s="26">
        <f>IF(OR(BP222="",BP222=0,BQ222=""),"",BQ222/BP222)</f>
        <v/>
      </c>
      <c r="BS222" s="24" t="n"/>
      <c r="BT222" s="29" t="n"/>
      <c r="BU222" s="29" t="n"/>
      <c r="BV222" s="23" t="n"/>
      <c r="BW222" s="23" t="n"/>
      <c r="BX222" s="29">
        <f>IF(OR(BT222="",BU222=""),"",BT222-BU222)</f>
        <v/>
      </c>
      <c r="BY222" s="23" t="n"/>
      <c r="BZ222" s="24" t="n"/>
      <c r="CA222" s="23" t="n"/>
      <c r="CB222" s="23" t="n"/>
    </row>
    <row r="223">
      <c r="A223" s="16">
        <f>IF(C223="","","AYN-"&amp;IFERROR(VLOOKUP(E223,CATEGORY_PREFIX_TABLE,2,FALSE),"OTH")&amp;"-"&amp;TEXT(ROW()-2,"0000"))</f>
        <v/>
      </c>
      <c r="B223" s="17" t="n"/>
      <c r="C223" s="16" t="n"/>
      <c r="D223" s="16" t="n"/>
      <c r="E223" s="16" t="n"/>
      <c r="F223" s="16" t="n"/>
      <c r="G223" s="16" t="n"/>
      <c r="H223" s="16" t="n"/>
      <c r="I223" s="16" t="n"/>
      <c r="J223" s="16" t="n"/>
      <c r="K223" s="18">
        <f>IF(I223="","",IF(J223="BDT",I223,IF(J223="USD",I223*USD_BDT,IF(J223="RMB",I223*RMB_BDT,""))))</f>
        <v/>
      </c>
      <c r="L223" s="18" t="n"/>
      <c r="M223" s="19" t="n"/>
      <c r="N223" s="18" t="n"/>
      <c r="O223" s="18">
        <f>IF(K223="","",K223+IFERROR(L223,0)+(K223*IF(M223="",CUSTOMS_PCT,M223))+IF(N223="",MISC_FEE,N223))</f>
        <v/>
      </c>
      <c r="P223" s="18">
        <f>IF(O223="","",ROUND(O223*(1+MARKUP_PCT),-1)-1)</f>
        <v/>
      </c>
      <c r="Q223" s="18">
        <f>IF(P223="","",P223-O223)</f>
        <v/>
      </c>
      <c r="R223" s="19">
        <f>IF(OR(P223="",P223=0),"",Q223/P223)</f>
        <v/>
      </c>
      <c r="S223" s="16" t="n"/>
      <c r="T223" s="16" t="n"/>
      <c r="U223" s="16" t="n"/>
      <c r="V223" s="16" t="n"/>
      <c r="W223" s="16" t="n"/>
      <c r="X223" s="16" t="n"/>
      <c r="Y223" s="16" t="n"/>
      <c r="Z223" s="16" t="n"/>
      <c r="AA223" s="16" t="n"/>
      <c r="AB223" s="16" t="n"/>
      <c r="AC223" s="20">
        <f>IF(COUNT(S223:AB223)&lt;10,"",(S223*W_FEMININE+T223*W_TREND+U223*W_AESTHETIC+V223*W_STYLE+W223*W_LIGHT+X223*W_REELS+Y223*W_GIFT+Z223*W_PRICEFIT+AA223*W_DEMAND+AB223*W_QUALITY)/5*100)</f>
        <v/>
      </c>
      <c r="AD223" s="16">
        <f>IF(P223="","",IF(P223&gt;HARD_REJECT_PRICE,"Reject",IF(P223&gt;MAX_PRICE,"Price Review",IF(AC223="","",IF(AND(AC223&gt;=BUY_THRESHOLD,OR(AB223&lt;=2,U223&lt;=2)),"Maybe",IF(AC223&gt;=BUY_THRESHOLD,"Buy",IF(AC223&gt;=MAYBE_THRESHOLD,"Maybe","Reject")))))))</f>
        <v/>
      </c>
      <c r="AE223" s="16" t="n"/>
      <c r="AF223" s="16" t="n"/>
      <c r="AG223" s="16" t="n"/>
      <c r="AH223" s="16" t="n"/>
      <c r="AI223" s="17" t="n"/>
      <c r="AJ223">
        <f>IF(AC223="",-9999-ROW()*0.0000001,AC223-ROW()*0.0000001)</f>
        <v/>
      </c>
      <c r="AK223">
        <f>IF(OR(AC223="",P223="",P223&gt;MAX_PRICE),-9999-ROW()*0.0000001,AC223-ROW()*0.0000001)</f>
        <v/>
      </c>
      <c r="AL223">
        <f>IF(AC223="",-9999-ROW()*0.0000001,X223*1000+AC223-ROW()*0.0000001)</f>
        <v/>
      </c>
      <c r="AM223">
        <f>IF(AC223="",-9999-ROW()*0.0000001,Y223*1000+AC223-ROW()*0.0000001)</f>
        <v/>
      </c>
      <c r="AN223">
        <f>IF(AND(OR(AD223="Maybe",AD223="Price Review"),AG223&lt;&gt;"Approved",AG223&lt;&gt;"Rejected"),IF(AC223="",0,AC223)-ROW()*0.0000001,-9999-ROW()*0.0000001)</f>
        <v/>
      </c>
      <c r="AO223" s="21" t="n"/>
      <c r="AP223" s="21" t="n"/>
      <c r="AQ223" s="22" t="n"/>
      <c r="AR223" s="22" t="n"/>
      <c r="AS223" s="16" t="n"/>
      <c r="AT223" s="22" t="n"/>
      <c r="AU223" s="22" t="n"/>
      <c r="AV223" s="22" t="n"/>
      <c r="AW223" s="18">
        <f>IF(OR(O223="",AV223=""),"",O223*AV223)</f>
        <v/>
      </c>
      <c r="AX223" s="16" t="n"/>
      <c r="AY223" s="16" t="n"/>
      <c r="AZ223" s="16" t="n"/>
      <c r="BA223" s="16" t="n"/>
      <c r="BB223" s="16" t="n"/>
      <c r="BC223" s="18" t="n"/>
      <c r="BD223" s="16" t="n"/>
      <c r="BE223" s="16">
        <f>IF(C223="","",IF(AND(ISNUMBER(P223),P223&gt;MAX_PRICE),"Price too high",IF(AND(ISNUMBER(AB223),AB223&lt;=2),"Quality risk",IF(AND(ISNUMBER(U223),U223&lt;=2),"Aesthetic mismatch",IF(AY223="High","Too fragile",IF(AND(ISNUMBER(R223),R223&lt;LOW_PROFIT_PCT),"Low profit",IF(AND(ISNUMBER(AT223),AT223&gt;MOQ_WARNING),"MOQ too high",IF(OR(AD223="Maybe",AD223="Price Review"),"Needs partner review",IF(AD223="Buy","Good candidate","")))))))))</f>
        <v/>
      </c>
      <c r="BF223" s="16" t="n"/>
      <c r="BG223" s="16" t="n"/>
      <c r="BH223" s="16" t="n"/>
      <c r="BI223" s="16" t="n"/>
      <c r="BJ223" s="16" t="n"/>
      <c r="BK223" s="16" t="n"/>
      <c r="BL223" s="16">
        <f>IF(C223="","",IF(AND(BG223="Yes",BH223="Yes",BI223="Yes",BJ223="Yes",BK223="Yes"),"Yes","No"))</f>
        <v/>
      </c>
      <c r="BM223" s="18" t="n"/>
      <c r="BN223" s="18" t="n"/>
      <c r="BO223" s="18">
        <f>IF(OR(BM223="",BN223=""),"",BM223+BN223)</f>
        <v/>
      </c>
      <c r="BP223" s="18" t="n"/>
      <c r="BQ223" s="18">
        <f>IF(OR(BP223="",BO223=""),"",BP223-BO223)</f>
        <v/>
      </c>
      <c r="BR223" s="19">
        <f>IF(OR(BP223="",BP223=0,BQ223=""),"",BQ223/BP223)</f>
        <v/>
      </c>
      <c r="BS223" s="17" t="n"/>
      <c r="BT223" s="22" t="n"/>
      <c r="BU223" s="22" t="n"/>
      <c r="BV223" s="16" t="n"/>
      <c r="BW223" s="16" t="n"/>
      <c r="BX223" s="22">
        <f>IF(OR(BT223="",BU223=""),"",BT223-BU223)</f>
        <v/>
      </c>
      <c r="BY223" s="16" t="n"/>
      <c r="BZ223" s="17" t="n"/>
      <c r="CA223" s="16" t="n"/>
      <c r="CB223" s="16" t="n"/>
    </row>
    <row r="224">
      <c r="A224" s="23">
        <f>IF(C224="","","AYN-"&amp;IFERROR(VLOOKUP(E224,CATEGORY_PREFIX_TABLE,2,FALSE),"OTH")&amp;"-"&amp;TEXT(ROW()-2,"0000"))</f>
        <v/>
      </c>
      <c r="B224" s="24" t="n"/>
      <c r="C224" s="23" t="n"/>
      <c r="D224" s="23" t="n"/>
      <c r="E224" s="23" t="n"/>
      <c r="F224" s="23" t="n"/>
      <c r="G224" s="23" t="n"/>
      <c r="H224" s="23" t="n"/>
      <c r="I224" s="23" t="n"/>
      <c r="J224" s="23" t="n"/>
      <c r="K224" s="25">
        <f>IF(I224="","",IF(J224="BDT",I224,IF(J224="USD",I224*USD_BDT,IF(J224="RMB",I224*RMB_BDT,""))))</f>
        <v/>
      </c>
      <c r="L224" s="25" t="n"/>
      <c r="M224" s="26" t="n"/>
      <c r="N224" s="25" t="n"/>
      <c r="O224" s="25">
        <f>IF(K224="","",K224+IFERROR(L224,0)+(K224*IF(M224="",CUSTOMS_PCT,M224))+IF(N224="",MISC_FEE,N224))</f>
        <v/>
      </c>
      <c r="P224" s="25">
        <f>IF(O224="","",ROUND(O224*(1+MARKUP_PCT),-1)-1)</f>
        <v/>
      </c>
      <c r="Q224" s="25">
        <f>IF(P224="","",P224-O224)</f>
        <v/>
      </c>
      <c r="R224" s="26">
        <f>IF(OR(P224="",P224=0),"",Q224/P224)</f>
        <v/>
      </c>
      <c r="S224" s="23" t="n"/>
      <c r="T224" s="23" t="n"/>
      <c r="U224" s="23" t="n"/>
      <c r="V224" s="23" t="n"/>
      <c r="W224" s="23" t="n"/>
      <c r="X224" s="23" t="n"/>
      <c r="Y224" s="23" t="n"/>
      <c r="Z224" s="23" t="n"/>
      <c r="AA224" s="23" t="n"/>
      <c r="AB224" s="23" t="n"/>
      <c r="AC224" s="27">
        <f>IF(COUNT(S224:AB224)&lt;10,"",(S224*W_FEMININE+T224*W_TREND+U224*W_AESTHETIC+V224*W_STYLE+W224*W_LIGHT+X224*W_REELS+Y224*W_GIFT+Z224*W_PRICEFIT+AA224*W_DEMAND+AB224*W_QUALITY)/5*100)</f>
        <v/>
      </c>
      <c r="AD224" s="23">
        <f>IF(P224="","",IF(P224&gt;HARD_REJECT_PRICE,"Reject",IF(P224&gt;MAX_PRICE,"Price Review",IF(AC224="","",IF(AND(AC224&gt;=BUY_THRESHOLD,OR(AB224&lt;=2,U224&lt;=2)),"Maybe",IF(AC224&gt;=BUY_THRESHOLD,"Buy",IF(AC224&gt;=MAYBE_THRESHOLD,"Maybe","Reject")))))))</f>
        <v/>
      </c>
      <c r="AE224" s="23" t="n"/>
      <c r="AF224" s="23" t="n"/>
      <c r="AG224" s="23" t="n"/>
      <c r="AH224" s="23" t="n"/>
      <c r="AI224" s="24" t="n"/>
      <c r="AJ224">
        <f>IF(AC224="",-9999-ROW()*0.0000001,AC224-ROW()*0.0000001)</f>
        <v/>
      </c>
      <c r="AK224">
        <f>IF(OR(AC224="",P224="",P224&gt;MAX_PRICE),-9999-ROW()*0.0000001,AC224-ROW()*0.0000001)</f>
        <v/>
      </c>
      <c r="AL224">
        <f>IF(AC224="",-9999-ROW()*0.0000001,X224*1000+AC224-ROW()*0.0000001)</f>
        <v/>
      </c>
      <c r="AM224">
        <f>IF(AC224="",-9999-ROW()*0.0000001,Y224*1000+AC224-ROW()*0.0000001)</f>
        <v/>
      </c>
      <c r="AN224">
        <f>IF(AND(OR(AD224="Maybe",AD224="Price Review"),AG224&lt;&gt;"Approved",AG224&lt;&gt;"Rejected"),IF(AC224="",0,AC224)-ROW()*0.0000001,-9999-ROW()*0.0000001)</f>
        <v/>
      </c>
      <c r="AO224" s="28" t="n"/>
      <c r="AP224" s="28" t="n"/>
      <c r="AQ224" s="29" t="n"/>
      <c r="AR224" s="29" t="n"/>
      <c r="AS224" s="23" t="n"/>
      <c r="AT224" s="29" t="n"/>
      <c r="AU224" s="29" t="n"/>
      <c r="AV224" s="29" t="n"/>
      <c r="AW224" s="25">
        <f>IF(OR(O224="",AV224=""),"",O224*AV224)</f>
        <v/>
      </c>
      <c r="AX224" s="23" t="n"/>
      <c r="AY224" s="23" t="n"/>
      <c r="AZ224" s="23" t="n"/>
      <c r="BA224" s="23" t="n"/>
      <c r="BB224" s="23" t="n"/>
      <c r="BC224" s="25" t="n"/>
      <c r="BD224" s="23" t="n"/>
      <c r="BE224" s="23">
        <f>IF(C224="","",IF(AND(ISNUMBER(P224),P224&gt;MAX_PRICE),"Price too high",IF(AND(ISNUMBER(AB224),AB224&lt;=2),"Quality risk",IF(AND(ISNUMBER(U224),U224&lt;=2),"Aesthetic mismatch",IF(AY224="High","Too fragile",IF(AND(ISNUMBER(R224),R224&lt;LOW_PROFIT_PCT),"Low profit",IF(AND(ISNUMBER(AT224),AT224&gt;MOQ_WARNING),"MOQ too high",IF(OR(AD224="Maybe",AD224="Price Review"),"Needs partner review",IF(AD224="Buy","Good candidate","")))))))))</f>
        <v/>
      </c>
      <c r="BF224" s="23" t="n"/>
      <c r="BG224" s="23" t="n"/>
      <c r="BH224" s="23" t="n"/>
      <c r="BI224" s="23" t="n"/>
      <c r="BJ224" s="23" t="n"/>
      <c r="BK224" s="23" t="n"/>
      <c r="BL224" s="23">
        <f>IF(C224="","",IF(AND(BG224="Yes",BH224="Yes",BI224="Yes",BJ224="Yes",BK224="Yes"),"Yes","No"))</f>
        <v/>
      </c>
      <c r="BM224" s="25" t="n"/>
      <c r="BN224" s="25" t="n"/>
      <c r="BO224" s="25">
        <f>IF(OR(BM224="",BN224=""),"",BM224+BN224)</f>
        <v/>
      </c>
      <c r="BP224" s="25" t="n"/>
      <c r="BQ224" s="25">
        <f>IF(OR(BP224="",BO224=""),"",BP224-BO224)</f>
        <v/>
      </c>
      <c r="BR224" s="26">
        <f>IF(OR(BP224="",BP224=0,BQ224=""),"",BQ224/BP224)</f>
        <v/>
      </c>
      <c r="BS224" s="24" t="n"/>
      <c r="BT224" s="29" t="n"/>
      <c r="BU224" s="29" t="n"/>
      <c r="BV224" s="23" t="n"/>
      <c r="BW224" s="23" t="n"/>
      <c r="BX224" s="29">
        <f>IF(OR(BT224="",BU224=""),"",BT224-BU224)</f>
        <v/>
      </c>
      <c r="BY224" s="23" t="n"/>
      <c r="BZ224" s="24" t="n"/>
      <c r="CA224" s="23" t="n"/>
      <c r="CB224" s="23" t="n"/>
    </row>
    <row r="225">
      <c r="A225" s="16">
        <f>IF(C225="","","AYN-"&amp;IFERROR(VLOOKUP(E225,CATEGORY_PREFIX_TABLE,2,FALSE),"OTH")&amp;"-"&amp;TEXT(ROW()-2,"0000"))</f>
        <v/>
      </c>
      <c r="B225" s="17" t="n"/>
      <c r="C225" s="16" t="n"/>
      <c r="D225" s="16" t="n"/>
      <c r="E225" s="16" t="n"/>
      <c r="F225" s="16" t="n"/>
      <c r="G225" s="16" t="n"/>
      <c r="H225" s="16" t="n"/>
      <c r="I225" s="16" t="n"/>
      <c r="J225" s="16" t="n"/>
      <c r="K225" s="18">
        <f>IF(I225="","",IF(J225="BDT",I225,IF(J225="USD",I225*USD_BDT,IF(J225="RMB",I225*RMB_BDT,""))))</f>
        <v/>
      </c>
      <c r="L225" s="18" t="n"/>
      <c r="M225" s="19" t="n"/>
      <c r="N225" s="18" t="n"/>
      <c r="O225" s="18">
        <f>IF(K225="","",K225+IFERROR(L225,0)+(K225*IF(M225="",CUSTOMS_PCT,M225))+IF(N225="",MISC_FEE,N225))</f>
        <v/>
      </c>
      <c r="P225" s="18">
        <f>IF(O225="","",ROUND(O225*(1+MARKUP_PCT),-1)-1)</f>
        <v/>
      </c>
      <c r="Q225" s="18">
        <f>IF(P225="","",P225-O225)</f>
        <v/>
      </c>
      <c r="R225" s="19">
        <f>IF(OR(P225="",P225=0),"",Q225/P225)</f>
        <v/>
      </c>
      <c r="S225" s="16" t="n"/>
      <c r="T225" s="16" t="n"/>
      <c r="U225" s="16" t="n"/>
      <c r="V225" s="16" t="n"/>
      <c r="W225" s="16" t="n"/>
      <c r="X225" s="16" t="n"/>
      <c r="Y225" s="16" t="n"/>
      <c r="Z225" s="16" t="n"/>
      <c r="AA225" s="16" t="n"/>
      <c r="AB225" s="16" t="n"/>
      <c r="AC225" s="20">
        <f>IF(COUNT(S225:AB225)&lt;10,"",(S225*W_FEMININE+T225*W_TREND+U225*W_AESTHETIC+V225*W_STYLE+W225*W_LIGHT+X225*W_REELS+Y225*W_GIFT+Z225*W_PRICEFIT+AA225*W_DEMAND+AB225*W_QUALITY)/5*100)</f>
        <v/>
      </c>
      <c r="AD225" s="16">
        <f>IF(P225="","",IF(P225&gt;HARD_REJECT_PRICE,"Reject",IF(P225&gt;MAX_PRICE,"Price Review",IF(AC225="","",IF(AND(AC225&gt;=BUY_THRESHOLD,OR(AB225&lt;=2,U225&lt;=2)),"Maybe",IF(AC225&gt;=BUY_THRESHOLD,"Buy",IF(AC225&gt;=MAYBE_THRESHOLD,"Maybe","Reject")))))))</f>
        <v/>
      </c>
      <c r="AE225" s="16" t="n"/>
      <c r="AF225" s="16" t="n"/>
      <c r="AG225" s="16" t="n"/>
      <c r="AH225" s="16" t="n"/>
      <c r="AI225" s="17" t="n"/>
      <c r="AJ225">
        <f>IF(AC225="",-9999-ROW()*0.0000001,AC225-ROW()*0.0000001)</f>
        <v/>
      </c>
      <c r="AK225">
        <f>IF(OR(AC225="",P225="",P225&gt;MAX_PRICE),-9999-ROW()*0.0000001,AC225-ROW()*0.0000001)</f>
        <v/>
      </c>
      <c r="AL225">
        <f>IF(AC225="",-9999-ROW()*0.0000001,X225*1000+AC225-ROW()*0.0000001)</f>
        <v/>
      </c>
      <c r="AM225">
        <f>IF(AC225="",-9999-ROW()*0.0000001,Y225*1000+AC225-ROW()*0.0000001)</f>
        <v/>
      </c>
      <c r="AN225">
        <f>IF(AND(OR(AD225="Maybe",AD225="Price Review"),AG225&lt;&gt;"Approved",AG225&lt;&gt;"Rejected"),IF(AC225="",0,AC225)-ROW()*0.0000001,-9999-ROW()*0.0000001)</f>
        <v/>
      </c>
      <c r="AO225" s="21" t="n"/>
      <c r="AP225" s="21" t="n"/>
      <c r="AQ225" s="22" t="n"/>
      <c r="AR225" s="22" t="n"/>
      <c r="AS225" s="16" t="n"/>
      <c r="AT225" s="22" t="n"/>
      <c r="AU225" s="22" t="n"/>
      <c r="AV225" s="22" t="n"/>
      <c r="AW225" s="18">
        <f>IF(OR(O225="",AV225=""),"",O225*AV225)</f>
        <v/>
      </c>
      <c r="AX225" s="16" t="n"/>
      <c r="AY225" s="16" t="n"/>
      <c r="AZ225" s="16" t="n"/>
      <c r="BA225" s="16" t="n"/>
      <c r="BB225" s="16" t="n"/>
      <c r="BC225" s="18" t="n"/>
      <c r="BD225" s="16" t="n"/>
      <c r="BE225" s="16">
        <f>IF(C225="","",IF(AND(ISNUMBER(P225),P225&gt;MAX_PRICE),"Price too high",IF(AND(ISNUMBER(AB225),AB225&lt;=2),"Quality risk",IF(AND(ISNUMBER(U225),U225&lt;=2),"Aesthetic mismatch",IF(AY225="High","Too fragile",IF(AND(ISNUMBER(R225),R225&lt;LOW_PROFIT_PCT),"Low profit",IF(AND(ISNUMBER(AT225),AT225&gt;MOQ_WARNING),"MOQ too high",IF(OR(AD225="Maybe",AD225="Price Review"),"Needs partner review",IF(AD225="Buy","Good candidate","")))))))))</f>
        <v/>
      </c>
      <c r="BF225" s="16" t="n"/>
      <c r="BG225" s="16" t="n"/>
      <c r="BH225" s="16" t="n"/>
      <c r="BI225" s="16" t="n"/>
      <c r="BJ225" s="16" t="n"/>
      <c r="BK225" s="16" t="n"/>
      <c r="BL225" s="16">
        <f>IF(C225="","",IF(AND(BG225="Yes",BH225="Yes",BI225="Yes",BJ225="Yes",BK225="Yes"),"Yes","No"))</f>
        <v/>
      </c>
      <c r="BM225" s="18" t="n"/>
      <c r="BN225" s="18" t="n"/>
      <c r="BO225" s="18">
        <f>IF(OR(BM225="",BN225=""),"",BM225+BN225)</f>
        <v/>
      </c>
      <c r="BP225" s="18" t="n"/>
      <c r="BQ225" s="18">
        <f>IF(OR(BP225="",BO225=""),"",BP225-BO225)</f>
        <v/>
      </c>
      <c r="BR225" s="19">
        <f>IF(OR(BP225="",BP225=0,BQ225=""),"",BQ225/BP225)</f>
        <v/>
      </c>
      <c r="BS225" s="17" t="n"/>
      <c r="BT225" s="22" t="n"/>
      <c r="BU225" s="22" t="n"/>
      <c r="BV225" s="16" t="n"/>
      <c r="BW225" s="16" t="n"/>
      <c r="BX225" s="22">
        <f>IF(OR(BT225="",BU225=""),"",BT225-BU225)</f>
        <v/>
      </c>
      <c r="BY225" s="16" t="n"/>
      <c r="BZ225" s="17" t="n"/>
      <c r="CA225" s="16" t="n"/>
      <c r="CB225" s="16" t="n"/>
    </row>
    <row r="226">
      <c r="A226" s="23">
        <f>IF(C226="","","AYN-"&amp;IFERROR(VLOOKUP(E226,CATEGORY_PREFIX_TABLE,2,FALSE),"OTH")&amp;"-"&amp;TEXT(ROW()-2,"0000"))</f>
        <v/>
      </c>
      <c r="B226" s="24" t="n"/>
      <c r="C226" s="23" t="n"/>
      <c r="D226" s="23" t="n"/>
      <c r="E226" s="23" t="n"/>
      <c r="F226" s="23" t="n"/>
      <c r="G226" s="23" t="n"/>
      <c r="H226" s="23" t="n"/>
      <c r="I226" s="23" t="n"/>
      <c r="J226" s="23" t="n"/>
      <c r="K226" s="25">
        <f>IF(I226="","",IF(J226="BDT",I226,IF(J226="USD",I226*USD_BDT,IF(J226="RMB",I226*RMB_BDT,""))))</f>
        <v/>
      </c>
      <c r="L226" s="25" t="n"/>
      <c r="M226" s="26" t="n"/>
      <c r="N226" s="25" t="n"/>
      <c r="O226" s="25">
        <f>IF(K226="","",K226+IFERROR(L226,0)+(K226*IF(M226="",CUSTOMS_PCT,M226))+IF(N226="",MISC_FEE,N226))</f>
        <v/>
      </c>
      <c r="P226" s="25">
        <f>IF(O226="","",ROUND(O226*(1+MARKUP_PCT),-1)-1)</f>
        <v/>
      </c>
      <c r="Q226" s="25">
        <f>IF(P226="","",P226-O226)</f>
        <v/>
      </c>
      <c r="R226" s="26">
        <f>IF(OR(P226="",P226=0),"",Q226/P226)</f>
        <v/>
      </c>
      <c r="S226" s="23" t="n"/>
      <c r="T226" s="23" t="n"/>
      <c r="U226" s="23" t="n"/>
      <c r="V226" s="23" t="n"/>
      <c r="W226" s="23" t="n"/>
      <c r="X226" s="23" t="n"/>
      <c r="Y226" s="23" t="n"/>
      <c r="Z226" s="23" t="n"/>
      <c r="AA226" s="23" t="n"/>
      <c r="AB226" s="23" t="n"/>
      <c r="AC226" s="27">
        <f>IF(COUNT(S226:AB226)&lt;10,"",(S226*W_FEMININE+T226*W_TREND+U226*W_AESTHETIC+V226*W_STYLE+W226*W_LIGHT+X226*W_REELS+Y226*W_GIFT+Z226*W_PRICEFIT+AA226*W_DEMAND+AB226*W_QUALITY)/5*100)</f>
        <v/>
      </c>
      <c r="AD226" s="23">
        <f>IF(P226="","",IF(P226&gt;HARD_REJECT_PRICE,"Reject",IF(P226&gt;MAX_PRICE,"Price Review",IF(AC226="","",IF(AND(AC226&gt;=BUY_THRESHOLD,OR(AB226&lt;=2,U226&lt;=2)),"Maybe",IF(AC226&gt;=BUY_THRESHOLD,"Buy",IF(AC226&gt;=MAYBE_THRESHOLD,"Maybe","Reject")))))))</f>
        <v/>
      </c>
      <c r="AE226" s="23" t="n"/>
      <c r="AF226" s="23" t="n"/>
      <c r="AG226" s="23" t="n"/>
      <c r="AH226" s="23" t="n"/>
      <c r="AI226" s="24" t="n"/>
      <c r="AJ226">
        <f>IF(AC226="",-9999-ROW()*0.0000001,AC226-ROW()*0.0000001)</f>
        <v/>
      </c>
      <c r="AK226">
        <f>IF(OR(AC226="",P226="",P226&gt;MAX_PRICE),-9999-ROW()*0.0000001,AC226-ROW()*0.0000001)</f>
        <v/>
      </c>
      <c r="AL226">
        <f>IF(AC226="",-9999-ROW()*0.0000001,X226*1000+AC226-ROW()*0.0000001)</f>
        <v/>
      </c>
      <c r="AM226">
        <f>IF(AC226="",-9999-ROW()*0.0000001,Y226*1000+AC226-ROW()*0.0000001)</f>
        <v/>
      </c>
      <c r="AN226">
        <f>IF(AND(OR(AD226="Maybe",AD226="Price Review"),AG226&lt;&gt;"Approved",AG226&lt;&gt;"Rejected"),IF(AC226="",0,AC226)-ROW()*0.0000001,-9999-ROW()*0.0000001)</f>
        <v/>
      </c>
      <c r="AO226" s="28" t="n"/>
      <c r="AP226" s="28" t="n"/>
      <c r="AQ226" s="29" t="n"/>
      <c r="AR226" s="29" t="n"/>
      <c r="AS226" s="23" t="n"/>
      <c r="AT226" s="29" t="n"/>
      <c r="AU226" s="29" t="n"/>
      <c r="AV226" s="29" t="n"/>
      <c r="AW226" s="25">
        <f>IF(OR(O226="",AV226=""),"",O226*AV226)</f>
        <v/>
      </c>
      <c r="AX226" s="23" t="n"/>
      <c r="AY226" s="23" t="n"/>
      <c r="AZ226" s="23" t="n"/>
      <c r="BA226" s="23" t="n"/>
      <c r="BB226" s="23" t="n"/>
      <c r="BC226" s="25" t="n"/>
      <c r="BD226" s="23" t="n"/>
      <c r="BE226" s="23">
        <f>IF(C226="","",IF(AND(ISNUMBER(P226),P226&gt;MAX_PRICE),"Price too high",IF(AND(ISNUMBER(AB226),AB226&lt;=2),"Quality risk",IF(AND(ISNUMBER(U226),U226&lt;=2),"Aesthetic mismatch",IF(AY226="High","Too fragile",IF(AND(ISNUMBER(R226),R226&lt;LOW_PROFIT_PCT),"Low profit",IF(AND(ISNUMBER(AT226),AT226&gt;MOQ_WARNING),"MOQ too high",IF(OR(AD226="Maybe",AD226="Price Review"),"Needs partner review",IF(AD226="Buy","Good candidate","")))))))))</f>
        <v/>
      </c>
      <c r="BF226" s="23" t="n"/>
      <c r="BG226" s="23" t="n"/>
      <c r="BH226" s="23" t="n"/>
      <c r="BI226" s="23" t="n"/>
      <c r="BJ226" s="23" t="n"/>
      <c r="BK226" s="23" t="n"/>
      <c r="BL226" s="23">
        <f>IF(C226="","",IF(AND(BG226="Yes",BH226="Yes",BI226="Yes",BJ226="Yes",BK226="Yes"),"Yes","No"))</f>
        <v/>
      </c>
      <c r="BM226" s="25" t="n"/>
      <c r="BN226" s="25" t="n"/>
      <c r="BO226" s="25">
        <f>IF(OR(BM226="",BN226=""),"",BM226+BN226)</f>
        <v/>
      </c>
      <c r="BP226" s="25" t="n"/>
      <c r="BQ226" s="25">
        <f>IF(OR(BP226="",BO226=""),"",BP226-BO226)</f>
        <v/>
      </c>
      <c r="BR226" s="26">
        <f>IF(OR(BP226="",BP226=0,BQ226=""),"",BQ226/BP226)</f>
        <v/>
      </c>
      <c r="BS226" s="24" t="n"/>
      <c r="BT226" s="29" t="n"/>
      <c r="BU226" s="29" t="n"/>
      <c r="BV226" s="23" t="n"/>
      <c r="BW226" s="23" t="n"/>
      <c r="BX226" s="29">
        <f>IF(OR(BT226="",BU226=""),"",BT226-BU226)</f>
        <v/>
      </c>
      <c r="BY226" s="23" t="n"/>
      <c r="BZ226" s="24" t="n"/>
      <c r="CA226" s="23" t="n"/>
      <c r="CB226" s="23" t="n"/>
    </row>
    <row r="227">
      <c r="A227" s="16">
        <f>IF(C227="","","AYN-"&amp;IFERROR(VLOOKUP(E227,CATEGORY_PREFIX_TABLE,2,FALSE),"OTH")&amp;"-"&amp;TEXT(ROW()-2,"0000"))</f>
        <v/>
      </c>
      <c r="B227" s="17" t="n"/>
      <c r="C227" s="16" t="n"/>
      <c r="D227" s="16" t="n"/>
      <c r="E227" s="16" t="n"/>
      <c r="F227" s="16" t="n"/>
      <c r="G227" s="16" t="n"/>
      <c r="H227" s="16" t="n"/>
      <c r="I227" s="16" t="n"/>
      <c r="J227" s="16" t="n"/>
      <c r="K227" s="18">
        <f>IF(I227="","",IF(J227="BDT",I227,IF(J227="USD",I227*USD_BDT,IF(J227="RMB",I227*RMB_BDT,""))))</f>
        <v/>
      </c>
      <c r="L227" s="18" t="n"/>
      <c r="M227" s="19" t="n"/>
      <c r="N227" s="18" t="n"/>
      <c r="O227" s="18">
        <f>IF(K227="","",K227+IFERROR(L227,0)+(K227*IF(M227="",CUSTOMS_PCT,M227))+IF(N227="",MISC_FEE,N227))</f>
        <v/>
      </c>
      <c r="P227" s="18">
        <f>IF(O227="","",ROUND(O227*(1+MARKUP_PCT),-1)-1)</f>
        <v/>
      </c>
      <c r="Q227" s="18">
        <f>IF(P227="","",P227-O227)</f>
        <v/>
      </c>
      <c r="R227" s="19">
        <f>IF(OR(P227="",P227=0),"",Q227/P227)</f>
        <v/>
      </c>
      <c r="S227" s="16" t="n"/>
      <c r="T227" s="16" t="n"/>
      <c r="U227" s="16" t="n"/>
      <c r="V227" s="16" t="n"/>
      <c r="W227" s="16" t="n"/>
      <c r="X227" s="16" t="n"/>
      <c r="Y227" s="16" t="n"/>
      <c r="Z227" s="16" t="n"/>
      <c r="AA227" s="16" t="n"/>
      <c r="AB227" s="16" t="n"/>
      <c r="AC227" s="20">
        <f>IF(COUNT(S227:AB227)&lt;10,"",(S227*W_FEMININE+T227*W_TREND+U227*W_AESTHETIC+V227*W_STYLE+W227*W_LIGHT+X227*W_REELS+Y227*W_GIFT+Z227*W_PRICEFIT+AA227*W_DEMAND+AB227*W_QUALITY)/5*100)</f>
        <v/>
      </c>
      <c r="AD227" s="16">
        <f>IF(P227="","",IF(P227&gt;HARD_REJECT_PRICE,"Reject",IF(P227&gt;MAX_PRICE,"Price Review",IF(AC227="","",IF(AND(AC227&gt;=BUY_THRESHOLD,OR(AB227&lt;=2,U227&lt;=2)),"Maybe",IF(AC227&gt;=BUY_THRESHOLD,"Buy",IF(AC227&gt;=MAYBE_THRESHOLD,"Maybe","Reject")))))))</f>
        <v/>
      </c>
      <c r="AE227" s="16" t="n"/>
      <c r="AF227" s="16" t="n"/>
      <c r="AG227" s="16" t="n"/>
      <c r="AH227" s="16" t="n"/>
      <c r="AI227" s="17" t="n"/>
      <c r="AJ227">
        <f>IF(AC227="",-9999-ROW()*0.0000001,AC227-ROW()*0.0000001)</f>
        <v/>
      </c>
      <c r="AK227">
        <f>IF(OR(AC227="",P227="",P227&gt;MAX_PRICE),-9999-ROW()*0.0000001,AC227-ROW()*0.0000001)</f>
        <v/>
      </c>
      <c r="AL227">
        <f>IF(AC227="",-9999-ROW()*0.0000001,X227*1000+AC227-ROW()*0.0000001)</f>
        <v/>
      </c>
      <c r="AM227">
        <f>IF(AC227="",-9999-ROW()*0.0000001,Y227*1000+AC227-ROW()*0.0000001)</f>
        <v/>
      </c>
      <c r="AN227">
        <f>IF(AND(OR(AD227="Maybe",AD227="Price Review"),AG227&lt;&gt;"Approved",AG227&lt;&gt;"Rejected"),IF(AC227="",0,AC227)-ROW()*0.0000001,-9999-ROW()*0.0000001)</f>
        <v/>
      </c>
      <c r="AO227" s="21" t="n"/>
      <c r="AP227" s="21" t="n"/>
      <c r="AQ227" s="22" t="n"/>
      <c r="AR227" s="22" t="n"/>
      <c r="AS227" s="16" t="n"/>
      <c r="AT227" s="22" t="n"/>
      <c r="AU227" s="22" t="n"/>
      <c r="AV227" s="22" t="n"/>
      <c r="AW227" s="18">
        <f>IF(OR(O227="",AV227=""),"",O227*AV227)</f>
        <v/>
      </c>
      <c r="AX227" s="16" t="n"/>
      <c r="AY227" s="16" t="n"/>
      <c r="AZ227" s="16" t="n"/>
      <c r="BA227" s="16" t="n"/>
      <c r="BB227" s="16" t="n"/>
      <c r="BC227" s="18" t="n"/>
      <c r="BD227" s="16" t="n"/>
      <c r="BE227" s="16">
        <f>IF(C227="","",IF(AND(ISNUMBER(P227),P227&gt;MAX_PRICE),"Price too high",IF(AND(ISNUMBER(AB227),AB227&lt;=2),"Quality risk",IF(AND(ISNUMBER(U227),U227&lt;=2),"Aesthetic mismatch",IF(AY227="High","Too fragile",IF(AND(ISNUMBER(R227),R227&lt;LOW_PROFIT_PCT),"Low profit",IF(AND(ISNUMBER(AT227),AT227&gt;MOQ_WARNING),"MOQ too high",IF(OR(AD227="Maybe",AD227="Price Review"),"Needs partner review",IF(AD227="Buy","Good candidate","")))))))))</f>
        <v/>
      </c>
      <c r="BF227" s="16" t="n"/>
      <c r="BG227" s="16" t="n"/>
      <c r="BH227" s="16" t="n"/>
      <c r="BI227" s="16" t="n"/>
      <c r="BJ227" s="16" t="n"/>
      <c r="BK227" s="16" t="n"/>
      <c r="BL227" s="16">
        <f>IF(C227="","",IF(AND(BG227="Yes",BH227="Yes",BI227="Yes",BJ227="Yes",BK227="Yes"),"Yes","No"))</f>
        <v/>
      </c>
      <c r="BM227" s="18" t="n"/>
      <c r="BN227" s="18" t="n"/>
      <c r="BO227" s="18">
        <f>IF(OR(BM227="",BN227=""),"",BM227+BN227)</f>
        <v/>
      </c>
      <c r="BP227" s="18" t="n"/>
      <c r="BQ227" s="18">
        <f>IF(OR(BP227="",BO227=""),"",BP227-BO227)</f>
        <v/>
      </c>
      <c r="BR227" s="19">
        <f>IF(OR(BP227="",BP227=0,BQ227=""),"",BQ227/BP227)</f>
        <v/>
      </c>
      <c r="BS227" s="17" t="n"/>
      <c r="BT227" s="22" t="n"/>
      <c r="BU227" s="22" t="n"/>
      <c r="BV227" s="16" t="n"/>
      <c r="BW227" s="16" t="n"/>
      <c r="BX227" s="22">
        <f>IF(OR(BT227="",BU227=""),"",BT227-BU227)</f>
        <v/>
      </c>
      <c r="BY227" s="16" t="n"/>
      <c r="BZ227" s="17" t="n"/>
      <c r="CA227" s="16" t="n"/>
      <c r="CB227" s="16" t="n"/>
    </row>
    <row r="228">
      <c r="A228" s="23">
        <f>IF(C228="","","AYN-"&amp;IFERROR(VLOOKUP(E228,CATEGORY_PREFIX_TABLE,2,FALSE),"OTH")&amp;"-"&amp;TEXT(ROW()-2,"0000"))</f>
        <v/>
      </c>
      <c r="B228" s="24" t="n"/>
      <c r="C228" s="23" t="n"/>
      <c r="D228" s="23" t="n"/>
      <c r="E228" s="23" t="n"/>
      <c r="F228" s="23" t="n"/>
      <c r="G228" s="23" t="n"/>
      <c r="H228" s="23" t="n"/>
      <c r="I228" s="23" t="n"/>
      <c r="J228" s="23" t="n"/>
      <c r="K228" s="25">
        <f>IF(I228="","",IF(J228="BDT",I228,IF(J228="USD",I228*USD_BDT,IF(J228="RMB",I228*RMB_BDT,""))))</f>
        <v/>
      </c>
      <c r="L228" s="25" t="n"/>
      <c r="M228" s="26" t="n"/>
      <c r="N228" s="25" t="n"/>
      <c r="O228" s="25">
        <f>IF(K228="","",K228+IFERROR(L228,0)+(K228*IF(M228="",CUSTOMS_PCT,M228))+IF(N228="",MISC_FEE,N228))</f>
        <v/>
      </c>
      <c r="P228" s="25">
        <f>IF(O228="","",ROUND(O228*(1+MARKUP_PCT),-1)-1)</f>
        <v/>
      </c>
      <c r="Q228" s="25">
        <f>IF(P228="","",P228-O228)</f>
        <v/>
      </c>
      <c r="R228" s="26">
        <f>IF(OR(P228="",P228=0),"",Q228/P228)</f>
        <v/>
      </c>
      <c r="S228" s="23" t="n"/>
      <c r="T228" s="23" t="n"/>
      <c r="U228" s="23" t="n"/>
      <c r="V228" s="23" t="n"/>
      <c r="W228" s="23" t="n"/>
      <c r="X228" s="23" t="n"/>
      <c r="Y228" s="23" t="n"/>
      <c r="Z228" s="23" t="n"/>
      <c r="AA228" s="23" t="n"/>
      <c r="AB228" s="23" t="n"/>
      <c r="AC228" s="27">
        <f>IF(COUNT(S228:AB228)&lt;10,"",(S228*W_FEMININE+T228*W_TREND+U228*W_AESTHETIC+V228*W_STYLE+W228*W_LIGHT+X228*W_REELS+Y228*W_GIFT+Z228*W_PRICEFIT+AA228*W_DEMAND+AB228*W_QUALITY)/5*100)</f>
        <v/>
      </c>
      <c r="AD228" s="23">
        <f>IF(P228="","",IF(P228&gt;HARD_REJECT_PRICE,"Reject",IF(P228&gt;MAX_PRICE,"Price Review",IF(AC228="","",IF(AND(AC228&gt;=BUY_THRESHOLD,OR(AB228&lt;=2,U228&lt;=2)),"Maybe",IF(AC228&gt;=BUY_THRESHOLD,"Buy",IF(AC228&gt;=MAYBE_THRESHOLD,"Maybe","Reject")))))))</f>
        <v/>
      </c>
      <c r="AE228" s="23" t="n"/>
      <c r="AF228" s="23" t="n"/>
      <c r="AG228" s="23" t="n"/>
      <c r="AH228" s="23" t="n"/>
      <c r="AI228" s="24" t="n"/>
      <c r="AJ228">
        <f>IF(AC228="",-9999-ROW()*0.0000001,AC228-ROW()*0.0000001)</f>
        <v/>
      </c>
      <c r="AK228">
        <f>IF(OR(AC228="",P228="",P228&gt;MAX_PRICE),-9999-ROW()*0.0000001,AC228-ROW()*0.0000001)</f>
        <v/>
      </c>
      <c r="AL228">
        <f>IF(AC228="",-9999-ROW()*0.0000001,X228*1000+AC228-ROW()*0.0000001)</f>
        <v/>
      </c>
      <c r="AM228">
        <f>IF(AC228="",-9999-ROW()*0.0000001,Y228*1000+AC228-ROW()*0.0000001)</f>
        <v/>
      </c>
      <c r="AN228">
        <f>IF(AND(OR(AD228="Maybe",AD228="Price Review"),AG228&lt;&gt;"Approved",AG228&lt;&gt;"Rejected"),IF(AC228="",0,AC228)-ROW()*0.0000001,-9999-ROW()*0.0000001)</f>
        <v/>
      </c>
      <c r="AO228" s="28" t="n"/>
      <c r="AP228" s="28" t="n"/>
      <c r="AQ228" s="29" t="n"/>
      <c r="AR228" s="29" t="n"/>
      <c r="AS228" s="23" t="n"/>
      <c r="AT228" s="29" t="n"/>
      <c r="AU228" s="29" t="n"/>
      <c r="AV228" s="29" t="n"/>
      <c r="AW228" s="25">
        <f>IF(OR(O228="",AV228=""),"",O228*AV228)</f>
        <v/>
      </c>
      <c r="AX228" s="23" t="n"/>
      <c r="AY228" s="23" t="n"/>
      <c r="AZ228" s="23" t="n"/>
      <c r="BA228" s="23" t="n"/>
      <c r="BB228" s="23" t="n"/>
      <c r="BC228" s="25" t="n"/>
      <c r="BD228" s="23" t="n"/>
      <c r="BE228" s="23">
        <f>IF(C228="","",IF(AND(ISNUMBER(P228),P228&gt;MAX_PRICE),"Price too high",IF(AND(ISNUMBER(AB228),AB228&lt;=2),"Quality risk",IF(AND(ISNUMBER(U228),U228&lt;=2),"Aesthetic mismatch",IF(AY228="High","Too fragile",IF(AND(ISNUMBER(R228),R228&lt;LOW_PROFIT_PCT),"Low profit",IF(AND(ISNUMBER(AT228),AT228&gt;MOQ_WARNING),"MOQ too high",IF(OR(AD228="Maybe",AD228="Price Review"),"Needs partner review",IF(AD228="Buy","Good candidate","")))))))))</f>
        <v/>
      </c>
      <c r="BF228" s="23" t="n"/>
      <c r="BG228" s="23" t="n"/>
      <c r="BH228" s="23" t="n"/>
      <c r="BI228" s="23" t="n"/>
      <c r="BJ228" s="23" t="n"/>
      <c r="BK228" s="23" t="n"/>
      <c r="BL228" s="23">
        <f>IF(C228="","",IF(AND(BG228="Yes",BH228="Yes",BI228="Yes",BJ228="Yes",BK228="Yes"),"Yes","No"))</f>
        <v/>
      </c>
      <c r="BM228" s="25" t="n"/>
      <c r="BN228" s="25" t="n"/>
      <c r="BO228" s="25">
        <f>IF(OR(BM228="",BN228=""),"",BM228+BN228)</f>
        <v/>
      </c>
      <c r="BP228" s="25" t="n"/>
      <c r="BQ228" s="25">
        <f>IF(OR(BP228="",BO228=""),"",BP228-BO228)</f>
        <v/>
      </c>
      <c r="BR228" s="26">
        <f>IF(OR(BP228="",BP228=0,BQ228=""),"",BQ228/BP228)</f>
        <v/>
      </c>
      <c r="BS228" s="24" t="n"/>
      <c r="BT228" s="29" t="n"/>
      <c r="BU228" s="29" t="n"/>
      <c r="BV228" s="23" t="n"/>
      <c r="BW228" s="23" t="n"/>
      <c r="BX228" s="29">
        <f>IF(OR(BT228="",BU228=""),"",BT228-BU228)</f>
        <v/>
      </c>
      <c r="BY228" s="23" t="n"/>
      <c r="BZ228" s="24" t="n"/>
      <c r="CA228" s="23" t="n"/>
      <c r="CB228" s="23" t="n"/>
    </row>
    <row r="229">
      <c r="A229" s="16">
        <f>IF(C229="","","AYN-"&amp;IFERROR(VLOOKUP(E229,CATEGORY_PREFIX_TABLE,2,FALSE),"OTH")&amp;"-"&amp;TEXT(ROW()-2,"0000"))</f>
        <v/>
      </c>
      <c r="B229" s="17" t="n"/>
      <c r="C229" s="16" t="n"/>
      <c r="D229" s="16" t="n"/>
      <c r="E229" s="16" t="n"/>
      <c r="F229" s="16" t="n"/>
      <c r="G229" s="16" t="n"/>
      <c r="H229" s="16" t="n"/>
      <c r="I229" s="16" t="n"/>
      <c r="J229" s="16" t="n"/>
      <c r="K229" s="18">
        <f>IF(I229="","",IF(J229="BDT",I229,IF(J229="USD",I229*USD_BDT,IF(J229="RMB",I229*RMB_BDT,""))))</f>
        <v/>
      </c>
      <c r="L229" s="18" t="n"/>
      <c r="M229" s="19" t="n"/>
      <c r="N229" s="18" t="n"/>
      <c r="O229" s="18">
        <f>IF(K229="","",K229+IFERROR(L229,0)+(K229*IF(M229="",CUSTOMS_PCT,M229))+IF(N229="",MISC_FEE,N229))</f>
        <v/>
      </c>
      <c r="P229" s="18">
        <f>IF(O229="","",ROUND(O229*(1+MARKUP_PCT),-1)-1)</f>
        <v/>
      </c>
      <c r="Q229" s="18">
        <f>IF(P229="","",P229-O229)</f>
        <v/>
      </c>
      <c r="R229" s="19">
        <f>IF(OR(P229="",P229=0),"",Q229/P229)</f>
        <v/>
      </c>
      <c r="S229" s="16" t="n"/>
      <c r="T229" s="16" t="n"/>
      <c r="U229" s="16" t="n"/>
      <c r="V229" s="16" t="n"/>
      <c r="W229" s="16" t="n"/>
      <c r="X229" s="16" t="n"/>
      <c r="Y229" s="16" t="n"/>
      <c r="Z229" s="16" t="n"/>
      <c r="AA229" s="16" t="n"/>
      <c r="AB229" s="16" t="n"/>
      <c r="AC229" s="20">
        <f>IF(COUNT(S229:AB229)&lt;10,"",(S229*W_FEMININE+T229*W_TREND+U229*W_AESTHETIC+V229*W_STYLE+W229*W_LIGHT+X229*W_REELS+Y229*W_GIFT+Z229*W_PRICEFIT+AA229*W_DEMAND+AB229*W_QUALITY)/5*100)</f>
        <v/>
      </c>
      <c r="AD229" s="16">
        <f>IF(P229="","",IF(P229&gt;HARD_REJECT_PRICE,"Reject",IF(P229&gt;MAX_PRICE,"Price Review",IF(AC229="","",IF(AND(AC229&gt;=BUY_THRESHOLD,OR(AB229&lt;=2,U229&lt;=2)),"Maybe",IF(AC229&gt;=BUY_THRESHOLD,"Buy",IF(AC229&gt;=MAYBE_THRESHOLD,"Maybe","Reject")))))))</f>
        <v/>
      </c>
      <c r="AE229" s="16" t="n"/>
      <c r="AF229" s="16" t="n"/>
      <c r="AG229" s="16" t="n"/>
      <c r="AH229" s="16" t="n"/>
      <c r="AI229" s="17" t="n"/>
      <c r="AJ229">
        <f>IF(AC229="",-9999-ROW()*0.0000001,AC229-ROW()*0.0000001)</f>
        <v/>
      </c>
      <c r="AK229">
        <f>IF(OR(AC229="",P229="",P229&gt;MAX_PRICE),-9999-ROW()*0.0000001,AC229-ROW()*0.0000001)</f>
        <v/>
      </c>
      <c r="AL229">
        <f>IF(AC229="",-9999-ROW()*0.0000001,X229*1000+AC229-ROW()*0.0000001)</f>
        <v/>
      </c>
      <c r="AM229">
        <f>IF(AC229="",-9999-ROW()*0.0000001,Y229*1000+AC229-ROW()*0.0000001)</f>
        <v/>
      </c>
      <c r="AN229">
        <f>IF(AND(OR(AD229="Maybe",AD229="Price Review"),AG229&lt;&gt;"Approved",AG229&lt;&gt;"Rejected"),IF(AC229="",0,AC229)-ROW()*0.0000001,-9999-ROW()*0.0000001)</f>
        <v/>
      </c>
      <c r="AO229" s="21" t="n"/>
      <c r="AP229" s="21" t="n"/>
      <c r="AQ229" s="22" t="n"/>
      <c r="AR229" s="22" t="n"/>
      <c r="AS229" s="16" t="n"/>
      <c r="AT229" s="22" t="n"/>
      <c r="AU229" s="22" t="n"/>
      <c r="AV229" s="22" t="n"/>
      <c r="AW229" s="18">
        <f>IF(OR(O229="",AV229=""),"",O229*AV229)</f>
        <v/>
      </c>
      <c r="AX229" s="16" t="n"/>
      <c r="AY229" s="16" t="n"/>
      <c r="AZ229" s="16" t="n"/>
      <c r="BA229" s="16" t="n"/>
      <c r="BB229" s="16" t="n"/>
      <c r="BC229" s="18" t="n"/>
      <c r="BD229" s="16" t="n"/>
      <c r="BE229" s="16">
        <f>IF(C229="","",IF(AND(ISNUMBER(P229),P229&gt;MAX_PRICE),"Price too high",IF(AND(ISNUMBER(AB229),AB229&lt;=2),"Quality risk",IF(AND(ISNUMBER(U229),U229&lt;=2),"Aesthetic mismatch",IF(AY229="High","Too fragile",IF(AND(ISNUMBER(R229),R229&lt;LOW_PROFIT_PCT),"Low profit",IF(AND(ISNUMBER(AT229),AT229&gt;MOQ_WARNING),"MOQ too high",IF(OR(AD229="Maybe",AD229="Price Review"),"Needs partner review",IF(AD229="Buy","Good candidate","")))))))))</f>
        <v/>
      </c>
      <c r="BF229" s="16" t="n"/>
      <c r="BG229" s="16" t="n"/>
      <c r="BH229" s="16" t="n"/>
      <c r="BI229" s="16" t="n"/>
      <c r="BJ229" s="16" t="n"/>
      <c r="BK229" s="16" t="n"/>
      <c r="BL229" s="16">
        <f>IF(C229="","",IF(AND(BG229="Yes",BH229="Yes",BI229="Yes",BJ229="Yes",BK229="Yes"),"Yes","No"))</f>
        <v/>
      </c>
      <c r="BM229" s="18" t="n"/>
      <c r="BN229" s="18" t="n"/>
      <c r="BO229" s="18">
        <f>IF(OR(BM229="",BN229=""),"",BM229+BN229)</f>
        <v/>
      </c>
      <c r="BP229" s="18" t="n"/>
      <c r="BQ229" s="18">
        <f>IF(OR(BP229="",BO229=""),"",BP229-BO229)</f>
        <v/>
      </c>
      <c r="BR229" s="19">
        <f>IF(OR(BP229="",BP229=0,BQ229=""),"",BQ229/BP229)</f>
        <v/>
      </c>
      <c r="BS229" s="17" t="n"/>
      <c r="BT229" s="22" t="n"/>
      <c r="BU229" s="22" t="n"/>
      <c r="BV229" s="16" t="n"/>
      <c r="BW229" s="16" t="n"/>
      <c r="BX229" s="22">
        <f>IF(OR(BT229="",BU229=""),"",BT229-BU229)</f>
        <v/>
      </c>
      <c r="BY229" s="16" t="n"/>
      <c r="BZ229" s="17" t="n"/>
      <c r="CA229" s="16" t="n"/>
      <c r="CB229" s="16" t="n"/>
    </row>
    <row r="230">
      <c r="A230" s="23">
        <f>IF(C230="","","AYN-"&amp;IFERROR(VLOOKUP(E230,CATEGORY_PREFIX_TABLE,2,FALSE),"OTH")&amp;"-"&amp;TEXT(ROW()-2,"0000"))</f>
        <v/>
      </c>
      <c r="B230" s="24" t="n"/>
      <c r="C230" s="23" t="n"/>
      <c r="D230" s="23" t="n"/>
      <c r="E230" s="23" t="n"/>
      <c r="F230" s="23" t="n"/>
      <c r="G230" s="23" t="n"/>
      <c r="H230" s="23" t="n"/>
      <c r="I230" s="23" t="n"/>
      <c r="J230" s="23" t="n"/>
      <c r="K230" s="25">
        <f>IF(I230="","",IF(J230="BDT",I230,IF(J230="USD",I230*USD_BDT,IF(J230="RMB",I230*RMB_BDT,""))))</f>
        <v/>
      </c>
      <c r="L230" s="25" t="n"/>
      <c r="M230" s="26" t="n"/>
      <c r="N230" s="25" t="n"/>
      <c r="O230" s="25">
        <f>IF(K230="","",K230+IFERROR(L230,0)+(K230*IF(M230="",CUSTOMS_PCT,M230))+IF(N230="",MISC_FEE,N230))</f>
        <v/>
      </c>
      <c r="P230" s="25">
        <f>IF(O230="","",ROUND(O230*(1+MARKUP_PCT),-1)-1)</f>
        <v/>
      </c>
      <c r="Q230" s="25">
        <f>IF(P230="","",P230-O230)</f>
        <v/>
      </c>
      <c r="R230" s="26">
        <f>IF(OR(P230="",P230=0),"",Q230/P230)</f>
        <v/>
      </c>
      <c r="S230" s="23" t="n"/>
      <c r="T230" s="23" t="n"/>
      <c r="U230" s="23" t="n"/>
      <c r="V230" s="23" t="n"/>
      <c r="W230" s="23" t="n"/>
      <c r="X230" s="23" t="n"/>
      <c r="Y230" s="23" t="n"/>
      <c r="Z230" s="23" t="n"/>
      <c r="AA230" s="23" t="n"/>
      <c r="AB230" s="23" t="n"/>
      <c r="AC230" s="27">
        <f>IF(COUNT(S230:AB230)&lt;10,"",(S230*W_FEMININE+T230*W_TREND+U230*W_AESTHETIC+V230*W_STYLE+W230*W_LIGHT+X230*W_REELS+Y230*W_GIFT+Z230*W_PRICEFIT+AA230*W_DEMAND+AB230*W_QUALITY)/5*100)</f>
        <v/>
      </c>
      <c r="AD230" s="23">
        <f>IF(P230="","",IF(P230&gt;HARD_REJECT_PRICE,"Reject",IF(P230&gt;MAX_PRICE,"Price Review",IF(AC230="","",IF(AND(AC230&gt;=BUY_THRESHOLD,OR(AB230&lt;=2,U230&lt;=2)),"Maybe",IF(AC230&gt;=BUY_THRESHOLD,"Buy",IF(AC230&gt;=MAYBE_THRESHOLD,"Maybe","Reject")))))))</f>
        <v/>
      </c>
      <c r="AE230" s="23" t="n"/>
      <c r="AF230" s="23" t="n"/>
      <c r="AG230" s="23" t="n"/>
      <c r="AH230" s="23" t="n"/>
      <c r="AI230" s="24" t="n"/>
      <c r="AJ230">
        <f>IF(AC230="",-9999-ROW()*0.0000001,AC230-ROW()*0.0000001)</f>
        <v/>
      </c>
      <c r="AK230">
        <f>IF(OR(AC230="",P230="",P230&gt;MAX_PRICE),-9999-ROW()*0.0000001,AC230-ROW()*0.0000001)</f>
        <v/>
      </c>
      <c r="AL230">
        <f>IF(AC230="",-9999-ROW()*0.0000001,X230*1000+AC230-ROW()*0.0000001)</f>
        <v/>
      </c>
      <c r="AM230">
        <f>IF(AC230="",-9999-ROW()*0.0000001,Y230*1000+AC230-ROW()*0.0000001)</f>
        <v/>
      </c>
      <c r="AN230">
        <f>IF(AND(OR(AD230="Maybe",AD230="Price Review"),AG230&lt;&gt;"Approved",AG230&lt;&gt;"Rejected"),IF(AC230="",0,AC230)-ROW()*0.0000001,-9999-ROW()*0.0000001)</f>
        <v/>
      </c>
      <c r="AO230" s="28" t="n"/>
      <c r="AP230" s="28" t="n"/>
      <c r="AQ230" s="29" t="n"/>
      <c r="AR230" s="29" t="n"/>
      <c r="AS230" s="23" t="n"/>
      <c r="AT230" s="29" t="n"/>
      <c r="AU230" s="29" t="n"/>
      <c r="AV230" s="29" t="n"/>
      <c r="AW230" s="25">
        <f>IF(OR(O230="",AV230=""),"",O230*AV230)</f>
        <v/>
      </c>
      <c r="AX230" s="23" t="n"/>
      <c r="AY230" s="23" t="n"/>
      <c r="AZ230" s="23" t="n"/>
      <c r="BA230" s="23" t="n"/>
      <c r="BB230" s="23" t="n"/>
      <c r="BC230" s="25" t="n"/>
      <c r="BD230" s="23" t="n"/>
      <c r="BE230" s="23">
        <f>IF(C230="","",IF(AND(ISNUMBER(P230),P230&gt;MAX_PRICE),"Price too high",IF(AND(ISNUMBER(AB230),AB230&lt;=2),"Quality risk",IF(AND(ISNUMBER(U230),U230&lt;=2),"Aesthetic mismatch",IF(AY230="High","Too fragile",IF(AND(ISNUMBER(R230),R230&lt;LOW_PROFIT_PCT),"Low profit",IF(AND(ISNUMBER(AT230),AT230&gt;MOQ_WARNING),"MOQ too high",IF(OR(AD230="Maybe",AD230="Price Review"),"Needs partner review",IF(AD230="Buy","Good candidate","")))))))))</f>
        <v/>
      </c>
      <c r="BF230" s="23" t="n"/>
      <c r="BG230" s="23" t="n"/>
      <c r="BH230" s="23" t="n"/>
      <c r="BI230" s="23" t="n"/>
      <c r="BJ230" s="23" t="n"/>
      <c r="BK230" s="23" t="n"/>
      <c r="BL230" s="23">
        <f>IF(C230="","",IF(AND(BG230="Yes",BH230="Yes",BI230="Yes",BJ230="Yes",BK230="Yes"),"Yes","No"))</f>
        <v/>
      </c>
      <c r="BM230" s="25" t="n"/>
      <c r="BN230" s="25" t="n"/>
      <c r="BO230" s="25">
        <f>IF(OR(BM230="",BN230=""),"",BM230+BN230)</f>
        <v/>
      </c>
      <c r="BP230" s="25" t="n"/>
      <c r="BQ230" s="25">
        <f>IF(OR(BP230="",BO230=""),"",BP230-BO230)</f>
        <v/>
      </c>
      <c r="BR230" s="26">
        <f>IF(OR(BP230="",BP230=0,BQ230=""),"",BQ230/BP230)</f>
        <v/>
      </c>
      <c r="BS230" s="24" t="n"/>
      <c r="BT230" s="29" t="n"/>
      <c r="BU230" s="29" t="n"/>
      <c r="BV230" s="23" t="n"/>
      <c r="BW230" s="23" t="n"/>
      <c r="BX230" s="29">
        <f>IF(OR(BT230="",BU230=""),"",BT230-BU230)</f>
        <v/>
      </c>
      <c r="BY230" s="23" t="n"/>
      <c r="BZ230" s="24" t="n"/>
      <c r="CA230" s="23" t="n"/>
      <c r="CB230" s="23" t="n"/>
    </row>
    <row r="231">
      <c r="A231" s="16">
        <f>IF(C231="","","AYN-"&amp;IFERROR(VLOOKUP(E231,CATEGORY_PREFIX_TABLE,2,FALSE),"OTH")&amp;"-"&amp;TEXT(ROW()-2,"0000"))</f>
        <v/>
      </c>
      <c r="B231" s="17" t="n"/>
      <c r="C231" s="16" t="n"/>
      <c r="D231" s="16" t="n"/>
      <c r="E231" s="16" t="n"/>
      <c r="F231" s="16" t="n"/>
      <c r="G231" s="16" t="n"/>
      <c r="H231" s="16" t="n"/>
      <c r="I231" s="16" t="n"/>
      <c r="J231" s="16" t="n"/>
      <c r="K231" s="18">
        <f>IF(I231="","",IF(J231="BDT",I231,IF(J231="USD",I231*USD_BDT,IF(J231="RMB",I231*RMB_BDT,""))))</f>
        <v/>
      </c>
      <c r="L231" s="18" t="n"/>
      <c r="M231" s="19" t="n"/>
      <c r="N231" s="18" t="n"/>
      <c r="O231" s="18">
        <f>IF(K231="","",K231+IFERROR(L231,0)+(K231*IF(M231="",CUSTOMS_PCT,M231))+IF(N231="",MISC_FEE,N231))</f>
        <v/>
      </c>
      <c r="P231" s="18">
        <f>IF(O231="","",ROUND(O231*(1+MARKUP_PCT),-1)-1)</f>
        <v/>
      </c>
      <c r="Q231" s="18">
        <f>IF(P231="","",P231-O231)</f>
        <v/>
      </c>
      <c r="R231" s="19">
        <f>IF(OR(P231="",P231=0),"",Q231/P231)</f>
        <v/>
      </c>
      <c r="S231" s="16" t="n"/>
      <c r="T231" s="16" t="n"/>
      <c r="U231" s="16" t="n"/>
      <c r="V231" s="16" t="n"/>
      <c r="W231" s="16" t="n"/>
      <c r="X231" s="16" t="n"/>
      <c r="Y231" s="16" t="n"/>
      <c r="Z231" s="16" t="n"/>
      <c r="AA231" s="16" t="n"/>
      <c r="AB231" s="16" t="n"/>
      <c r="AC231" s="20">
        <f>IF(COUNT(S231:AB231)&lt;10,"",(S231*W_FEMININE+T231*W_TREND+U231*W_AESTHETIC+V231*W_STYLE+W231*W_LIGHT+X231*W_REELS+Y231*W_GIFT+Z231*W_PRICEFIT+AA231*W_DEMAND+AB231*W_QUALITY)/5*100)</f>
        <v/>
      </c>
      <c r="AD231" s="16">
        <f>IF(P231="","",IF(P231&gt;HARD_REJECT_PRICE,"Reject",IF(P231&gt;MAX_PRICE,"Price Review",IF(AC231="","",IF(AND(AC231&gt;=BUY_THRESHOLD,OR(AB231&lt;=2,U231&lt;=2)),"Maybe",IF(AC231&gt;=BUY_THRESHOLD,"Buy",IF(AC231&gt;=MAYBE_THRESHOLD,"Maybe","Reject")))))))</f>
        <v/>
      </c>
      <c r="AE231" s="16" t="n"/>
      <c r="AF231" s="16" t="n"/>
      <c r="AG231" s="16" t="n"/>
      <c r="AH231" s="16" t="n"/>
      <c r="AI231" s="17" t="n"/>
      <c r="AJ231">
        <f>IF(AC231="",-9999-ROW()*0.0000001,AC231-ROW()*0.0000001)</f>
        <v/>
      </c>
      <c r="AK231">
        <f>IF(OR(AC231="",P231="",P231&gt;MAX_PRICE),-9999-ROW()*0.0000001,AC231-ROW()*0.0000001)</f>
        <v/>
      </c>
      <c r="AL231">
        <f>IF(AC231="",-9999-ROW()*0.0000001,X231*1000+AC231-ROW()*0.0000001)</f>
        <v/>
      </c>
      <c r="AM231">
        <f>IF(AC231="",-9999-ROW()*0.0000001,Y231*1000+AC231-ROW()*0.0000001)</f>
        <v/>
      </c>
      <c r="AN231">
        <f>IF(AND(OR(AD231="Maybe",AD231="Price Review"),AG231&lt;&gt;"Approved",AG231&lt;&gt;"Rejected"),IF(AC231="",0,AC231)-ROW()*0.0000001,-9999-ROW()*0.0000001)</f>
        <v/>
      </c>
      <c r="AO231" s="21" t="n"/>
      <c r="AP231" s="21" t="n"/>
      <c r="AQ231" s="22" t="n"/>
      <c r="AR231" s="22" t="n"/>
      <c r="AS231" s="16" t="n"/>
      <c r="AT231" s="22" t="n"/>
      <c r="AU231" s="22" t="n"/>
      <c r="AV231" s="22" t="n"/>
      <c r="AW231" s="18">
        <f>IF(OR(O231="",AV231=""),"",O231*AV231)</f>
        <v/>
      </c>
      <c r="AX231" s="16" t="n"/>
      <c r="AY231" s="16" t="n"/>
      <c r="AZ231" s="16" t="n"/>
      <c r="BA231" s="16" t="n"/>
      <c r="BB231" s="16" t="n"/>
      <c r="BC231" s="18" t="n"/>
      <c r="BD231" s="16" t="n"/>
      <c r="BE231" s="16">
        <f>IF(C231="","",IF(AND(ISNUMBER(P231),P231&gt;MAX_PRICE),"Price too high",IF(AND(ISNUMBER(AB231),AB231&lt;=2),"Quality risk",IF(AND(ISNUMBER(U231),U231&lt;=2),"Aesthetic mismatch",IF(AY231="High","Too fragile",IF(AND(ISNUMBER(R231),R231&lt;LOW_PROFIT_PCT),"Low profit",IF(AND(ISNUMBER(AT231),AT231&gt;MOQ_WARNING),"MOQ too high",IF(OR(AD231="Maybe",AD231="Price Review"),"Needs partner review",IF(AD231="Buy","Good candidate","")))))))))</f>
        <v/>
      </c>
      <c r="BF231" s="16" t="n"/>
      <c r="BG231" s="16" t="n"/>
      <c r="BH231" s="16" t="n"/>
      <c r="BI231" s="16" t="n"/>
      <c r="BJ231" s="16" t="n"/>
      <c r="BK231" s="16" t="n"/>
      <c r="BL231" s="16">
        <f>IF(C231="","",IF(AND(BG231="Yes",BH231="Yes",BI231="Yes",BJ231="Yes",BK231="Yes"),"Yes","No"))</f>
        <v/>
      </c>
      <c r="BM231" s="18" t="n"/>
      <c r="BN231" s="18" t="n"/>
      <c r="BO231" s="18">
        <f>IF(OR(BM231="",BN231=""),"",BM231+BN231)</f>
        <v/>
      </c>
      <c r="BP231" s="18" t="n"/>
      <c r="BQ231" s="18">
        <f>IF(OR(BP231="",BO231=""),"",BP231-BO231)</f>
        <v/>
      </c>
      <c r="BR231" s="19">
        <f>IF(OR(BP231="",BP231=0,BQ231=""),"",BQ231/BP231)</f>
        <v/>
      </c>
      <c r="BS231" s="17" t="n"/>
      <c r="BT231" s="22" t="n"/>
      <c r="BU231" s="22" t="n"/>
      <c r="BV231" s="16" t="n"/>
      <c r="BW231" s="16" t="n"/>
      <c r="BX231" s="22">
        <f>IF(OR(BT231="",BU231=""),"",BT231-BU231)</f>
        <v/>
      </c>
      <c r="BY231" s="16" t="n"/>
      <c r="BZ231" s="17" t="n"/>
      <c r="CA231" s="16" t="n"/>
      <c r="CB231" s="16" t="n"/>
    </row>
    <row r="232">
      <c r="A232" s="23">
        <f>IF(C232="","","AYN-"&amp;IFERROR(VLOOKUP(E232,CATEGORY_PREFIX_TABLE,2,FALSE),"OTH")&amp;"-"&amp;TEXT(ROW()-2,"0000"))</f>
        <v/>
      </c>
      <c r="B232" s="24" t="n"/>
      <c r="C232" s="23" t="n"/>
      <c r="D232" s="23" t="n"/>
      <c r="E232" s="23" t="n"/>
      <c r="F232" s="23" t="n"/>
      <c r="G232" s="23" t="n"/>
      <c r="H232" s="23" t="n"/>
      <c r="I232" s="23" t="n"/>
      <c r="J232" s="23" t="n"/>
      <c r="K232" s="25">
        <f>IF(I232="","",IF(J232="BDT",I232,IF(J232="USD",I232*USD_BDT,IF(J232="RMB",I232*RMB_BDT,""))))</f>
        <v/>
      </c>
      <c r="L232" s="25" t="n"/>
      <c r="M232" s="26" t="n"/>
      <c r="N232" s="25" t="n"/>
      <c r="O232" s="25">
        <f>IF(K232="","",K232+IFERROR(L232,0)+(K232*IF(M232="",CUSTOMS_PCT,M232))+IF(N232="",MISC_FEE,N232))</f>
        <v/>
      </c>
      <c r="P232" s="25">
        <f>IF(O232="","",ROUND(O232*(1+MARKUP_PCT),-1)-1)</f>
        <v/>
      </c>
      <c r="Q232" s="25">
        <f>IF(P232="","",P232-O232)</f>
        <v/>
      </c>
      <c r="R232" s="26">
        <f>IF(OR(P232="",P232=0),"",Q232/P232)</f>
        <v/>
      </c>
      <c r="S232" s="23" t="n"/>
      <c r="T232" s="23" t="n"/>
      <c r="U232" s="23" t="n"/>
      <c r="V232" s="23" t="n"/>
      <c r="W232" s="23" t="n"/>
      <c r="X232" s="23" t="n"/>
      <c r="Y232" s="23" t="n"/>
      <c r="Z232" s="23" t="n"/>
      <c r="AA232" s="23" t="n"/>
      <c r="AB232" s="23" t="n"/>
      <c r="AC232" s="27">
        <f>IF(COUNT(S232:AB232)&lt;10,"",(S232*W_FEMININE+T232*W_TREND+U232*W_AESTHETIC+V232*W_STYLE+W232*W_LIGHT+X232*W_REELS+Y232*W_GIFT+Z232*W_PRICEFIT+AA232*W_DEMAND+AB232*W_QUALITY)/5*100)</f>
        <v/>
      </c>
      <c r="AD232" s="23">
        <f>IF(P232="","",IF(P232&gt;HARD_REJECT_PRICE,"Reject",IF(P232&gt;MAX_PRICE,"Price Review",IF(AC232="","",IF(AND(AC232&gt;=BUY_THRESHOLD,OR(AB232&lt;=2,U232&lt;=2)),"Maybe",IF(AC232&gt;=BUY_THRESHOLD,"Buy",IF(AC232&gt;=MAYBE_THRESHOLD,"Maybe","Reject")))))))</f>
        <v/>
      </c>
      <c r="AE232" s="23" t="n"/>
      <c r="AF232" s="23" t="n"/>
      <c r="AG232" s="23" t="n"/>
      <c r="AH232" s="23" t="n"/>
      <c r="AI232" s="24" t="n"/>
      <c r="AJ232">
        <f>IF(AC232="",-9999-ROW()*0.0000001,AC232-ROW()*0.0000001)</f>
        <v/>
      </c>
      <c r="AK232">
        <f>IF(OR(AC232="",P232="",P232&gt;MAX_PRICE),-9999-ROW()*0.0000001,AC232-ROW()*0.0000001)</f>
        <v/>
      </c>
      <c r="AL232">
        <f>IF(AC232="",-9999-ROW()*0.0000001,X232*1000+AC232-ROW()*0.0000001)</f>
        <v/>
      </c>
      <c r="AM232">
        <f>IF(AC232="",-9999-ROW()*0.0000001,Y232*1000+AC232-ROW()*0.0000001)</f>
        <v/>
      </c>
      <c r="AN232">
        <f>IF(AND(OR(AD232="Maybe",AD232="Price Review"),AG232&lt;&gt;"Approved",AG232&lt;&gt;"Rejected"),IF(AC232="",0,AC232)-ROW()*0.0000001,-9999-ROW()*0.0000001)</f>
        <v/>
      </c>
      <c r="AO232" s="28" t="n"/>
      <c r="AP232" s="28" t="n"/>
      <c r="AQ232" s="29" t="n"/>
      <c r="AR232" s="29" t="n"/>
      <c r="AS232" s="23" t="n"/>
      <c r="AT232" s="29" t="n"/>
      <c r="AU232" s="29" t="n"/>
      <c r="AV232" s="29" t="n"/>
      <c r="AW232" s="25">
        <f>IF(OR(O232="",AV232=""),"",O232*AV232)</f>
        <v/>
      </c>
      <c r="AX232" s="23" t="n"/>
      <c r="AY232" s="23" t="n"/>
      <c r="AZ232" s="23" t="n"/>
      <c r="BA232" s="23" t="n"/>
      <c r="BB232" s="23" t="n"/>
      <c r="BC232" s="25" t="n"/>
      <c r="BD232" s="23" t="n"/>
      <c r="BE232" s="23">
        <f>IF(C232="","",IF(AND(ISNUMBER(P232),P232&gt;MAX_PRICE),"Price too high",IF(AND(ISNUMBER(AB232),AB232&lt;=2),"Quality risk",IF(AND(ISNUMBER(U232),U232&lt;=2),"Aesthetic mismatch",IF(AY232="High","Too fragile",IF(AND(ISNUMBER(R232),R232&lt;LOW_PROFIT_PCT),"Low profit",IF(AND(ISNUMBER(AT232),AT232&gt;MOQ_WARNING),"MOQ too high",IF(OR(AD232="Maybe",AD232="Price Review"),"Needs partner review",IF(AD232="Buy","Good candidate","")))))))))</f>
        <v/>
      </c>
      <c r="BF232" s="23" t="n"/>
      <c r="BG232" s="23" t="n"/>
      <c r="BH232" s="23" t="n"/>
      <c r="BI232" s="23" t="n"/>
      <c r="BJ232" s="23" t="n"/>
      <c r="BK232" s="23" t="n"/>
      <c r="BL232" s="23">
        <f>IF(C232="","",IF(AND(BG232="Yes",BH232="Yes",BI232="Yes",BJ232="Yes",BK232="Yes"),"Yes","No"))</f>
        <v/>
      </c>
      <c r="BM232" s="25" t="n"/>
      <c r="BN232" s="25" t="n"/>
      <c r="BO232" s="25">
        <f>IF(OR(BM232="",BN232=""),"",BM232+BN232)</f>
        <v/>
      </c>
      <c r="BP232" s="25" t="n"/>
      <c r="BQ232" s="25">
        <f>IF(OR(BP232="",BO232=""),"",BP232-BO232)</f>
        <v/>
      </c>
      <c r="BR232" s="26">
        <f>IF(OR(BP232="",BP232=0,BQ232=""),"",BQ232/BP232)</f>
        <v/>
      </c>
      <c r="BS232" s="24" t="n"/>
      <c r="BT232" s="29" t="n"/>
      <c r="BU232" s="29" t="n"/>
      <c r="BV232" s="23" t="n"/>
      <c r="BW232" s="23" t="n"/>
      <c r="BX232" s="29">
        <f>IF(OR(BT232="",BU232=""),"",BT232-BU232)</f>
        <v/>
      </c>
      <c r="BY232" s="23" t="n"/>
      <c r="BZ232" s="24" t="n"/>
      <c r="CA232" s="23" t="n"/>
      <c r="CB232" s="23" t="n"/>
    </row>
    <row r="233">
      <c r="A233" s="16">
        <f>IF(C233="","","AYN-"&amp;IFERROR(VLOOKUP(E233,CATEGORY_PREFIX_TABLE,2,FALSE),"OTH")&amp;"-"&amp;TEXT(ROW()-2,"0000"))</f>
        <v/>
      </c>
      <c r="B233" s="17" t="n"/>
      <c r="C233" s="16" t="n"/>
      <c r="D233" s="16" t="n"/>
      <c r="E233" s="16" t="n"/>
      <c r="F233" s="16" t="n"/>
      <c r="G233" s="16" t="n"/>
      <c r="H233" s="16" t="n"/>
      <c r="I233" s="16" t="n"/>
      <c r="J233" s="16" t="n"/>
      <c r="K233" s="18">
        <f>IF(I233="","",IF(J233="BDT",I233,IF(J233="USD",I233*USD_BDT,IF(J233="RMB",I233*RMB_BDT,""))))</f>
        <v/>
      </c>
      <c r="L233" s="18" t="n"/>
      <c r="M233" s="19" t="n"/>
      <c r="N233" s="18" t="n"/>
      <c r="O233" s="18">
        <f>IF(K233="","",K233+IFERROR(L233,0)+(K233*IF(M233="",CUSTOMS_PCT,M233))+IF(N233="",MISC_FEE,N233))</f>
        <v/>
      </c>
      <c r="P233" s="18">
        <f>IF(O233="","",ROUND(O233*(1+MARKUP_PCT),-1)-1)</f>
        <v/>
      </c>
      <c r="Q233" s="18">
        <f>IF(P233="","",P233-O233)</f>
        <v/>
      </c>
      <c r="R233" s="19">
        <f>IF(OR(P233="",P233=0),"",Q233/P233)</f>
        <v/>
      </c>
      <c r="S233" s="16" t="n"/>
      <c r="T233" s="16" t="n"/>
      <c r="U233" s="16" t="n"/>
      <c r="V233" s="16" t="n"/>
      <c r="W233" s="16" t="n"/>
      <c r="X233" s="16" t="n"/>
      <c r="Y233" s="16" t="n"/>
      <c r="Z233" s="16" t="n"/>
      <c r="AA233" s="16" t="n"/>
      <c r="AB233" s="16" t="n"/>
      <c r="AC233" s="20">
        <f>IF(COUNT(S233:AB233)&lt;10,"",(S233*W_FEMININE+T233*W_TREND+U233*W_AESTHETIC+V233*W_STYLE+W233*W_LIGHT+X233*W_REELS+Y233*W_GIFT+Z233*W_PRICEFIT+AA233*W_DEMAND+AB233*W_QUALITY)/5*100)</f>
        <v/>
      </c>
      <c r="AD233" s="16">
        <f>IF(P233="","",IF(P233&gt;HARD_REJECT_PRICE,"Reject",IF(P233&gt;MAX_PRICE,"Price Review",IF(AC233="","",IF(AND(AC233&gt;=BUY_THRESHOLD,OR(AB233&lt;=2,U233&lt;=2)),"Maybe",IF(AC233&gt;=BUY_THRESHOLD,"Buy",IF(AC233&gt;=MAYBE_THRESHOLD,"Maybe","Reject")))))))</f>
        <v/>
      </c>
      <c r="AE233" s="16" t="n"/>
      <c r="AF233" s="16" t="n"/>
      <c r="AG233" s="16" t="n"/>
      <c r="AH233" s="16" t="n"/>
      <c r="AI233" s="17" t="n"/>
      <c r="AJ233">
        <f>IF(AC233="",-9999-ROW()*0.0000001,AC233-ROW()*0.0000001)</f>
        <v/>
      </c>
      <c r="AK233">
        <f>IF(OR(AC233="",P233="",P233&gt;MAX_PRICE),-9999-ROW()*0.0000001,AC233-ROW()*0.0000001)</f>
        <v/>
      </c>
      <c r="AL233">
        <f>IF(AC233="",-9999-ROW()*0.0000001,X233*1000+AC233-ROW()*0.0000001)</f>
        <v/>
      </c>
      <c r="AM233">
        <f>IF(AC233="",-9999-ROW()*0.0000001,Y233*1000+AC233-ROW()*0.0000001)</f>
        <v/>
      </c>
      <c r="AN233">
        <f>IF(AND(OR(AD233="Maybe",AD233="Price Review"),AG233&lt;&gt;"Approved",AG233&lt;&gt;"Rejected"),IF(AC233="",0,AC233)-ROW()*0.0000001,-9999-ROW()*0.0000001)</f>
        <v/>
      </c>
      <c r="AO233" s="21" t="n"/>
      <c r="AP233" s="21" t="n"/>
      <c r="AQ233" s="22" t="n"/>
      <c r="AR233" s="22" t="n"/>
      <c r="AS233" s="16" t="n"/>
      <c r="AT233" s="22" t="n"/>
      <c r="AU233" s="22" t="n"/>
      <c r="AV233" s="22" t="n"/>
      <c r="AW233" s="18">
        <f>IF(OR(O233="",AV233=""),"",O233*AV233)</f>
        <v/>
      </c>
      <c r="AX233" s="16" t="n"/>
      <c r="AY233" s="16" t="n"/>
      <c r="AZ233" s="16" t="n"/>
      <c r="BA233" s="16" t="n"/>
      <c r="BB233" s="16" t="n"/>
      <c r="BC233" s="18" t="n"/>
      <c r="BD233" s="16" t="n"/>
      <c r="BE233" s="16">
        <f>IF(C233="","",IF(AND(ISNUMBER(P233),P233&gt;MAX_PRICE),"Price too high",IF(AND(ISNUMBER(AB233),AB233&lt;=2),"Quality risk",IF(AND(ISNUMBER(U233),U233&lt;=2),"Aesthetic mismatch",IF(AY233="High","Too fragile",IF(AND(ISNUMBER(R233),R233&lt;LOW_PROFIT_PCT),"Low profit",IF(AND(ISNUMBER(AT233),AT233&gt;MOQ_WARNING),"MOQ too high",IF(OR(AD233="Maybe",AD233="Price Review"),"Needs partner review",IF(AD233="Buy","Good candidate","")))))))))</f>
        <v/>
      </c>
      <c r="BF233" s="16" t="n"/>
      <c r="BG233" s="16" t="n"/>
      <c r="BH233" s="16" t="n"/>
      <c r="BI233" s="16" t="n"/>
      <c r="BJ233" s="16" t="n"/>
      <c r="BK233" s="16" t="n"/>
      <c r="BL233" s="16">
        <f>IF(C233="","",IF(AND(BG233="Yes",BH233="Yes",BI233="Yes",BJ233="Yes",BK233="Yes"),"Yes","No"))</f>
        <v/>
      </c>
      <c r="BM233" s="18" t="n"/>
      <c r="BN233" s="18" t="n"/>
      <c r="BO233" s="18">
        <f>IF(OR(BM233="",BN233=""),"",BM233+BN233)</f>
        <v/>
      </c>
      <c r="BP233" s="18" t="n"/>
      <c r="BQ233" s="18">
        <f>IF(OR(BP233="",BO233=""),"",BP233-BO233)</f>
        <v/>
      </c>
      <c r="BR233" s="19">
        <f>IF(OR(BP233="",BP233=0,BQ233=""),"",BQ233/BP233)</f>
        <v/>
      </c>
      <c r="BS233" s="17" t="n"/>
      <c r="BT233" s="22" t="n"/>
      <c r="BU233" s="22" t="n"/>
      <c r="BV233" s="16" t="n"/>
      <c r="BW233" s="16" t="n"/>
      <c r="BX233" s="22">
        <f>IF(OR(BT233="",BU233=""),"",BT233-BU233)</f>
        <v/>
      </c>
      <c r="BY233" s="16" t="n"/>
      <c r="BZ233" s="17" t="n"/>
      <c r="CA233" s="16" t="n"/>
      <c r="CB233" s="16" t="n"/>
    </row>
    <row r="234">
      <c r="A234" s="23">
        <f>IF(C234="","","AYN-"&amp;IFERROR(VLOOKUP(E234,CATEGORY_PREFIX_TABLE,2,FALSE),"OTH")&amp;"-"&amp;TEXT(ROW()-2,"0000"))</f>
        <v/>
      </c>
      <c r="B234" s="24" t="n"/>
      <c r="C234" s="23" t="n"/>
      <c r="D234" s="23" t="n"/>
      <c r="E234" s="23" t="n"/>
      <c r="F234" s="23" t="n"/>
      <c r="G234" s="23" t="n"/>
      <c r="H234" s="23" t="n"/>
      <c r="I234" s="23" t="n"/>
      <c r="J234" s="23" t="n"/>
      <c r="K234" s="25">
        <f>IF(I234="","",IF(J234="BDT",I234,IF(J234="USD",I234*USD_BDT,IF(J234="RMB",I234*RMB_BDT,""))))</f>
        <v/>
      </c>
      <c r="L234" s="25" t="n"/>
      <c r="M234" s="26" t="n"/>
      <c r="N234" s="25" t="n"/>
      <c r="O234" s="25">
        <f>IF(K234="","",K234+IFERROR(L234,0)+(K234*IF(M234="",CUSTOMS_PCT,M234))+IF(N234="",MISC_FEE,N234))</f>
        <v/>
      </c>
      <c r="P234" s="25">
        <f>IF(O234="","",ROUND(O234*(1+MARKUP_PCT),-1)-1)</f>
        <v/>
      </c>
      <c r="Q234" s="25">
        <f>IF(P234="","",P234-O234)</f>
        <v/>
      </c>
      <c r="R234" s="26">
        <f>IF(OR(P234="",P234=0),"",Q234/P234)</f>
        <v/>
      </c>
      <c r="S234" s="23" t="n"/>
      <c r="T234" s="23" t="n"/>
      <c r="U234" s="23" t="n"/>
      <c r="V234" s="23" t="n"/>
      <c r="W234" s="23" t="n"/>
      <c r="X234" s="23" t="n"/>
      <c r="Y234" s="23" t="n"/>
      <c r="Z234" s="23" t="n"/>
      <c r="AA234" s="23" t="n"/>
      <c r="AB234" s="23" t="n"/>
      <c r="AC234" s="27">
        <f>IF(COUNT(S234:AB234)&lt;10,"",(S234*W_FEMININE+T234*W_TREND+U234*W_AESTHETIC+V234*W_STYLE+W234*W_LIGHT+X234*W_REELS+Y234*W_GIFT+Z234*W_PRICEFIT+AA234*W_DEMAND+AB234*W_QUALITY)/5*100)</f>
        <v/>
      </c>
      <c r="AD234" s="23">
        <f>IF(P234="","",IF(P234&gt;HARD_REJECT_PRICE,"Reject",IF(P234&gt;MAX_PRICE,"Price Review",IF(AC234="","",IF(AND(AC234&gt;=BUY_THRESHOLD,OR(AB234&lt;=2,U234&lt;=2)),"Maybe",IF(AC234&gt;=BUY_THRESHOLD,"Buy",IF(AC234&gt;=MAYBE_THRESHOLD,"Maybe","Reject")))))))</f>
        <v/>
      </c>
      <c r="AE234" s="23" t="n"/>
      <c r="AF234" s="23" t="n"/>
      <c r="AG234" s="23" t="n"/>
      <c r="AH234" s="23" t="n"/>
      <c r="AI234" s="24" t="n"/>
      <c r="AJ234">
        <f>IF(AC234="",-9999-ROW()*0.0000001,AC234-ROW()*0.0000001)</f>
        <v/>
      </c>
      <c r="AK234">
        <f>IF(OR(AC234="",P234="",P234&gt;MAX_PRICE),-9999-ROW()*0.0000001,AC234-ROW()*0.0000001)</f>
        <v/>
      </c>
      <c r="AL234">
        <f>IF(AC234="",-9999-ROW()*0.0000001,X234*1000+AC234-ROW()*0.0000001)</f>
        <v/>
      </c>
      <c r="AM234">
        <f>IF(AC234="",-9999-ROW()*0.0000001,Y234*1000+AC234-ROW()*0.0000001)</f>
        <v/>
      </c>
      <c r="AN234">
        <f>IF(AND(OR(AD234="Maybe",AD234="Price Review"),AG234&lt;&gt;"Approved",AG234&lt;&gt;"Rejected"),IF(AC234="",0,AC234)-ROW()*0.0000001,-9999-ROW()*0.0000001)</f>
        <v/>
      </c>
      <c r="AO234" s="28" t="n"/>
      <c r="AP234" s="28" t="n"/>
      <c r="AQ234" s="29" t="n"/>
      <c r="AR234" s="29" t="n"/>
      <c r="AS234" s="23" t="n"/>
      <c r="AT234" s="29" t="n"/>
      <c r="AU234" s="29" t="n"/>
      <c r="AV234" s="29" t="n"/>
      <c r="AW234" s="25">
        <f>IF(OR(O234="",AV234=""),"",O234*AV234)</f>
        <v/>
      </c>
      <c r="AX234" s="23" t="n"/>
      <c r="AY234" s="23" t="n"/>
      <c r="AZ234" s="23" t="n"/>
      <c r="BA234" s="23" t="n"/>
      <c r="BB234" s="23" t="n"/>
      <c r="BC234" s="25" t="n"/>
      <c r="BD234" s="23" t="n"/>
      <c r="BE234" s="23">
        <f>IF(C234="","",IF(AND(ISNUMBER(P234),P234&gt;MAX_PRICE),"Price too high",IF(AND(ISNUMBER(AB234),AB234&lt;=2),"Quality risk",IF(AND(ISNUMBER(U234),U234&lt;=2),"Aesthetic mismatch",IF(AY234="High","Too fragile",IF(AND(ISNUMBER(R234),R234&lt;LOW_PROFIT_PCT),"Low profit",IF(AND(ISNUMBER(AT234),AT234&gt;MOQ_WARNING),"MOQ too high",IF(OR(AD234="Maybe",AD234="Price Review"),"Needs partner review",IF(AD234="Buy","Good candidate","")))))))))</f>
        <v/>
      </c>
      <c r="BF234" s="23" t="n"/>
      <c r="BG234" s="23" t="n"/>
      <c r="BH234" s="23" t="n"/>
      <c r="BI234" s="23" t="n"/>
      <c r="BJ234" s="23" t="n"/>
      <c r="BK234" s="23" t="n"/>
      <c r="BL234" s="23">
        <f>IF(C234="","",IF(AND(BG234="Yes",BH234="Yes",BI234="Yes",BJ234="Yes",BK234="Yes"),"Yes","No"))</f>
        <v/>
      </c>
      <c r="BM234" s="25" t="n"/>
      <c r="BN234" s="25" t="n"/>
      <c r="BO234" s="25">
        <f>IF(OR(BM234="",BN234=""),"",BM234+BN234)</f>
        <v/>
      </c>
      <c r="BP234" s="25" t="n"/>
      <c r="BQ234" s="25">
        <f>IF(OR(BP234="",BO234=""),"",BP234-BO234)</f>
        <v/>
      </c>
      <c r="BR234" s="26">
        <f>IF(OR(BP234="",BP234=0,BQ234=""),"",BQ234/BP234)</f>
        <v/>
      </c>
      <c r="BS234" s="24" t="n"/>
      <c r="BT234" s="29" t="n"/>
      <c r="BU234" s="29" t="n"/>
      <c r="BV234" s="23" t="n"/>
      <c r="BW234" s="23" t="n"/>
      <c r="BX234" s="29">
        <f>IF(OR(BT234="",BU234=""),"",BT234-BU234)</f>
        <v/>
      </c>
      <c r="BY234" s="23" t="n"/>
      <c r="BZ234" s="24" t="n"/>
      <c r="CA234" s="23" t="n"/>
      <c r="CB234" s="23" t="n"/>
    </row>
    <row r="235">
      <c r="A235" s="16">
        <f>IF(C235="","","AYN-"&amp;IFERROR(VLOOKUP(E235,CATEGORY_PREFIX_TABLE,2,FALSE),"OTH")&amp;"-"&amp;TEXT(ROW()-2,"0000"))</f>
        <v/>
      </c>
      <c r="B235" s="17" t="n"/>
      <c r="C235" s="16" t="n"/>
      <c r="D235" s="16" t="n"/>
      <c r="E235" s="16" t="n"/>
      <c r="F235" s="16" t="n"/>
      <c r="G235" s="16" t="n"/>
      <c r="H235" s="16" t="n"/>
      <c r="I235" s="16" t="n"/>
      <c r="J235" s="16" t="n"/>
      <c r="K235" s="18">
        <f>IF(I235="","",IF(J235="BDT",I235,IF(J235="USD",I235*USD_BDT,IF(J235="RMB",I235*RMB_BDT,""))))</f>
        <v/>
      </c>
      <c r="L235" s="18" t="n"/>
      <c r="M235" s="19" t="n"/>
      <c r="N235" s="18" t="n"/>
      <c r="O235" s="18">
        <f>IF(K235="","",K235+IFERROR(L235,0)+(K235*IF(M235="",CUSTOMS_PCT,M235))+IF(N235="",MISC_FEE,N235))</f>
        <v/>
      </c>
      <c r="P235" s="18">
        <f>IF(O235="","",ROUND(O235*(1+MARKUP_PCT),-1)-1)</f>
        <v/>
      </c>
      <c r="Q235" s="18">
        <f>IF(P235="","",P235-O235)</f>
        <v/>
      </c>
      <c r="R235" s="19">
        <f>IF(OR(P235="",P235=0),"",Q235/P235)</f>
        <v/>
      </c>
      <c r="S235" s="16" t="n"/>
      <c r="T235" s="16" t="n"/>
      <c r="U235" s="16" t="n"/>
      <c r="V235" s="16" t="n"/>
      <c r="W235" s="16" t="n"/>
      <c r="X235" s="16" t="n"/>
      <c r="Y235" s="16" t="n"/>
      <c r="Z235" s="16" t="n"/>
      <c r="AA235" s="16" t="n"/>
      <c r="AB235" s="16" t="n"/>
      <c r="AC235" s="20">
        <f>IF(COUNT(S235:AB235)&lt;10,"",(S235*W_FEMININE+T235*W_TREND+U235*W_AESTHETIC+V235*W_STYLE+W235*W_LIGHT+X235*W_REELS+Y235*W_GIFT+Z235*W_PRICEFIT+AA235*W_DEMAND+AB235*W_QUALITY)/5*100)</f>
        <v/>
      </c>
      <c r="AD235" s="16">
        <f>IF(P235="","",IF(P235&gt;HARD_REJECT_PRICE,"Reject",IF(P235&gt;MAX_PRICE,"Price Review",IF(AC235="","",IF(AND(AC235&gt;=BUY_THRESHOLD,OR(AB235&lt;=2,U235&lt;=2)),"Maybe",IF(AC235&gt;=BUY_THRESHOLD,"Buy",IF(AC235&gt;=MAYBE_THRESHOLD,"Maybe","Reject")))))))</f>
        <v/>
      </c>
      <c r="AE235" s="16" t="n"/>
      <c r="AF235" s="16" t="n"/>
      <c r="AG235" s="16" t="n"/>
      <c r="AH235" s="16" t="n"/>
      <c r="AI235" s="17" t="n"/>
      <c r="AJ235">
        <f>IF(AC235="",-9999-ROW()*0.0000001,AC235-ROW()*0.0000001)</f>
        <v/>
      </c>
      <c r="AK235">
        <f>IF(OR(AC235="",P235="",P235&gt;MAX_PRICE),-9999-ROW()*0.0000001,AC235-ROW()*0.0000001)</f>
        <v/>
      </c>
      <c r="AL235">
        <f>IF(AC235="",-9999-ROW()*0.0000001,X235*1000+AC235-ROW()*0.0000001)</f>
        <v/>
      </c>
      <c r="AM235">
        <f>IF(AC235="",-9999-ROW()*0.0000001,Y235*1000+AC235-ROW()*0.0000001)</f>
        <v/>
      </c>
      <c r="AN235">
        <f>IF(AND(OR(AD235="Maybe",AD235="Price Review"),AG235&lt;&gt;"Approved",AG235&lt;&gt;"Rejected"),IF(AC235="",0,AC235)-ROW()*0.0000001,-9999-ROW()*0.0000001)</f>
        <v/>
      </c>
      <c r="AO235" s="21" t="n"/>
      <c r="AP235" s="21" t="n"/>
      <c r="AQ235" s="22" t="n"/>
      <c r="AR235" s="22" t="n"/>
      <c r="AS235" s="16" t="n"/>
      <c r="AT235" s="22" t="n"/>
      <c r="AU235" s="22" t="n"/>
      <c r="AV235" s="22" t="n"/>
      <c r="AW235" s="18">
        <f>IF(OR(O235="",AV235=""),"",O235*AV235)</f>
        <v/>
      </c>
      <c r="AX235" s="16" t="n"/>
      <c r="AY235" s="16" t="n"/>
      <c r="AZ235" s="16" t="n"/>
      <c r="BA235" s="16" t="n"/>
      <c r="BB235" s="16" t="n"/>
      <c r="BC235" s="18" t="n"/>
      <c r="BD235" s="16" t="n"/>
      <c r="BE235" s="16">
        <f>IF(C235="","",IF(AND(ISNUMBER(P235),P235&gt;MAX_PRICE),"Price too high",IF(AND(ISNUMBER(AB235),AB235&lt;=2),"Quality risk",IF(AND(ISNUMBER(U235),U235&lt;=2),"Aesthetic mismatch",IF(AY235="High","Too fragile",IF(AND(ISNUMBER(R235),R235&lt;LOW_PROFIT_PCT),"Low profit",IF(AND(ISNUMBER(AT235),AT235&gt;MOQ_WARNING),"MOQ too high",IF(OR(AD235="Maybe",AD235="Price Review"),"Needs partner review",IF(AD235="Buy","Good candidate","")))))))))</f>
        <v/>
      </c>
      <c r="BF235" s="16" t="n"/>
      <c r="BG235" s="16" t="n"/>
      <c r="BH235" s="16" t="n"/>
      <c r="BI235" s="16" t="n"/>
      <c r="BJ235" s="16" t="n"/>
      <c r="BK235" s="16" t="n"/>
      <c r="BL235" s="16">
        <f>IF(C235="","",IF(AND(BG235="Yes",BH235="Yes",BI235="Yes",BJ235="Yes",BK235="Yes"),"Yes","No"))</f>
        <v/>
      </c>
      <c r="BM235" s="18" t="n"/>
      <c r="BN235" s="18" t="n"/>
      <c r="BO235" s="18">
        <f>IF(OR(BM235="",BN235=""),"",BM235+BN235)</f>
        <v/>
      </c>
      <c r="BP235" s="18" t="n"/>
      <c r="BQ235" s="18">
        <f>IF(OR(BP235="",BO235=""),"",BP235-BO235)</f>
        <v/>
      </c>
      <c r="BR235" s="19">
        <f>IF(OR(BP235="",BP235=0,BQ235=""),"",BQ235/BP235)</f>
        <v/>
      </c>
      <c r="BS235" s="17" t="n"/>
      <c r="BT235" s="22" t="n"/>
      <c r="BU235" s="22" t="n"/>
      <c r="BV235" s="16" t="n"/>
      <c r="BW235" s="16" t="n"/>
      <c r="BX235" s="22">
        <f>IF(OR(BT235="",BU235=""),"",BT235-BU235)</f>
        <v/>
      </c>
      <c r="BY235" s="16" t="n"/>
      <c r="BZ235" s="17" t="n"/>
      <c r="CA235" s="16" t="n"/>
      <c r="CB235" s="16" t="n"/>
    </row>
    <row r="236">
      <c r="A236" s="23">
        <f>IF(C236="","","AYN-"&amp;IFERROR(VLOOKUP(E236,CATEGORY_PREFIX_TABLE,2,FALSE),"OTH")&amp;"-"&amp;TEXT(ROW()-2,"0000"))</f>
        <v/>
      </c>
      <c r="B236" s="24" t="n"/>
      <c r="C236" s="23" t="n"/>
      <c r="D236" s="23" t="n"/>
      <c r="E236" s="23" t="n"/>
      <c r="F236" s="23" t="n"/>
      <c r="G236" s="23" t="n"/>
      <c r="H236" s="23" t="n"/>
      <c r="I236" s="23" t="n"/>
      <c r="J236" s="23" t="n"/>
      <c r="K236" s="25">
        <f>IF(I236="","",IF(J236="BDT",I236,IF(J236="USD",I236*USD_BDT,IF(J236="RMB",I236*RMB_BDT,""))))</f>
        <v/>
      </c>
      <c r="L236" s="25" t="n"/>
      <c r="M236" s="26" t="n"/>
      <c r="N236" s="25" t="n"/>
      <c r="O236" s="25">
        <f>IF(K236="","",K236+IFERROR(L236,0)+(K236*IF(M236="",CUSTOMS_PCT,M236))+IF(N236="",MISC_FEE,N236))</f>
        <v/>
      </c>
      <c r="P236" s="25">
        <f>IF(O236="","",ROUND(O236*(1+MARKUP_PCT),-1)-1)</f>
        <v/>
      </c>
      <c r="Q236" s="25">
        <f>IF(P236="","",P236-O236)</f>
        <v/>
      </c>
      <c r="R236" s="26">
        <f>IF(OR(P236="",P236=0),"",Q236/P236)</f>
        <v/>
      </c>
      <c r="S236" s="23" t="n"/>
      <c r="T236" s="23" t="n"/>
      <c r="U236" s="23" t="n"/>
      <c r="V236" s="23" t="n"/>
      <c r="W236" s="23" t="n"/>
      <c r="X236" s="23" t="n"/>
      <c r="Y236" s="23" t="n"/>
      <c r="Z236" s="23" t="n"/>
      <c r="AA236" s="23" t="n"/>
      <c r="AB236" s="23" t="n"/>
      <c r="AC236" s="27">
        <f>IF(COUNT(S236:AB236)&lt;10,"",(S236*W_FEMININE+T236*W_TREND+U236*W_AESTHETIC+V236*W_STYLE+W236*W_LIGHT+X236*W_REELS+Y236*W_GIFT+Z236*W_PRICEFIT+AA236*W_DEMAND+AB236*W_QUALITY)/5*100)</f>
        <v/>
      </c>
      <c r="AD236" s="23">
        <f>IF(P236="","",IF(P236&gt;HARD_REJECT_PRICE,"Reject",IF(P236&gt;MAX_PRICE,"Price Review",IF(AC236="","",IF(AND(AC236&gt;=BUY_THRESHOLD,OR(AB236&lt;=2,U236&lt;=2)),"Maybe",IF(AC236&gt;=BUY_THRESHOLD,"Buy",IF(AC236&gt;=MAYBE_THRESHOLD,"Maybe","Reject")))))))</f>
        <v/>
      </c>
      <c r="AE236" s="23" t="n"/>
      <c r="AF236" s="23" t="n"/>
      <c r="AG236" s="23" t="n"/>
      <c r="AH236" s="23" t="n"/>
      <c r="AI236" s="24" t="n"/>
      <c r="AJ236">
        <f>IF(AC236="",-9999-ROW()*0.0000001,AC236-ROW()*0.0000001)</f>
        <v/>
      </c>
      <c r="AK236">
        <f>IF(OR(AC236="",P236="",P236&gt;MAX_PRICE),-9999-ROW()*0.0000001,AC236-ROW()*0.0000001)</f>
        <v/>
      </c>
      <c r="AL236">
        <f>IF(AC236="",-9999-ROW()*0.0000001,X236*1000+AC236-ROW()*0.0000001)</f>
        <v/>
      </c>
      <c r="AM236">
        <f>IF(AC236="",-9999-ROW()*0.0000001,Y236*1000+AC236-ROW()*0.0000001)</f>
        <v/>
      </c>
      <c r="AN236">
        <f>IF(AND(OR(AD236="Maybe",AD236="Price Review"),AG236&lt;&gt;"Approved",AG236&lt;&gt;"Rejected"),IF(AC236="",0,AC236)-ROW()*0.0000001,-9999-ROW()*0.0000001)</f>
        <v/>
      </c>
      <c r="AO236" s="28" t="n"/>
      <c r="AP236" s="28" t="n"/>
      <c r="AQ236" s="29" t="n"/>
      <c r="AR236" s="29" t="n"/>
      <c r="AS236" s="23" t="n"/>
      <c r="AT236" s="29" t="n"/>
      <c r="AU236" s="29" t="n"/>
      <c r="AV236" s="29" t="n"/>
      <c r="AW236" s="25">
        <f>IF(OR(O236="",AV236=""),"",O236*AV236)</f>
        <v/>
      </c>
      <c r="AX236" s="23" t="n"/>
      <c r="AY236" s="23" t="n"/>
      <c r="AZ236" s="23" t="n"/>
      <c r="BA236" s="23" t="n"/>
      <c r="BB236" s="23" t="n"/>
      <c r="BC236" s="25" t="n"/>
      <c r="BD236" s="23" t="n"/>
      <c r="BE236" s="23">
        <f>IF(C236="","",IF(AND(ISNUMBER(P236),P236&gt;MAX_PRICE),"Price too high",IF(AND(ISNUMBER(AB236),AB236&lt;=2),"Quality risk",IF(AND(ISNUMBER(U236),U236&lt;=2),"Aesthetic mismatch",IF(AY236="High","Too fragile",IF(AND(ISNUMBER(R236),R236&lt;LOW_PROFIT_PCT),"Low profit",IF(AND(ISNUMBER(AT236),AT236&gt;MOQ_WARNING),"MOQ too high",IF(OR(AD236="Maybe",AD236="Price Review"),"Needs partner review",IF(AD236="Buy","Good candidate","")))))))))</f>
        <v/>
      </c>
      <c r="BF236" s="23" t="n"/>
      <c r="BG236" s="23" t="n"/>
      <c r="BH236" s="23" t="n"/>
      <c r="BI236" s="23" t="n"/>
      <c r="BJ236" s="23" t="n"/>
      <c r="BK236" s="23" t="n"/>
      <c r="BL236" s="23">
        <f>IF(C236="","",IF(AND(BG236="Yes",BH236="Yes",BI236="Yes",BJ236="Yes",BK236="Yes"),"Yes","No"))</f>
        <v/>
      </c>
      <c r="BM236" s="25" t="n"/>
      <c r="BN236" s="25" t="n"/>
      <c r="BO236" s="25">
        <f>IF(OR(BM236="",BN236=""),"",BM236+BN236)</f>
        <v/>
      </c>
      <c r="BP236" s="25" t="n"/>
      <c r="BQ236" s="25">
        <f>IF(OR(BP236="",BO236=""),"",BP236-BO236)</f>
        <v/>
      </c>
      <c r="BR236" s="26">
        <f>IF(OR(BP236="",BP236=0,BQ236=""),"",BQ236/BP236)</f>
        <v/>
      </c>
      <c r="BS236" s="24" t="n"/>
      <c r="BT236" s="29" t="n"/>
      <c r="BU236" s="29" t="n"/>
      <c r="BV236" s="23" t="n"/>
      <c r="BW236" s="23" t="n"/>
      <c r="BX236" s="29">
        <f>IF(OR(BT236="",BU236=""),"",BT236-BU236)</f>
        <v/>
      </c>
      <c r="BY236" s="23" t="n"/>
      <c r="BZ236" s="24" t="n"/>
      <c r="CA236" s="23" t="n"/>
      <c r="CB236" s="23" t="n"/>
    </row>
    <row r="237">
      <c r="A237" s="16">
        <f>IF(C237="","","AYN-"&amp;IFERROR(VLOOKUP(E237,CATEGORY_PREFIX_TABLE,2,FALSE),"OTH")&amp;"-"&amp;TEXT(ROW()-2,"0000"))</f>
        <v/>
      </c>
      <c r="B237" s="17" t="n"/>
      <c r="C237" s="16" t="n"/>
      <c r="D237" s="16" t="n"/>
      <c r="E237" s="16" t="n"/>
      <c r="F237" s="16" t="n"/>
      <c r="G237" s="16" t="n"/>
      <c r="H237" s="16" t="n"/>
      <c r="I237" s="16" t="n"/>
      <c r="J237" s="16" t="n"/>
      <c r="K237" s="18">
        <f>IF(I237="","",IF(J237="BDT",I237,IF(J237="USD",I237*USD_BDT,IF(J237="RMB",I237*RMB_BDT,""))))</f>
        <v/>
      </c>
      <c r="L237" s="18" t="n"/>
      <c r="M237" s="19" t="n"/>
      <c r="N237" s="18" t="n"/>
      <c r="O237" s="18">
        <f>IF(K237="","",K237+IFERROR(L237,0)+(K237*IF(M237="",CUSTOMS_PCT,M237))+IF(N237="",MISC_FEE,N237))</f>
        <v/>
      </c>
      <c r="P237" s="18">
        <f>IF(O237="","",ROUND(O237*(1+MARKUP_PCT),-1)-1)</f>
        <v/>
      </c>
      <c r="Q237" s="18">
        <f>IF(P237="","",P237-O237)</f>
        <v/>
      </c>
      <c r="R237" s="19">
        <f>IF(OR(P237="",P237=0),"",Q237/P237)</f>
        <v/>
      </c>
      <c r="S237" s="16" t="n"/>
      <c r="T237" s="16" t="n"/>
      <c r="U237" s="16" t="n"/>
      <c r="V237" s="16" t="n"/>
      <c r="W237" s="16" t="n"/>
      <c r="X237" s="16" t="n"/>
      <c r="Y237" s="16" t="n"/>
      <c r="Z237" s="16" t="n"/>
      <c r="AA237" s="16" t="n"/>
      <c r="AB237" s="16" t="n"/>
      <c r="AC237" s="20">
        <f>IF(COUNT(S237:AB237)&lt;10,"",(S237*W_FEMININE+T237*W_TREND+U237*W_AESTHETIC+V237*W_STYLE+W237*W_LIGHT+X237*W_REELS+Y237*W_GIFT+Z237*W_PRICEFIT+AA237*W_DEMAND+AB237*W_QUALITY)/5*100)</f>
        <v/>
      </c>
      <c r="AD237" s="16">
        <f>IF(P237="","",IF(P237&gt;HARD_REJECT_PRICE,"Reject",IF(P237&gt;MAX_PRICE,"Price Review",IF(AC237="","",IF(AND(AC237&gt;=BUY_THRESHOLD,OR(AB237&lt;=2,U237&lt;=2)),"Maybe",IF(AC237&gt;=BUY_THRESHOLD,"Buy",IF(AC237&gt;=MAYBE_THRESHOLD,"Maybe","Reject")))))))</f>
        <v/>
      </c>
      <c r="AE237" s="16" t="n"/>
      <c r="AF237" s="16" t="n"/>
      <c r="AG237" s="16" t="n"/>
      <c r="AH237" s="16" t="n"/>
      <c r="AI237" s="17" t="n"/>
      <c r="AJ237">
        <f>IF(AC237="",-9999-ROW()*0.0000001,AC237-ROW()*0.0000001)</f>
        <v/>
      </c>
      <c r="AK237">
        <f>IF(OR(AC237="",P237="",P237&gt;MAX_PRICE),-9999-ROW()*0.0000001,AC237-ROW()*0.0000001)</f>
        <v/>
      </c>
      <c r="AL237">
        <f>IF(AC237="",-9999-ROW()*0.0000001,X237*1000+AC237-ROW()*0.0000001)</f>
        <v/>
      </c>
      <c r="AM237">
        <f>IF(AC237="",-9999-ROW()*0.0000001,Y237*1000+AC237-ROW()*0.0000001)</f>
        <v/>
      </c>
      <c r="AN237">
        <f>IF(AND(OR(AD237="Maybe",AD237="Price Review"),AG237&lt;&gt;"Approved",AG237&lt;&gt;"Rejected"),IF(AC237="",0,AC237)-ROW()*0.0000001,-9999-ROW()*0.0000001)</f>
        <v/>
      </c>
      <c r="AO237" s="21" t="n"/>
      <c r="AP237" s="21" t="n"/>
      <c r="AQ237" s="22" t="n"/>
      <c r="AR237" s="22" t="n"/>
      <c r="AS237" s="16" t="n"/>
      <c r="AT237" s="22" t="n"/>
      <c r="AU237" s="22" t="n"/>
      <c r="AV237" s="22" t="n"/>
      <c r="AW237" s="18">
        <f>IF(OR(O237="",AV237=""),"",O237*AV237)</f>
        <v/>
      </c>
      <c r="AX237" s="16" t="n"/>
      <c r="AY237" s="16" t="n"/>
      <c r="AZ237" s="16" t="n"/>
      <c r="BA237" s="16" t="n"/>
      <c r="BB237" s="16" t="n"/>
      <c r="BC237" s="18" t="n"/>
      <c r="BD237" s="16" t="n"/>
      <c r="BE237" s="16">
        <f>IF(C237="","",IF(AND(ISNUMBER(P237),P237&gt;MAX_PRICE),"Price too high",IF(AND(ISNUMBER(AB237),AB237&lt;=2),"Quality risk",IF(AND(ISNUMBER(U237),U237&lt;=2),"Aesthetic mismatch",IF(AY237="High","Too fragile",IF(AND(ISNUMBER(R237),R237&lt;LOW_PROFIT_PCT),"Low profit",IF(AND(ISNUMBER(AT237),AT237&gt;MOQ_WARNING),"MOQ too high",IF(OR(AD237="Maybe",AD237="Price Review"),"Needs partner review",IF(AD237="Buy","Good candidate","")))))))))</f>
        <v/>
      </c>
      <c r="BF237" s="16" t="n"/>
      <c r="BG237" s="16" t="n"/>
      <c r="BH237" s="16" t="n"/>
      <c r="BI237" s="16" t="n"/>
      <c r="BJ237" s="16" t="n"/>
      <c r="BK237" s="16" t="n"/>
      <c r="BL237" s="16">
        <f>IF(C237="","",IF(AND(BG237="Yes",BH237="Yes",BI237="Yes",BJ237="Yes",BK237="Yes"),"Yes","No"))</f>
        <v/>
      </c>
      <c r="BM237" s="18" t="n"/>
      <c r="BN237" s="18" t="n"/>
      <c r="BO237" s="18">
        <f>IF(OR(BM237="",BN237=""),"",BM237+BN237)</f>
        <v/>
      </c>
      <c r="BP237" s="18" t="n"/>
      <c r="BQ237" s="18">
        <f>IF(OR(BP237="",BO237=""),"",BP237-BO237)</f>
        <v/>
      </c>
      <c r="BR237" s="19">
        <f>IF(OR(BP237="",BP237=0,BQ237=""),"",BQ237/BP237)</f>
        <v/>
      </c>
      <c r="BS237" s="17" t="n"/>
      <c r="BT237" s="22" t="n"/>
      <c r="BU237" s="22" t="n"/>
      <c r="BV237" s="16" t="n"/>
      <c r="BW237" s="16" t="n"/>
      <c r="BX237" s="22">
        <f>IF(OR(BT237="",BU237=""),"",BT237-BU237)</f>
        <v/>
      </c>
      <c r="BY237" s="16" t="n"/>
      <c r="BZ237" s="17" t="n"/>
      <c r="CA237" s="16" t="n"/>
      <c r="CB237" s="16" t="n"/>
    </row>
    <row r="238">
      <c r="A238" s="23">
        <f>IF(C238="","","AYN-"&amp;IFERROR(VLOOKUP(E238,CATEGORY_PREFIX_TABLE,2,FALSE),"OTH")&amp;"-"&amp;TEXT(ROW()-2,"0000"))</f>
        <v/>
      </c>
      <c r="B238" s="24" t="n"/>
      <c r="C238" s="23" t="n"/>
      <c r="D238" s="23" t="n"/>
      <c r="E238" s="23" t="n"/>
      <c r="F238" s="23" t="n"/>
      <c r="G238" s="23" t="n"/>
      <c r="H238" s="23" t="n"/>
      <c r="I238" s="23" t="n"/>
      <c r="J238" s="23" t="n"/>
      <c r="K238" s="25">
        <f>IF(I238="","",IF(J238="BDT",I238,IF(J238="USD",I238*USD_BDT,IF(J238="RMB",I238*RMB_BDT,""))))</f>
        <v/>
      </c>
      <c r="L238" s="25" t="n"/>
      <c r="M238" s="26" t="n"/>
      <c r="N238" s="25" t="n"/>
      <c r="O238" s="25">
        <f>IF(K238="","",K238+IFERROR(L238,0)+(K238*IF(M238="",CUSTOMS_PCT,M238))+IF(N238="",MISC_FEE,N238))</f>
        <v/>
      </c>
      <c r="P238" s="25">
        <f>IF(O238="","",ROUND(O238*(1+MARKUP_PCT),-1)-1)</f>
        <v/>
      </c>
      <c r="Q238" s="25">
        <f>IF(P238="","",P238-O238)</f>
        <v/>
      </c>
      <c r="R238" s="26">
        <f>IF(OR(P238="",P238=0),"",Q238/P238)</f>
        <v/>
      </c>
      <c r="S238" s="23" t="n"/>
      <c r="T238" s="23" t="n"/>
      <c r="U238" s="23" t="n"/>
      <c r="V238" s="23" t="n"/>
      <c r="W238" s="23" t="n"/>
      <c r="X238" s="23" t="n"/>
      <c r="Y238" s="23" t="n"/>
      <c r="Z238" s="23" t="n"/>
      <c r="AA238" s="23" t="n"/>
      <c r="AB238" s="23" t="n"/>
      <c r="AC238" s="27">
        <f>IF(COUNT(S238:AB238)&lt;10,"",(S238*W_FEMININE+T238*W_TREND+U238*W_AESTHETIC+V238*W_STYLE+W238*W_LIGHT+X238*W_REELS+Y238*W_GIFT+Z238*W_PRICEFIT+AA238*W_DEMAND+AB238*W_QUALITY)/5*100)</f>
        <v/>
      </c>
      <c r="AD238" s="23">
        <f>IF(P238="","",IF(P238&gt;HARD_REJECT_PRICE,"Reject",IF(P238&gt;MAX_PRICE,"Price Review",IF(AC238="","",IF(AND(AC238&gt;=BUY_THRESHOLD,OR(AB238&lt;=2,U238&lt;=2)),"Maybe",IF(AC238&gt;=BUY_THRESHOLD,"Buy",IF(AC238&gt;=MAYBE_THRESHOLD,"Maybe","Reject")))))))</f>
        <v/>
      </c>
      <c r="AE238" s="23" t="n"/>
      <c r="AF238" s="23" t="n"/>
      <c r="AG238" s="23" t="n"/>
      <c r="AH238" s="23" t="n"/>
      <c r="AI238" s="24" t="n"/>
      <c r="AJ238">
        <f>IF(AC238="",-9999-ROW()*0.0000001,AC238-ROW()*0.0000001)</f>
        <v/>
      </c>
      <c r="AK238">
        <f>IF(OR(AC238="",P238="",P238&gt;MAX_PRICE),-9999-ROW()*0.0000001,AC238-ROW()*0.0000001)</f>
        <v/>
      </c>
      <c r="AL238">
        <f>IF(AC238="",-9999-ROW()*0.0000001,X238*1000+AC238-ROW()*0.0000001)</f>
        <v/>
      </c>
      <c r="AM238">
        <f>IF(AC238="",-9999-ROW()*0.0000001,Y238*1000+AC238-ROW()*0.0000001)</f>
        <v/>
      </c>
      <c r="AN238">
        <f>IF(AND(OR(AD238="Maybe",AD238="Price Review"),AG238&lt;&gt;"Approved",AG238&lt;&gt;"Rejected"),IF(AC238="",0,AC238)-ROW()*0.0000001,-9999-ROW()*0.0000001)</f>
        <v/>
      </c>
      <c r="AO238" s="28" t="n"/>
      <c r="AP238" s="28" t="n"/>
      <c r="AQ238" s="29" t="n"/>
      <c r="AR238" s="29" t="n"/>
      <c r="AS238" s="23" t="n"/>
      <c r="AT238" s="29" t="n"/>
      <c r="AU238" s="29" t="n"/>
      <c r="AV238" s="29" t="n"/>
      <c r="AW238" s="25">
        <f>IF(OR(O238="",AV238=""),"",O238*AV238)</f>
        <v/>
      </c>
      <c r="AX238" s="23" t="n"/>
      <c r="AY238" s="23" t="n"/>
      <c r="AZ238" s="23" t="n"/>
      <c r="BA238" s="23" t="n"/>
      <c r="BB238" s="23" t="n"/>
      <c r="BC238" s="25" t="n"/>
      <c r="BD238" s="23" t="n"/>
      <c r="BE238" s="23">
        <f>IF(C238="","",IF(AND(ISNUMBER(P238),P238&gt;MAX_PRICE),"Price too high",IF(AND(ISNUMBER(AB238),AB238&lt;=2),"Quality risk",IF(AND(ISNUMBER(U238),U238&lt;=2),"Aesthetic mismatch",IF(AY238="High","Too fragile",IF(AND(ISNUMBER(R238),R238&lt;LOW_PROFIT_PCT),"Low profit",IF(AND(ISNUMBER(AT238),AT238&gt;MOQ_WARNING),"MOQ too high",IF(OR(AD238="Maybe",AD238="Price Review"),"Needs partner review",IF(AD238="Buy","Good candidate","")))))))))</f>
        <v/>
      </c>
      <c r="BF238" s="23" t="n"/>
      <c r="BG238" s="23" t="n"/>
      <c r="BH238" s="23" t="n"/>
      <c r="BI238" s="23" t="n"/>
      <c r="BJ238" s="23" t="n"/>
      <c r="BK238" s="23" t="n"/>
      <c r="BL238" s="23">
        <f>IF(C238="","",IF(AND(BG238="Yes",BH238="Yes",BI238="Yes",BJ238="Yes",BK238="Yes"),"Yes","No"))</f>
        <v/>
      </c>
      <c r="BM238" s="25" t="n"/>
      <c r="BN238" s="25" t="n"/>
      <c r="BO238" s="25">
        <f>IF(OR(BM238="",BN238=""),"",BM238+BN238)</f>
        <v/>
      </c>
      <c r="BP238" s="25" t="n"/>
      <c r="BQ238" s="25">
        <f>IF(OR(BP238="",BO238=""),"",BP238-BO238)</f>
        <v/>
      </c>
      <c r="BR238" s="26">
        <f>IF(OR(BP238="",BP238=0,BQ238=""),"",BQ238/BP238)</f>
        <v/>
      </c>
      <c r="BS238" s="24" t="n"/>
      <c r="BT238" s="29" t="n"/>
      <c r="BU238" s="29" t="n"/>
      <c r="BV238" s="23" t="n"/>
      <c r="BW238" s="23" t="n"/>
      <c r="BX238" s="29">
        <f>IF(OR(BT238="",BU238=""),"",BT238-BU238)</f>
        <v/>
      </c>
      <c r="BY238" s="23" t="n"/>
      <c r="BZ238" s="24" t="n"/>
      <c r="CA238" s="23" t="n"/>
      <c r="CB238" s="23" t="n"/>
    </row>
    <row r="239">
      <c r="A239" s="16">
        <f>IF(C239="","","AYN-"&amp;IFERROR(VLOOKUP(E239,CATEGORY_PREFIX_TABLE,2,FALSE),"OTH")&amp;"-"&amp;TEXT(ROW()-2,"0000"))</f>
        <v/>
      </c>
      <c r="B239" s="17" t="n"/>
      <c r="C239" s="16" t="n"/>
      <c r="D239" s="16" t="n"/>
      <c r="E239" s="16" t="n"/>
      <c r="F239" s="16" t="n"/>
      <c r="G239" s="16" t="n"/>
      <c r="H239" s="16" t="n"/>
      <c r="I239" s="16" t="n"/>
      <c r="J239" s="16" t="n"/>
      <c r="K239" s="18">
        <f>IF(I239="","",IF(J239="BDT",I239,IF(J239="USD",I239*USD_BDT,IF(J239="RMB",I239*RMB_BDT,""))))</f>
        <v/>
      </c>
      <c r="L239" s="18" t="n"/>
      <c r="M239" s="19" t="n"/>
      <c r="N239" s="18" t="n"/>
      <c r="O239" s="18">
        <f>IF(K239="","",K239+IFERROR(L239,0)+(K239*IF(M239="",CUSTOMS_PCT,M239))+IF(N239="",MISC_FEE,N239))</f>
        <v/>
      </c>
      <c r="P239" s="18">
        <f>IF(O239="","",ROUND(O239*(1+MARKUP_PCT),-1)-1)</f>
        <v/>
      </c>
      <c r="Q239" s="18">
        <f>IF(P239="","",P239-O239)</f>
        <v/>
      </c>
      <c r="R239" s="19">
        <f>IF(OR(P239="",P239=0),"",Q239/P239)</f>
        <v/>
      </c>
      <c r="S239" s="16" t="n"/>
      <c r="T239" s="16" t="n"/>
      <c r="U239" s="16" t="n"/>
      <c r="V239" s="16" t="n"/>
      <c r="W239" s="16" t="n"/>
      <c r="X239" s="16" t="n"/>
      <c r="Y239" s="16" t="n"/>
      <c r="Z239" s="16" t="n"/>
      <c r="AA239" s="16" t="n"/>
      <c r="AB239" s="16" t="n"/>
      <c r="AC239" s="20">
        <f>IF(COUNT(S239:AB239)&lt;10,"",(S239*W_FEMININE+T239*W_TREND+U239*W_AESTHETIC+V239*W_STYLE+W239*W_LIGHT+X239*W_REELS+Y239*W_GIFT+Z239*W_PRICEFIT+AA239*W_DEMAND+AB239*W_QUALITY)/5*100)</f>
        <v/>
      </c>
      <c r="AD239" s="16">
        <f>IF(P239="","",IF(P239&gt;HARD_REJECT_PRICE,"Reject",IF(P239&gt;MAX_PRICE,"Price Review",IF(AC239="","",IF(AND(AC239&gt;=BUY_THRESHOLD,OR(AB239&lt;=2,U239&lt;=2)),"Maybe",IF(AC239&gt;=BUY_THRESHOLD,"Buy",IF(AC239&gt;=MAYBE_THRESHOLD,"Maybe","Reject")))))))</f>
        <v/>
      </c>
      <c r="AE239" s="16" t="n"/>
      <c r="AF239" s="16" t="n"/>
      <c r="AG239" s="16" t="n"/>
      <c r="AH239" s="16" t="n"/>
      <c r="AI239" s="17" t="n"/>
      <c r="AJ239">
        <f>IF(AC239="",-9999-ROW()*0.0000001,AC239-ROW()*0.0000001)</f>
        <v/>
      </c>
      <c r="AK239">
        <f>IF(OR(AC239="",P239="",P239&gt;MAX_PRICE),-9999-ROW()*0.0000001,AC239-ROW()*0.0000001)</f>
        <v/>
      </c>
      <c r="AL239">
        <f>IF(AC239="",-9999-ROW()*0.0000001,X239*1000+AC239-ROW()*0.0000001)</f>
        <v/>
      </c>
      <c r="AM239">
        <f>IF(AC239="",-9999-ROW()*0.0000001,Y239*1000+AC239-ROW()*0.0000001)</f>
        <v/>
      </c>
      <c r="AN239">
        <f>IF(AND(OR(AD239="Maybe",AD239="Price Review"),AG239&lt;&gt;"Approved",AG239&lt;&gt;"Rejected"),IF(AC239="",0,AC239)-ROW()*0.0000001,-9999-ROW()*0.0000001)</f>
        <v/>
      </c>
      <c r="AO239" s="21" t="n"/>
      <c r="AP239" s="21" t="n"/>
      <c r="AQ239" s="22" t="n"/>
      <c r="AR239" s="22" t="n"/>
      <c r="AS239" s="16" t="n"/>
      <c r="AT239" s="22" t="n"/>
      <c r="AU239" s="22" t="n"/>
      <c r="AV239" s="22" t="n"/>
      <c r="AW239" s="18">
        <f>IF(OR(O239="",AV239=""),"",O239*AV239)</f>
        <v/>
      </c>
      <c r="AX239" s="16" t="n"/>
      <c r="AY239" s="16" t="n"/>
      <c r="AZ239" s="16" t="n"/>
      <c r="BA239" s="16" t="n"/>
      <c r="BB239" s="16" t="n"/>
      <c r="BC239" s="18" t="n"/>
      <c r="BD239" s="16" t="n"/>
      <c r="BE239" s="16">
        <f>IF(C239="","",IF(AND(ISNUMBER(P239),P239&gt;MAX_PRICE),"Price too high",IF(AND(ISNUMBER(AB239),AB239&lt;=2),"Quality risk",IF(AND(ISNUMBER(U239),U239&lt;=2),"Aesthetic mismatch",IF(AY239="High","Too fragile",IF(AND(ISNUMBER(R239),R239&lt;LOW_PROFIT_PCT),"Low profit",IF(AND(ISNUMBER(AT239),AT239&gt;MOQ_WARNING),"MOQ too high",IF(OR(AD239="Maybe",AD239="Price Review"),"Needs partner review",IF(AD239="Buy","Good candidate","")))))))))</f>
        <v/>
      </c>
      <c r="BF239" s="16" t="n"/>
      <c r="BG239" s="16" t="n"/>
      <c r="BH239" s="16" t="n"/>
      <c r="BI239" s="16" t="n"/>
      <c r="BJ239" s="16" t="n"/>
      <c r="BK239" s="16" t="n"/>
      <c r="BL239" s="16">
        <f>IF(C239="","",IF(AND(BG239="Yes",BH239="Yes",BI239="Yes",BJ239="Yes",BK239="Yes"),"Yes","No"))</f>
        <v/>
      </c>
      <c r="BM239" s="18" t="n"/>
      <c r="BN239" s="18" t="n"/>
      <c r="BO239" s="18">
        <f>IF(OR(BM239="",BN239=""),"",BM239+BN239)</f>
        <v/>
      </c>
      <c r="BP239" s="18" t="n"/>
      <c r="BQ239" s="18">
        <f>IF(OR(BP239="",BO239=""),"",BP239-BO239)</f>
        <v/>
      </c>
      <c r="BR239" s="19">
        <f>IF(OR(BP239="",BP239=0,BQ239=""),"",BQ239/BP239)</f>
        <v/>
      </c>
      <c r="BS239" s="17" t="n"/>
      <c r="BT239" s="22" t="n"/>
      <c r="BU239" s="22" t="n"/>
      <c r="BV239" s="16" t="n"/>
      <c r="BW239" s="16" t="n"/>
      <c r="BX239" s="22">
        <f>IF(OR(BT239="",BU239=""),"",BT239-BU239)</f>
        <v/>
      </c>
      <c r="BY239" s="16" t="n"/>
      <c r="BZ239" s="17" t="n"/>
      <c r="CA239" s="16" t="n"/>
      <c r="CB239" s="16" t="n"/>
    </row>
    <row r="240">
      <c r="A240" s="23">
        <f>IF(C240="","","AYN-"&amp;IFERROR(VLOOKUP(E240,CATEGORY_PREFIX_TABLE,2,FALSE),"OTH")&amp;"-"&amp;TEXT(ROW()-2,"0000"))</f>
        <v/>
      </c>
      <c r="B240" s="24" t="n"/>
      <c r="C240" s="23" t="n"/>
      <c r="D240" s="23" t="n"/>
      <c r="E240" s="23" t="n"/>
      <c r="F240" s="23" t="n"/>
      <c r="G240" s="23" t="n"/>
      <c r="H240" s="23" t="n"/>
      <c r="I240" s="23" t="n"/>
      <c r="J240" s="23" t="n"/>
      <c r="K240" s="25">
        <f>IF(I240="","",IF(J240="BDT",I240,IF(J240="USD",I240*USD_BDT,IF(J240="RMB",I240*RMB_BDT,""))))</f>
        <v/>
      </c>
      <c r="L240" s="25" t="n"/>
      <c r="M240" s="26" t="n"/>
      <c r="N240" s="25" t="n"/>
      <c r="O240" s="25">
        <f>IF(K240="","",K240+IFERROR(L240,0)+(K240*IF(M240="",CUSTOMS_PCT,M240))+IF(N240="",MISC_FEE,N240))</f>
        <v/>
      </c>
      <c r="P240" s="25">
        <f>IF(O240="","",ROUND(O240*(1+MARKUP_PCT),-1)-1)</f>
        <v/>
      </c>
      <c r="Q240" s="25">
        <f>IF(P240="","",P240-O240)</f>
        <v/>
      </c>
      <c r="R240" s="26">
        <f>IF(OR(P240="",P240=0),"",Q240/P240)</f>
        <v/>
      </c>
      <c r="S240" s="23" t="n"/>
      <c r="T240" s="23" t="n"/>
      <c r="U240" s="23" t="n"/>
      <c r="V240" s="23" t="n"/>
      <c r="W240" s="23" t="n"/>
      <c r="X240" s="23" t="n"/>
      <c r="Y240" s="23" t="n"/>
      <c r="Z240" s="23" t="n"/>
      <c r="AA240" s="23" t="n"/>
      <c r="AB240" s="23" t="n"/>
      <c r="AC240" s="27">
        <f>IF(COUNT(S240:AB240)&lt;10,"",(S240*W_FEMININE+T240*W_TREND+U240*W_AESTHETIC+V240*W_STYLE+W240*W_LIGHT+X240*W_REELS+Y240*W_GIFT+Z240*W_PRICEFIT+AA240*W_DEMAND+AB240*W_QUALITY)/5*100)</f>
        <v/>
      </c>
      <c r="AD240" s="23">
        <f>IF(P240="","",IF(P240&gt;HARD_REJECT_PRICE,"Reject",IF(P240&gt;MAX_PRICE,"Price Review",IF(AC240="","",IF(AND(AC240&gt;=BUY_THRESHOLD,OR(AB240&lt;=2,U240&lt;=2)),"Maybe",IF(AC240&gt;=BUY_THRESHOLD,"Buy",IF(AC240&gt;=MAYBE_THRESHOLD,"Maybe","Reject")))))))</f>
        <v/>
      </c>
      <c r="AE240" s="23" t="n"/>
      <c r="AF240" s="23" t="n"/>
      <c r="AG240" s="23" t="n"/>
      <c r="AH240" s="23" t="n"/>
      <c r="AI240" s="24" t="n"/>
      <c r="AJ240">
        <f>IF(AC240="",-9999-ROW()*0.0000001,AC240-ROW()*0.0000001)</f>
        <v/>
      </c>
      <c r="AK240">
        <f>IF(OR(AC240="",P240="",P240&gt;MAX_PRICE),-9999-ROW()*0.0000001,AC240-ROW()*0.0000001)</f>
        <v/>
      </c>
      <c r="AL240">
        <f>IF(AC240="",-9999-ROW()*0.0000001,X240*1000+AC240-ROW()*0.0000001)</f>
        <v/>
      </c>
      <c r="AM240">
        <f>IF(AC240="",-9999-ROW()*0.0000001,Y240*1000+AC240-ROW()*0.0000001)</f>
        <v/>
      </c>
      <c r="AN240">
        <f>IF(AND(OR(AD240="Maybe",AD240="Price Review"),AG240&lt;&gt;"Approved",AG240&lt;&gt;"Rejected"),IF(AC240="",0,AC240)-ROW()*0.0000001,-9999-ROW()*0.0000001)</f>
        <v/>
      </c>
      <c r="AO240" s="28" t="n"/>
      <c r="AP240" s="28" t="n"/>
      <c r="AQ240" s="29" t="n"/>
      <c r="AR240" s="29" t="n"/>
      <c r="AS240" s="23" t="n"/>
      <c r="AT240" s="29" t="n"/>
      <c r="AU240" s="29" t="n"/>
      <c r="AV240" s="29" t="n"/>
      <c r="AW240" s="25">
        <f>IF(OR(O240="",AV240=""),"",O240*AV240)</f>
        <v/>
      </c>
      <c r="AX240" s="23" t="n"/>
      <c r="AY240" s="23" t="n"/>
      <c r="AZ240" s="23" t="n"/>
      <c r="BA240" s="23" t="n"/>
      <c r="BB240" s="23" t="n"/>
      <c r="BC240" s="25" t="n"/>
      <c r="BD240" s="23" t="n"/>
      <c r="BE240" s="23">
        <f>IF(C240="","",IF(AND(ISNUMBER(P240),P240&gt;MAX_PRICE),"Price too high",IF(AND(ISNUMBER(AB240),AB240&lt;=2),"Quality risk",IF(AND(ISNUMBER(U240),U240&lt;=2),"Aesthetic mismatch",IF(AY240="High","Too fragile",IF(AND(ISNUMBER(R240),R240&lt;LOW_PROFIT_PCT),"Low profit",IF(AND(ISNUMBER(AT240),AT240&gt;MOQ_WARNING),"MOQ too high",IF(OR(AD240="Maybe",AD240="Price Review"),"Needs partner review",IF(AD240="Buy","Good candidate","")))))))))</f>
        <v/>
      </c>
      <c r="BF240" s="23" t="n"/>
      <c r="BG240" s="23" t="n"/>
      <c r="BH240" s="23" t="n"/>
      <c r="BI240" s="23" t="n"/>
      <c r="BJ240" s="23" t="n"/>
      <c r="BK240" s="23" t="n"/>
      <c r="BL240" s="23">
        <f>IF(C240="","",IF(AND(BG240="Yes",BH240="Yes",BI240="Yes",BJ240="Yes",BK240="Yes"),"Yes","No"))</f>
        <v/>
      </c>
      <c r="BM240" s="25" t="n"/>
      <c r="BN240" s="25" t="n"/>
      <c r="BO240" s="25">
        <f>IF(OR(BM240="",BN240=""),"",BM240+BN240)</f>
        <v/>
      </c>
      <c r="BP240" s="25" t="n"/>
      <c r="BQ240" s="25">
        <f>IF(OR(BP240="",BO240=""),"",BP240-BO240)</f>
        <v/>
      </c>
      <c r="BR240" s="26">
        <f>IF(OR(BP240="",BP240=0,BQ240=""),"",BQ240/BP240)</f>
        <v/>
      </c>
      <c r="BS240" s="24" t="n"/>
      <c r="BT240" s="29" t="n"/>
      <c r="BU240" s="29" t="n"/>
      <c r="BV240" s="23" t="n"/>
      <c r="BW240" s="23" t="n"/>
      <c r="BX240" s="29">
        <f>IF(OR(BT240="",BU240=""),"",BT240-BU240)</f>
        <v/>
      </c>
      <c r="BY240" s="23" t="n"/>
      <c r="BZ240" s="24" t="n"/>
      <c r="CA240" s="23" t="n"/>
      <c r="CB240" s="23" t="n"/>
    </row>
    <row r="241">
      <c r="A241" s="16">
        <f>IF(C241="","","AYN-"&amp;IFERROR(VLOOKUP(E241,CATEGORY_PREFIX_TABLE,2,FALSE),"OTH")&amp;"-"&amp;TEXT(ROW()-2,"0000"))</f>
        <v/>
      </c>
      <c r="B241" s="17" t="n"/>
      <c r="C241" s="16" t="n"/>
      <c r="D241" s="16" t="n"/>
      <c r="E241" s="16" t="n"/>
      <c r="F241" s="16" t="n"/>
      <c r="G241" s="16" t="n"/>
      <c r="H241" s="16" t="n"/>
      <c r="I241" s="16" t="n"/>
      <c r="J241" s="16" t="n"/>
      <c r="K241" s="18">
        <f>IF(I241="","",IF(J241="BDT",I241,IF(J241="USD",I241*USD_BDT,IF(J241="RMB",I241*RMB_BDT,""))))</f>
        <v/>
      </c>
      <c r="L241" s="18" t="n"/>
      <c r="M241" s="19" t="n"/>
      <c r="N241" s="18" t="n"/>
      <c r="O241" s="18">
        <f>IF(K241="","",K241+IFERROR(L241,0)+(K241*IF(M241="",CUSTOMS_PCT,M241))+IF(N241="",MISC_FEE,N241))</f>
        <v/>
      </c>
      <c r="P241" s="18">
        <f>IF(O241="","",ROUND(O241*(1+MARKUP_PCT),-1)-1)</f>
        <v/>
      </c>
      <c r="Q241" s="18">
        <f>IF(P241="","",P241-O241)</f>
        <v/>
      </c>
      <c r="R241" s="19">
        <f>IF(OR(P241="",P241=0),"",Q241/P241)</f>
        <v/>
      </c>
      <c r="S241" s="16" t="n"/>
      <c r="T241" s="16" t="n"/>
      <c r="U241" s="16" t="n"/>
      <c r="V241" s="16" t="n"/>
      <c r="W241" s="16" t="n"/>
      <c r="X241" s="16" t="n"/>
      <c r="Y241" s="16" t="n"/>
      <c r="Z241" s="16" t="n"/>
      <c r="AA241" s="16" t="n"/>
      <c r="AB241" s="16" t="n"/>
      <c r="AC241" s="20">
        <f>IF(COUNT(S241:AB241)&lt;10,"",(S241*W_FEMININE+T241*W_TREND+U241*W_AESTHETIC+V241*W_STYLE+W241*W_LIGHT+X241*W_REELS+Y241*W_GIFT+Z241*W_PRICEFIT+AA241*W_DEMAND+AB241*W_QUALITY)/5*100)</f>
        <v/>
      </c>
      <c r="AD241" s="16">
        <f>IF(P241="","",IF(P241&gt;HARD_REJECT_PRICE,"Reject",IF(P241&gt;MAX_PRICE,"Price Review",IF(AC241="","",IF(AND(AC241&gt;=BUY_THRESHOLD,OR(AB241&lt;=2,U241&lt;=2)),"Maybe",IF(AC241&gt;=BUY_THRESHOLD,"Buy",IF(AC241&gt;=MAYBE_THRESHOLD,"Maybe","Reject")))))))</f>
        <v/>
      </c>
      <c r="AE241" s="16" t="n"/>
      <c r="AF241" s="16" t="n"/>
      <c r="AG241" s="16" t="n"/>
      <c r="AH241" s="16" t="n"/>
      <c r="AI241" s="17" t="n"/>
      <c r="AJ241">
        <f>IF(AC241="",-9999-ROW()*0.0000001,AC241-ROW()*0.0000001)</f>
        <v/>
      </c>
      <c r="AK241">
        <f>IF(OR(AC241="",P241="",P241&gt;MAX_PRICE),-9999-ROW()*0.0000001,AC241-ROW()*0.0000001)</f>
        <v/>
      </c>
      <c r="AL241">
        <f>IF(AC241="",-9999-ROW()*0.0000001,X241*1000+AC241-ROW()*0.0000001)</f>
        <v/>
      </c>
      <c r="AM241">
        <f>IF(AC241="",-9999-ROW()*0.0000001,Y241*1000+AC241-ROW()*0.0000001)</f>
        <v/>
      </c>
      <c r="AN241">
        <f>IF(AND(OR(AD241="Maybe",AD241="Price Review"),AG241&lt;&gt;"Approved",AG241&lt;&gt;"Rejected"),IF(AC241="",0,AC241)-ROW()*0.0000001,-9999-ROW()*0.0000001)</f>
        <v/>
      </c>
      <c r="AO241" s="21" t="n"/>
      <c r="AP241" s="21" t="n"/>
      <c r="AQ241" s="22" t="n"/>
      <c r="AR241" s="22" t="n"/>
      <c r="AS241" s="16" t="n"/>
      <c r="AT241" s="22" t="n"/>
      <c r="AU241" s="22" t="n"/>
      <c r="AV241" s="22" t="n"/>
      <c r="AW241" s="18">
        <f>IF(OR(O241="",AV241=""),"",O241*AV241)</f>
        <v/>
      </c>
      <c r="AX241" s="16" t="n"/>
      <c r="AY241" s="16" t="n"/>
      <c r="AZ241" s="16" t="n"/>
      <c r="BA241" s="16" t="n"/>
      <c r="BB241" s="16" t="n"/>
      <c r="BC241" s="18" t="n"/>
      <c r="BD241" s="16" t="n"/>
      <c r="BE241" s="16">
        <f>IF(C241="","",IF(AND(ISNUMBER(P241),P241&gt;MAX_PRICE),"Price too high",IF(AND(ISNUMBER(AB241),AB241&lt;=2),"Quality risk",IF(AND(ISNUMBER(U241),U241&lt;=2),"Aesthetic mismatch",IF(AY241="High","Too fragile",IF(AND(ISNUMBER(R241),R241&lt;LOW_PROFIT_PCT),"Low profit",IF(AND(ISNUMBER(AT241),AT241&gt;MOQ_WARNING),"MOQ too high",IF(OR(AD241="Maybe",AD241="Price Review"),"Needs partner review",IF(AD241="Buy","Good candidate","")))))))))</f>
        <v/>
      </c>
      <c r="BF241" s="16" t="n"/>
      <c r="BG241" s="16" t="n"/>
      <c r="BH241" s="16" t="n"/>
      <c r="BI241" s="16" t="n"/>
      <c r="BJ241" s="16" t="n"/>
      <c r="BK241" s="16" t="n"/>
      <c r="BL241" s="16">
        <f>IF(C241="","",IF(AND(BG241="Yes",BH241="Yes",BI241="Yes",BJ241="Yes",BK241="Yes"),"Yes","No"))</f>
        <v/>
      </c>
      <c r="BM241" s="18" t="n"/>
      <c r="BN241" s="18" t="n"/>
      <c r="BO241" s="18">
        <f>IF(OR(BM241="",BN241=""),"",BM241+BN241)</f>
        <v/>
      </c>
      <c r="BP241" s="18" t="n"/>
      <c r="BQ241" s="18">
        <f>IF(OR(BP241="",BO241=""),"",BP241-BO241)</f>
        <v/>
      </c>
      <c r="BR241" s="19">
        <f>IF(OR(BP241="",BP241=0,BQ241=""),"",BQ241/BP241)</f>
        <v/>
      </c>
      <c r="BS241" s="17" t="n"/>
      <c r="BT241" s="22" t="n"/>
      <c r="BU241" s="22" t="n"/>
      <c r="BV241" s="16" t="n"/>
      <c r="BW241" s="16" t="n"/>
      <c r="BX241" s="22">
        <f>IF(OR(BT241="",BU241=""),"",BT241-BU241)</f>
        <v/>
      </c>
      <c r="BY241" s="16" t="n"/>
      <c r="BZ241" s="17" t="n"/>
      <c r="CA241" s="16" t="n"/>
      <c r="CB241" s="16" t="n"/>
    </row>
    <row r="242">
      <c r="A242" s="23">
        <f>IF(C242="","","AYN-"&amp;IFERROR(VLOOKUP(E242,CATEGORY_PREFIX_TABLE,2,FALSE),"OTH")&amp;"-"&amp;TEXT(ROW()-2,"0000"))</f>
        <v/>
      </c>
      <c r="B242" s="24" t="n"/>
      <c r="C242" s="23" t="n"/>
      <c r="D242" s="23" t="n"/>
      <c r="E242" s="23" t="n"/>
      <c r="F242" s="23" t="n"/>
      <c r="G242" s="23" t="n"/>
      <c r="H242" s="23" t="n"/>
      <c r="I242" s="23" t="n"/>
      <c r="J242" s="23" t="n"/>
      <c r="K242" s="25">
        <f>IF(I242="","",IF(J242="BDT",I242,IF(J242="USD",I242*USD_BDT,IF(J242="RMB",I242*RMB_BDT,""))))</f>
        <v/>
      </c>
      <c r="L242" s="25" t="n"/>
      <c r="M242" s="26" t="n"/>
      <c r="N242" s="25" t="n"/>
      <c r="O242" s="25">
        <f>IF(K242="","",K242+IFERROR(L242,0)+(K242*IF(M242="",CUSTOMS_PCT,M242))+IF(N242="",MISC_FEE,N242))</f>
        <v/>
      </c>
      <c r="P242" s="25">
        <f>IF(O242="","",ROUND(O242*(1+MARKUP_PCT),-1)-1)</f>
        <v/>
      </c>
      <c r="Q242" s="25">
        <f>IF(P242="","",P242-O242)</f>
        <v/>
      </c>
      <c r="R242" s="26">
        <f>IF(OR(P242="",P242=0),"",Q242/P242)</f>
        <v/>
      </c>
      <c r="S242" s="23" t="n"/>
      <c r="T242" s="23" t="n"/>
      <c r="U242" s="23" t="n"/>
      <c r="V242" s="23" t="n"/>
      <c r="W242" s="23" t="n"/>
      <c r="X242" s="23" t="n"/>
      <c r="Y242" s="23" t="n"/>
      <c r="Z242" s="23" t="n"/>
      <c r="AA242" s="23" t="n"/>
      <c r="AB242" s="23" t="n"/>
      <c r="AC242" s="27">
        <f>IF(COUNT(S242:AB242)&lt;10,"",(S242*W_FEMININE+T242*W_TREND+U242*W_AESTHETIC+V242*W_STYLE+W242*W_LIGHT+X242*W_REELS+Y242*W_GIFT+Z242*W_PRICEFIT+AA242*W_DEMAND+AB242*W_QUALITY)/5*100)</f>
        <v/>
      </c>
      <c r="AD242" s="23">
        <f>IF(P242="","",IF(P242&gt;HARD_REJECT_PRICE,"Reject",IF(P242&gt;MAX_PRICE,"Price Review",IF(AC242="","",IF(AND(AC242&gt;=BUY_THRESHOLD,OR(AB242&lt;=2,U242&lt;=2)),"Maybe",IF(AC242&gt;=BUY_THRESHOLD,"Buy",IF(AC242&gt;=MAYBE_THRESHOLD,"Maybe","Reject")))))))</f>
        <v/>
      </c>
      <c r="AE242" s="23" t="n"/>
      <c r="AF242" s="23" t="n"/>
      <c r="AG242" s="23" t="n"/>
      <c r="AH242" s="23" t="n"/>
      <c r="AI242" s="24" t="n"/>
      <c r="AJ242">
        <f>IF(AC242="",-9999-ROW()*0.0000001,AC242-ROW()*0.0000001)</f>
        <v/>
      </c>
      <c r="AK242">
        <f>IF(OR(AC242="",P242="",P242&gt;MAX_PRICE),-9999-ROW()*0.0000001,AC242-ROW()*0.0000001)</f>
        <v/>
      </c>
      <c r="AL242">
        <f>IF(AC242="",-9999-ROW()*0.0000001,X242*1000+AC242-ROW()*0.0000001)</f>
        <v/>
      </c>
      <c r="AM242">
        <f>IF(AC242="",-9999-ROW()*0.0000001,Y242*1000+AC242-ROW()*0.0000001)</f>
        <v/>
      </c>
      <c r="AN242">
        <f>IF(AND(OR(AD242="Maybe",AD242="Price Review"),AG242&lt;&gt;"Approved",AG242&lt;&gt;"Rejected"),IF(AC242="",0,AC242)-ROW()*0.0000001,-9999-ROW()*0.0000001)</f>
        <v/>
      </c>
      <c r="AO242" s="28" t="n"/>
      <c r="AP242" s="28" t="n"/>
      <c r="AQ242" s="29" t="n"/>
      <c r="AR242" s="29" t="n"/>
      <c r="AS242" s="23" t="n"/>
      <c r="AT242" s="29" t="n"/>
      <c r="AU242" s="29" t="n"/>
      <c r="AV242" s="29" t="n"/>
      <c r="AW242" s="25">
        <f>IF(OR(O242="",AV242=""),"",O242*AV242)</f>
        <v/>
      </c>
      <c r="AX242" s="23" t="n"/>
      <c r="AY242" s="23" t="n"/>
      <c r="AZ242" s="23" t="n"/>
      <c r="BA242" s="23" t="n"/>
      <c r="BB242" s="23" t="n"/>
      <c r="BC242" s="25" t="n"/>
      <c r="BD242" s="23" t="n"/>
      <c r="BE242" s="23">
        <f>IF(C242="","",IF(AND(ISNUMBER(P242),P242&gt;MAX_PRICE),"Price too high",IF(AND(ISNUMBER(AB242),AB242&lt;=2),"Quality risk",IF(AND(ISNUMBER(U242),U242&lt;=2),"Aesthetic mismatch",IF(AY242="High","Too fragile",IF(AND(ISNUMBER(R242),R242&lt;LOW_PROFIT_PCT),"Low profit",IF(AND(ISNUMBER(AT242),AT242&gt;MOQ_WARNING),"MOQ too high",IF(OR(AD242="Maybe",AD242="Price Review"),"Needs partner review",IF(AD242="Buy","Good candidate","")))))))))</f>
        <v/>
      </c>
      <c r="BF242" s="23" t="n"/>
      <c r="BG242" s="23" t="n"/>
      <c r="BH242" s="23" t="n"/>
      <c r="BI242" s="23" t="n"/>
      <c r="BJ242" s="23" t="n"/>
      <c r="BK242" s="23" t="n"/>
      <c r="BL242" s="23">
        <f>IF(C242="","",IF(AND(BG242="Yes",BH242="Yes",BI242="Yes",BJ242="Yes",BK242="Yes"),"Yes","No"))</f>
        <v/>
      </c>
      <c r="BM242" s="25" t="n"/>
      <c r="BN242" s="25" t="n"/>
      <c r="BO242" s="25">
        <f>IF(OR(BM242="",BN242=""),"",BM242+BN242)</f>
        <v/>
      </c>
      <c r="BP242" s="25" t="n"/>
      <c r="BQ242" s="25">
        <f>IF(OR(BP242="",BO242=""),"",BP242-BO242)</f>
        <v/>
      </c>
      <c r="BR242" s="26">
        <f>IF(OR(BP242="",BP242=0,BQ242=""),"",BQ242/BP242)</f>
        <v/>
      </c>
      <c r="BS242" s="24" t="n"/>
      <c r="BT242" s="29" t="n"/>
      <c r="BU242" s="29" t="n"/>
      <c r="BV242" s="23" t="n"/>
      <c r="BW242" s="23" t="n"/>
      <c r="BX242" s="29">
        <f>IF(OR(BT242="",BU242=""),"",BT242-BU242)</f>
        <v/>
      </c>
      <c r="BY242" s="23" t="n"/>
      <c r="BZ242" s="24" t="n"/>
      <c r="CA242" s="23" t="n"/>
      <c r="CB242" s="23" t="n"/>
    </row>
    <row r="243">
      <c r="A243" s="16">
        <f>IF(C243="","","AYN-"&amp;IFERROR(VLOOKUP(E243,CATEGORY_PREFIX_TABLE,2,FALSE),"OTH")&amp;"-"&amp;TEXT(ROW()-2,"0000"))</f>
        <v/>
      </c>
      <c r="B243" s="17" t="n"/>
      <c r="C243" s="16" t="n"/>
      <c r="D243" s="16" t="n"/>
      <c r="E243" s="16" t="n"/>
      <c r="F243" s="16" t="n"/>
      <c r="G243" s="16" t="n"/>
      <c r="H243" s="16" t="n"/>
      <c r="I243" s="16" t="n"/>
      <c r="J243" s="16" t="n"/>
      <c r="K243" s="18">
        <f>IF(I243="","",IF(J243="BDT",I243,IF(J243="USD",I243*USD_BDT,IF(J243="RMB",I243*RMB_BDT,""))))</f>
        <v/>
      </c>
      <c r="L243" s="18" t="n"/>
      <c r="M243" s="19" t="n"/>
      <c r="N243" s="18" t="n"/>
      <c r="O243" s="18">
        <f>IF(K243="","",K243+IFERROR(L243,0)+(K243*IF(M243="",CUSTOMS_PCT,M243))+IF(N243="",MISC_FEE,N243))</f>
        <v/>
      </c>
      <c r="P243" s="18">
        <f>IF(O243="","",ROUND(O243*(1+MARKUP_PCT),-1)-1)</f>
        <v/>
      </c>
      <c r="Q243" s="18">
        <f>IF(P243="","",P243-O243)</f>
        <v/>
      </c>
      <c r="R243" s="19">
        <f>IF(OR(P243="",P243=0),"",Q243/P243)</f>
        <v/>
      </c>
      <c r="S243" s="16" t="n"/>
      <c r="T243" s="16" t="n"/>
      <c r="U243" s="16" t="n"/>
      <c r="V243" s="16" t="n"/>
      <c r="W243" s="16" t="n"/>
      <c r="X243" s="16" t="n"/>
      <c r="Y243" s="16" t="n"/>
      <c r="Z243" s="16" t="n"/>
      <c r="AA243" s="16" t="n"/>
      <c r="AB243" s="16" t="n"/>
      <c r="AC243" s="20">
        <f>IF(COUNT(S243:AB243)&lt;10,"",(S243*W_FEMININE+T243*W_TREND+U243*W_AESTHETIC+V243*W_STYLE+W243*W_LIGHT+X243*W_REELS+Y243*W_GIFT+Z243*W_PRICEFIT+AA243*W_DEMAND+AB243*W_QUALITY)/5*100)</f>
        <v/>
      </c>
      <c r="AD243" s="16">
        <f>IF(P243="","",IF(P243&gt;HARD_REJECT_PRICE,"Reject",IF(P243&gt;MAX_PRICE,"Price Review",IF(AC243="","",IF(AND(AC243&gt;=BUY_THRESHOLD,OR(AB243&lt;=2,U243&lt;=2)),"Maybe",IF(AC243&gt;=BUY_THRESHOLD,"Buy",IF(AC243&gt;=MAYBE_THRESHOLD,"Maybe","Reject")))))))</f>
        <v/>
      </c>
      <c r="AE243" s="16" t="n"/>
      <c r="AF243" s="16" t="n"/>
      <c r="AG243" s="16" t="n"/>
      <c r="AH243" s="16" t="n"/>
      <c r="AI243" s="17" t="n"/>
      <c r="AJ243">
        <f>IF(AC243="",-9999-ROW()*0.0000001,AC243-ROW()*0.0000001)</f>
        <v/>
      </c>
      <c r="AK243">
        <f>IF(OR(AC243="",P243="",P243&gt;MAX_PRICE),-9999-ROW()*0.0000001,AC243-ROW()*0.0000001)</f>
        <v/>
      </c>
      <c r="AL243">
        <f>IF(AC243="",-9999-ROW()*0.0000001,X243*1000+AC243-ROW()*0.0000001)</f>
        <v/>
      </c>
      <c r="AM243">
        <f>IF(AC243="",-9999-ROW()*0.0000001,Y243*1000+AC243-ROW()*0.0000001)</f>
        <v/>
      </c>
      <c r="AN243">
        <f>IF(AND(OR(AD243="Maybe",AD243="Price Review"),AG243&lt;&gt;"Approved",AG243&lt;&gt;"Rejected"),IF(AC243="",0,AC243)-ROW()*0.0000001,-9999-ROW()*0.0000001)</f>
        <v/>
      </c>
      <c r="AO243" s="21" t="n"/>
      <c r="AP243" s="21" t="n"/>
      <c r="AQ243" s="22" t="n"/>
      <c r="AR243" s="22" t="n"/>
      <c r="AS243" s="16" t="n"/>
      <c r="AT243" s="22" t="n"/>
      <c r="AU243" s="22" t="n"/>
      <c r="AV243" s="22" t="n"/>
      <c r="AW243" s="18">
        <f>IF(OR(O243="",AV243=""),"",O243*AV243)</f>
        <v/>
      </c>
      <c r="AX243" s="16" t="n"/>
      <c r="AY243" s="16" t="n"/>
      <c r="AZ243" s="16" t="n"/>
      <c r="BA243" s="16" t="n"/>
      <c r="BB243" s="16" t="n"/>
      <c r="BC243" s="18" t="n"/>
      <c r="BD243" s="16" t="n"/>
      <c r="BE243" s="16">
        <f>IF(C243="","",IF(AND(ISNUMBER(P243),P243&gt;MAX_PRICE),"Price too high",IF(AND(ISNUMBER(AB243),AB243&lt;=2),"Quality risk",IF(AND(ISNUMBER(U243),U243&lt;=2),"Aesthetic mismatch",IF(AY243="High","Too fragile",IF(AND(ISNUMBER(R243),R243&lt;LOW_PROFIT_PCT),"Low profit",IF(AND(ISNUMBER(AT243),AT243&gt;MOQ_WARNING),"MOQ too high",IF(OR(AD243="Maybe",AD243="Price Review"),"Needs partner review",IF(AD243="Buy","Good candidate","")))))))))</f>
        <v/>
      </c>
      <c r="BF243" s="16" t="n"/>
      <c r="BG243" s="16" t="n"/>
      <c r="BH243" s="16" t="n"/>
      <c r="BI243" s="16" t="n"/>
      <c r="BJ243" s="16" t="n"/>
      <c r="BK243" s="16" t="n"/>
      <c r="BL243" s="16">
        <f>IF(C243="","",IF(AND(BG243="Yes",BH243="Yes",BI243="Yes",BJ243="Yes",BK243="Yes"),"Yes","No"))</f>
        <v/>
      </c>
      <c r="BM243" s="18" t="n"/>
      <c r="BN243" s="18" t="n"/>
      <c r="BO243" s="18">
        <f>IF(OR(BM243="",BN243=""),"",BM243+BN243)</f>
        <v/>
      </c>
      <c r="BP243" s="18" t="n"/>
      <c r="BQ243" s="18">
        <f>IF(OR(BP243="",BO243=""),"",BP243-BO243)</f>
        <v/>
      </c>
      <c r="BR243" s="19">
        <f>IF(OR(BP243="",BP243=0,BQ243=""),"",BQ243/BP243)</f>
        <v/>
      </c>
      <c r="BS243" s="17" t="n"/>
      <c r="BT243" s="22" t="n"/>
      <c r="BU243" s="22" t="n"/>
      <c r="BV243" s="16" t="n"/>
      <c r="BW243" s="16" t="n"/>
      <c r="BX243" s="22">
        <f>IF(OR(BT243="",BU243=""),"",BT243-BU243)</f>
        <v/>
      </c>
      <c r="BY243" s="16" t="n"/>
      <c r="BZ243" s="17" t="n"/>
      <c r="CA243" s="16" t="n"/>
      <c r="CB243" s="16" t="n"/>
    </row>
    <row r="244">
      <c r="A244" s="23">
        <f>IF(C244="","","AYN-"&amp;IFERROR(VLOOKUP(E244,CATEGORY_PREFIX_TABLE,2,FALSE),"OTH")&amp;"-"&amp;TEXT(ROW()-2,"0000"))</f>
        <v/>
      </c>
      <c r="B244" s="24" t="n"/>
      <c r="C244" s="23" t="n"/>
      <c r="D244" s="23" t="n"/>
      <c r="E244" s="23" t="n"/>
      <c r="F244" s="23" t="n"/>
      <c r="G244" s="23" t="n"/>
      <c r="H244" s="23" t="n"/>
      <c r="I244" s="23" t="n"/>
      <c r="J244" s="23" t="n"/>
      <c r="K244" s="25">
        <f>IF(I244="","",IF(J244="BDT",I244,IF(J244="USD",I244*USD_BDT,IF(J244="RMB",I244*RMB_BDT,""))))</f>
        <v/>
      </c>
      <c r="L244" s="25" t="n"/>
      <c r="M244" s="26" t="n"/>
      <c r="N244" s="25" t="n"/>
      <c r="O244" s="25">
        <f>IF(K244="","",K244+IFERROR(L244,0)+(K244*IF(M244="",CUSTOMS_PCT,M244))+IF(N244="",MISC_FEE,N244))</f>
        <v/>
      </c>
      <c r="P244" s="25">
        <f>IF(O244="","",ROUND(O244*(1+MARKUP_PCT),-1)-1)</f>
        <v/>
      </c>
      <c r="Q244" s="25">
        <f>IF(P244="","",P244-O244)</f>
        <v/>
      </c>
      <c r="R244" s="26">
        <f>IF(OR(P244="",P244=0),"",Q244/P244)</f>
        <v/>
      </c>
      <c r="S244" s="23" t="n"/>
      <c r="T244" s="23" t="n"/>
      <c r="U244" s="23" t="n"/>
      <c r="V244" s="23" t="n"/>
      <c r="W244" s="23" t="n"/>
      <c r="X244" s="23" t="n"/>
      <c r="Y244" s="23" t="n"/>
      <c r="Z244" s="23" t="n"/>
      <c r="AA244" s="23" t="n"/>
      <c r="AB244" s="23" t="n"/>
      <c r="AC244" s="27">
        <f>IF(COUNT(S244:AB244)&lt;10,"",(S244*W_FEMININE+T244*W_TREND+U244*W_AESTHETIC+V244*W_STYLE+W244*W_LIGHT+X244*W_REELS+Y244*W_GIFT+Z244*W_PRICEFIT+AA244*W_DEMAND+AB244*W_QUALITY)/5*100)</f>
        <v/>
      </c>
      <c r="AD244" s="23">
        <f>IF(P244="","",IF(P244&gt;HARD_REJECT_PRICE,"Reject",IF(P244&gt;MAX_PRICE,"Price Review",IF(AC244="","",IF(AND(AC244&gt;=BUY_THRESHOLD,OR(AB244&lt;=2,U244&lt;=2)),"Maybe",IF(AC244&gt;=BUY_THRESHOLD,"Buy",IF(AC244&gt;=MAYBE_THRESHOLD,"Maybe","Reject")))))))</f>
        <v/>
      </c>
      <c r="AE244" s="23" t="n"/>
      <c r="AF244" s="23" t="n"/>
      <c r="AG244" s="23" t="n"/>
      <c r="AH244" s="23" t="n"/>
      <c r="AI244" s="24" t="n"/>
      <c r="AJ244">
        <f>IF(AC244="",-9999-ROW()*0.0000001,AC244-ROW()*0.0000001)</f>
        <v/>
      </c>
      <c r="AK244">
        <f>IF(OR(AC244="",P244="",P244&gt;MAX_PRICE),-9999-ROW()*0.0000001,AC244-ROW()*0.0000001)</f>
        <v/>
      </c>
      <c r="AL244">
        <f>IF(AC244="",-9999-ROW()*0.0000001,X244*1000+AC244-ROW()*0.0000001)</f>
        <v/>
      </c>
      <c r="AM244">
        <f>IF(AC244="",-9999-ROW()*0.0000001,Y244*1000+AC244-ROW()*0.0000001)</f>
        <v/>
      </c>
      <c r="AN244">
        <f>IF(AND(OR(AD244="Maybe",AD244="Price Review"),AG244&lt;&gt;"Approved",AG244&lt;&gt;"Rejected"),IF(AC244="",0,AC244)-ROW()*0.0000001,-9999-ROW()*0.0000001)</f>
        <v/>
      </c>
      <c r="AO244" s="28" t="n"/>
      <c r="AP244" s="28" t="n"/>
      <c r="AQ244" s="29" t="n"/>
      <c r="AR244" s="29" t="n"/>
      <c r="AS244" s="23" t="n"/>
      <c r="AT244" s="29" t="n"/>
      <c r="AU244" s="29" t="n"/>
      <c r="AV244" s="29" t="n"/>
      <c r="AW244" s="25">
        <f>IF(OR(O244="",AV244=""),"",O244*AV244)</f>
        <v/>
      </c>
      <c r="AX244" s="23" t="n"/>
      <c r="AY244" s="23" t="n"/>
      <c r="AZ244" s="23" t="n"/>
      <c r="BA244" s="23" t="n"/>
      <c r="BB244" s="23" t="n"/>
      <c r="BC244" s="25" t="n"/>
      <c r="BD244" s="23" t="n"/>
      <c r="BE244" s="23">
        <f>IF(C244="","",IF(AND(ISNUMBER(P244),P244&gt;MAX_PRICE),"Price too high",IF(AND(ISNUMBER(AB244),AB244&lt;=2),"Quality risk",IF(AND(ISNUMBER(U244),U244&lt;=2),"Aesthetic mismatch",IF(AY244="High","Too fragile",IF(AND(ISNUMBER(R244),R244&lt;LOW_PROFIT_PCT),"Low profit",IF(AND(ISNUMBER(AT244),AT244&gt;MOQ_WARNING),"MOQ too high",IF(OR(AD244="Maybe",AD244="Price Review"),"Needs partner review",IF(AD244="Buy","Good candidate","")))))))))</f>
        <v/>
      </c>
      <c r="BF244" s="23" t="n"/>
      <c r="BG244" s="23" t="n"/>
      <c r="BH244" s="23" t="n"/>
      <c r="BI244" s="23" t="n"/>
      <c r="BJ244" s="23" t="n"/>
      <c r="BK244" s="23" t="n"/>
      <c r="BL244" s="23">
        <f>IF(C244="","",IF(AND(BG244="Yes",BH244="Yes",BI244="Yes",BJ244="Yes",BK244="Yes"),"Yes","No"))</f>
        <v/>
      </c>
      <c r="BM244" s="25" t="n"/>
      <c r="BN244" s="25" t="n"/>
      <c r="BO244" s="25">
        <f>IF(OR(BM244="",BN244=""),"",BM244+BN244)</f>
        <v/>
      </c>
      <c r="BP244" s="25" t="n"/>
      <c r="BQ244" s="25">
        <f>IF(OR(BP244="",BO244=""),"",BP244-BO244)</f>
        <v/>
      </c>
      <c r="BR244" s="26">
        <f>IF(OR(BP244="",BP244=0,BQ244=""),"",BQ244/BP244)</f>
        <v/>
      </c>
      <c r="BS244" s="24" t="n"/>
      <c r="BT244" s="29" t="n"/>
      <c r="BU244" s="29" t="n"/>
      <c r="BV244" s="23" t="n"/>
      <c r="BW244" s="23" t="n"/>
      <c r="BX244" s="29">
        <f>IF(OR(BT244="",BU244=""),"",BT244-BU244)</f>
        <v/>
      </c>
      <c r="BY244" s="23" t="n"/>
      <c r="BZ244" s="24" t="n"/>
      <c r="CA244" s="23" t="n"/>
      <c r="CB244" s="23" t="n"/>
    </row>
    <row r="245">
      <c r="A245" s="16">
        <f>IF(C245="","","AYN-"&amp;IFERROR(VLOOKUP(E245,CATEGORY_PREFIX_TABLE,2,FALSE),"OTH")&amp;"-"&amp;TEXT(ROW()-2,"0000"))</f>
        <v/>
      </c>
      <c r="B245" s="17" t="n"/>
      <c r="C245" s="16" t="n"/>
      <c r="D245" s="16" t="n"/>
      <c r="E245" s="16" t="n"/>
      <c r="F245" s="16" t="n"/>
      <c r="G245" s="16" t="n"/>
      <c r="H245" s="16" t="n"/>
      <c r="I245" s="16" t="n"/>
      <c r="J245" s="16" t="n"/>
      <c r="K245" s="18">
        <f>IF(I245="","",IF(J245="BDT",I245,IF(J245="USD",I245*USD_BDT,IF(J245="RMB",I245*RMB_BDT,""))))</f>
        <v/>
      </c>
      <c r="L245" s="18" t="n"/>
      <c r="M245" s="19" t="n"/>
      <c r="N245" s="18" t="n"/>
      <c r="O245" s="18">
        <f>IF(K245="","",K245+IFERROR(L245,0)+(K245*IF(M245="",CUSTOMS_PCT,M245))+IF(N245="",MISC_FEE,N245))</f>
        <v/>
      </c>
      <c r="P245" s="18">
        <f>IF(O245="","",ROUND(O245*(1+MARKUP_PCT),-1)-1)</f>
        <v/>
      </c>
      <c r="Q245" s="18">
        <f>IF(P245="","",P245-O245)</f>
        <v/>
      </c>
      <c r="R245" s="19">
        <f>IF(OR(P245="",P245=0),"",Q245/P245)</f>
        <v/>
      </c>
      <c r="S245" s="16" t="n"/>
      <c r="T245" s="16" t="n"/>
      <c r="U245" s="16" t="n"/>
      <c r="V245" s="16" t="n"/>
      <c r="W245" s="16" t="n"/>
      <c r="X245" s="16" t="n"/>
      <c r="Y245" s="16" t="n"/>
      <c r="Z245" s="16" t="n"/>
      <c r="AA245" s="16" t="n"/>
      <c r="AB245" s="16" t="n"/>
      <c r="AC245" s="20">
        <f>IF(COUNT(S245:AB245)&lt;10,"",(S245*W_FEMININE+T245*W_TREND+U245*W_AESTHETIC+V245*W_STYLE+W245*W_LIGHT+X245*W_REELS+Y245*W_GIFT+Z245*W_PRICEFIT+AA245*W_DEMAND+AB245*W_QUALITY)/5*100)</f>
        <v/>
      </c>
      <c r="AD245" s="16">
        <f>IF(P245="","",IF(P245&gt;HARD_REJECT_PRICE,"Reject",IF(P245&gt;MAX_PRICE,"Price Review",IF(AC245="","",IF(AND(AC245&gt;=BUY_THRESHOLD,OR(AB245&lt;=2,U245&lt;=2)),"Maybe",IF(AC245&gt;=BUY_THRESHOLD,"Buy",IF(AC245&gt;=MAYBE_THRESHOLD,"Maybe","Reject")))))))</f>
        <v/>
      </c>
      <c r="AE245" s="16" t="n"/>
      <c r="AF245" s="16" t="n"/>
      <c r="AG245" s="16" t="n"/>
      <c r="AH245" s="16" t="n"/>
      <c r="AI245" s="17" t="n"/>
      <c r="AJ245">
        <f>IF(AC245="",-9999-ROW()*0.0000001,AC245-ROW()*0.0000001)</f>
        <v/>
      </c>
      <c r="AK245">
        <f>IF(OR(AC245="",P245="",P245&gt;MAX_PRICE),-9999-ROW()*0.0000001,AC245-ROW()*0.0000001)</f>
        <v/>
      </c>
      <c r="AL245">
        <f>IF(AC245="",-9999-ROW()*0.0000001,X245*1000+AC245-ROW()*0.0000001)</f>
        <v/>
      </c>
      <c r="AM245">
        <f>IF(AC245="",-9999-ROW()*0.0000001,Y245*1000+AC245-ROW()*0.0000001)</f>
        <v/>
      </c>
      <c r="AN245">
        <f>IF(AND(OR(AD245="Maybe",AD245="Price Review"),AG245&lt;&gt;"Approved",AG245&lt;&gt;"Rejected"),IF(AC245="",0,AC245)-ROW()*0.0000001,-9999-ROW()*0.0000001)</f>
        <v/>
      </c>
      <c r="AO245" s="21" t="n"/>
      <c r="AP245" s="21" t="n"/>
      <c r="AQ245" s="22" t="n"/>
      <c r="AR245" s="22" t="n"/>
      <c r="AS245" s="16" t="n"/>
      <c r="AT245" s="22" t="n"/>
      <c r="AU245" s="22" t="n"/>
      <c r="AV245" s="22" t="n"/>
      <c r="AW245" s="18">
        <f>IF(OR(O245="",AV245=""),"",O245*AV245)</f>
        <v/>
      </c>
      <c r="AX245" s="16" t="n"/>
      <c r="AY245" s="16" t="n"/>
      <c r="AZ245" s="16" t="n"/>
      <c r="BA245" s="16" t="n"/>
      <c r="BB245" s="16" t="n"/>
      <c r="BC245" s="18" t="n"/>
      <c r="BD245" s="16" t="n"/>
      <c r="BE245" s="16">
        <f>IF(C245="","",IF(AND(ISNUMBER(P245),P245&gt;MAX_PRICE),"Price too high",IF(AND(ISNUMBER(AB245),AB245&lt;=2),"Quality risk",IF(AND(ISNUMBER(U245),U245&lt;=2),"Aesthetic mismatch",IF(AY245="High","Too fragile",IF(AND(ISNUMBER(R245),R245&lt;LOW_PROFIT_PCT),"Low profit",IF(AND(ISNUMBER(AT245),AT245&gt;MOQ_WARNING),"MOQ too high",IF(OR(AD245="Maybe",AD245="Price Review"),"Needs partner review",IF(AD245="Buy","Good candidate","")))))))))</f>
        <v/>
      </c>
      <c r="BF245" s="16" t="n"/>
      <c r="BG245" s="16" t="n"/>
      <c r="BH245" s="16" t="n"/>
      <c r="BI245" s="16" t="n"/>
      <c r="BJ245" s="16" t="n"/>
      <c r="BK245" s="16" t="n"/>
      <c r="BL245" s="16">
        <f>IF(C245="","",IF(AND(BG245="Yes",BH245="Yes",BI245="Yes",BJ245="Yes",BK245="Yes"),"Yes","No"))</f>
        <v/>
      </c>
      <c r="BM245" s="18" t="n"/>
      <c r="BN245" s="18" t="n"/>
      <c r="BO245" s="18">
        <f>IF(OR(BM245="",BN245=""),"",BM245+BN245)</f>
        <v/>
      </c>
      <c r="BP245" s="18" t="n"/>
      <c r="BQ245" s="18">
        <f>IF(OR(BP245="",BO245=""),"",BP245-BO245)</f>
        <v/>
      </c>
      <c r="BR245" s="19">
        <f>IF(OR(BP245="",BP245=0,BQ245=""),"",BQ245/BP245)</f>
        <v/>
      </c>
      <c r="BS245" s="17" t="n"/>
      <c r="BT245" s="22" t="n"/>
      <c r="BU245" s="22" t="n"/>
      <c r="BV245" s="16" t="n"/>
      <c r="BW245" s="16" t="n"/>
      <c r="BX245" s="22">
        <f>IF(OR(BT245="",BU245=""),"",BT245-BU245)</f>
        <v/>
      </c>
      <c r="BY245" s="16" t="n"/>
      <c r="BZ245" s="17" t="n"/>
      <c r="CA245" s="16" t="n"/>
      <c r="CB245" s="16" t="n"/>
    </row>
    <row r="246">
      <c r="A246" s="23">
        <f>IF(C246="","","AYN-"&amp;IFERROR(VLOOKUP(E246,CATEGORY_PREFIX_TABLE,2,FALSE),"OTH")&amp;"-"&amp;TEXT(ROW()-2,"0000"))</f>
        <v/>
      </c>
      <c r="B246" s="24" t="n"/>
      <c r="C246" s="23" t="n"/>
      <c r="D246" s="23" t="n"/>
      <c r="E246" s="23" t="n"/>
      <c r="F246" s="23" t="n"/>
      <c r="G246" s="23" t="n"/>
      <c r="H246" s="23" t="n"/>
      <c r="I246" s="23" t="n"/>
      <c r="J246" s="23" t="n"/>
      <c r="K246" s="25">
        <f>IF(I246="","",IF(J246="BDT",I246,IF(J246="USD",I246*USD_BDT,IF(J246="RMB",I246*RMB_BDT,""))))</f>
        <v/>
      </c>
      <c r="L246" s="25" t="n"/>
      <c r="M246" s="26" t="n"/>
      <c r="N246" s="25" t="n"/>
      <c r="O246" s="25">
        <f>IF(K246="","",K246+IFERROR(L246,0)+(K246*IF(M246="",CUSTOMS_PCT,M246))+IF(N246="",MISC_FEE,N246))</f>
        <v/>
      </c>
      <c r="P246" s="25">
        <f>IF(O246="","",ROUND(O246*(1+MARKUP_PCT),-1)-1)</f>
        <v/>
      </c>
      <c r="Q246" s="25">
        <f>IF(P246="","",P246-O246)</f>
        <v/>
      </c>
      <c r="R246" s="26">
        <f>IF(OR(P246="",P246=0),"",Q246/P246)</f>
        <v/>
      </c>
      <c r="S246" s="23" t="n"/>
      <c r="T246" s="23" t="n"/>
      <c r="U246" s="23" t="n"/>
      <c r="V246" s="23" t="n"/>
      <c r="W246" s="23" t="n"/>
      <c r="X246" s="23" t="n"/>
      <c r="Y246" s="23" t="n"/>
      <c r="Z246" s="23" t="n"/>
      <c r="AA246" s="23" t="n"/>
      <c r="AB246" s="23" t="n"/>
      <c r="AC246" s="27">
        <f>IF(COUNT(S246:AB246)&lt;10,"",(S246*W_FEMININE+T246*W_TREND+U246*W_AESTHETIC+V246*W_STYLE+W246*W_LIGHT+X246*W_REELS+Y246*W_GIFT+Z246*W_PRICEFIT+AA246*W_DEMAND+AB246*W_QUALITY)/5*100)</f>
        <v/>
      </c>
      <c r="AD246" s="23">
        <f>IF(P246="","",IF(P246&gt;HARD_REJECT_PRICE,"Reject",IF(P246&gt;MAX_PRICE,"Price Review",IF(AC246="","",IF(AND(AC246&gt;=BUY_THRESHOLD,OR(AB246&lt;=2,U246&lt;=2)),"Maybe",IF(AC246&gt;=BUY_THRESHOLD,"Buy",IF(AC246&gt;=MAYBE_THRESHOLD,"Maybe","Reject")))))))</f>
        <v/>
      </c>
      <c r="AE246" s="23" t="n"/>
      <c r="AF246" s="23" t="n"/>
      <c r="AG246" s="23" t="n"/>
      <c r="AH246" s="23" t="n"/>
      <c r="AI246" s="24" t="n"/>
      <c r="AJ246">
        <f>IF(AC246="",-9999-ROW()*0.0000001,AC246-ROW()*0.0000001)</f>
        <v/>
      </c>
      <c r="AK246">
        <f>IF(OR(AC246="",P246="",P246&gt;MAX_PRICE),-9999-ROW()*0.0000001,AC246-ROW()*0.0000001)</f>
        <v/>
      </c>
      <c r="AL246">
        <f>IF(AC246="",-9999-ROW()*0.0000001,X246*1000+AC246-ROW()*0.0000001)</f>
        <v/>
      </c>
      <c r="AM246">
        <f>IF(AC246="",-9999-ROW()*0.0000001,Y246*1000+AC246-ROW()*0.0000001)</f>
        <v/>
      </c>
      <c r="AN246">
        <f>IF(AND(OR(AD246="Maybe",AD246="Price Review"),AG246&lt;&gt;"Approved",AG246&lt;&gt;"Rejected"),IF(AC246="",0,AC246)-ROW()*0.0000001,-9999-ROW()*0.0000001)</f>
        <v/>
      </c>
      <c r="AO246" s="28" t="n"/>
      <c r="AP246" s="28" t="n"/>
      <c r="AQ246" s="29" t="n"/>
      <c r="AR246" s="29" t="n"/>
      <c r="AS246" s="23" t="n"/>
      <c r="AT246" s="29" t="n"/>
      <c r="AU246" s="29" t="n"/>
      <c r="AV246" s="29" t="n"/>
      <c r="AW246" s="25">
        <f>IF(OR(O246="",AV246=""),"",O246*AV246)</f>
        <v/>
      </c>
      <c r="AX246" s="23" t="n"/>
      <c r="AY246" s="23" t="n"/>
      <c r="AZ246" s="23" t="n"/>
      <c r="BA246" s="23" t="n"/>
      <c r="BB246" s="23" t="n"/>
      <c r="BC246" s="25" t="n"/>
      <c r="BD246" s="23" t="n"/>
      <c r="BE246" s="23">
        <f>IF(C246="","",IF(AND(ISNUMBER(P246),P246&gt;MAX_PRICE),"Price too high",IF(AND(ISNUMBER(AB246),AB246&lt;=2),"Quality risk",IF(AND(ISNUMBER(U246),U246&lt;=2),"Aesthetic mismatch",IF(AY246="High","Too fragile",IF(AND(ISNUMBER(R246),R246&lt;LOW_PROFIT_PCT),"Low profit",IF(AND(ISNUMBER(AT246),AT246&gt;MOQ_WARNING),"MOQ too high",IF(OR(AD246="Maybe",AD246="Price Review"),"Needs partner review",IF(AD246="Buy","Good candidate","")))))))))</f>
        <v/>
      </c>
      <c r="BF246" s="23" t="n"/>
      <c r="BG246" s="23" t="n"/>
      <c r="BH246" s="23" t="n"/>
      <c r="BI246" s="23" t="n"/>
      <c r="BJ246" s="23" t="n"/>
      <c r="BK246" s="23" t="n"/>
      <c r="BL246" s="23">
        <f>IF(C246="","",IF(AND(BG246="Yes",BH246="Yes",BI246="Yes",BJ246="Yes",BK246="Yes"),"Yes","No"))</f>
        <v/>
      </c>
      <c r="BM246" s="25" t="n"/>
      <c r="BN246" s="25" t="n"/>
      <c r="BO246" s="25">
        <f>IF(OR(BM246="",BN246=""),"",BM246+BN246)</f>
        <v/>
      </c>
      <c r="BP246" s="25" t="n"/>
      <c r="BQ246" s="25">
        <f>IF(OR(BP246="",BO246=""),"",BP246-BO246)</f>
        <v/>
      </c>
      <c r="BR246" s="26">
        <f>IF(OR(BP246="",BP246=0,BQ246=""),"",BQ246/BP246)</f>
        <v/>
      </c>
      <c r="BS246" s="24" t="n"/>
      <c r="BT246" s="29" t="n"/>
      <c r="BU246" s="29" t="n"/>
      <c r="BV246" s="23" t="n"/>
      <c r="BW246" s="23" t="n"/>
      <c r="BX246" s="29">
        <f>IF(OR(BT246="",BU246=""),"",BT246-BU246)</f>
        <v/>
      </c>
      <c r="BY246" s="23" t="n"/>
      <c r="BZ246" s="24" t="n"/>
      <c r="CA246" s="23" t="n"/>
      <c r="CB246" s="23" t="n"/>
    </row>
    <row r="247">
      <c r="A247" s="16">
        <f>IF(C247="","","AYN-"&amp;IFERROR(VLOOKUP(E247,CATEGORY_PREFIX_TABLE,2,FALSE),"OTH")&amp;"-"&amp;TEXT(ROW()-2,"0000"))</f>
        <v/>
      </c>
      <c r="B247" s="17" t="n"/>
      <c r="C247" s="16" t="n"/>
      <c r="D247" s="16" t="n"/>
      <c r="E247" s="16" t="n"/>
      <c r="F247" s="16" t="n"/>
      <c r="G247" s="16" t="n"/>
      <c r="H247" s="16" t="n"/>
      <c r="I247" s="16" t="n"/>
      <c r="J247" s="16" t="n"/>
      <c r="K247" s="18">
        <f>IF(I247="","",IF(J247="BDT",I247,IF(J247="USD",I247*USD_BDT,IF(J247="RMB",I247*RMB_BDT,""))))</f>
        <v/>
      </c>
      <c r="L247" s="18" t="n"/>
      <c r="M247" s="19" t="n"/>
      <c r="N247" s="18" t="n"/>
      <c r="O247" s="18">
        <f>IF(K247="","",K247+IFERROR(L247,0)+(K247*IF(M247="",CUSTOMS_PCT,M247))+IF(N247="",MISC_FEE,N247))</f>
        <v/>
      </c>
      <c r="P247" s="18">
        <f>IF(O247="","",ROUND(O247*(1+MARKUP_PCT),-1)-1)</f>
        <v/>
      </c>
      <c r="Q247" s="18">
        <f>IF(P247="","",P247-O247)</f>
        <v/>
      </c>
      <c r="R247" s="19">
        <f>IF(OR(P247="",P247=0),"",Q247/P247)</f>
        <v/>
      </c>
      <c r="S247" s="16" t="n"/>
      <c r="T247" s="16" t="n"/>
      <c r="U247" s="16" t="n"/>
      <c r="V247" s="16" t="n"/>
      <c r="W247" s="16" t="n"/>
      <c r="X247" s="16" t="n"/>
      <c r="Y247" s="16" t="n"/>
      <c r="Z247" s="16" t="n"/>
      <c r="AA247" s="16" t="n"/>
      <c r="AB247" s="16" t="n"/>
      <c r="AC247" s="20">
        <f>IF(COUNT(S247:AB247)&lt;10,"",(S247*W_FEMININE+T247*W_TREND+U247*W_AESTHETIC+V247*W_STYLE+W247*W_LIGHT+X247*W_REELS+Y247*W_GIFT+Z247*W_PRICEFIT+AA247*W_DEMAND+AB247*W_QUALITY)/5*100)</f>
        <v/>
      </c>
      <c r="AD247" s="16">
        <f>IF(P247="","",IF(P247&gt;HARD_REJECT_PRICE,"Reject",IF(P247&gt;MAX_PRICE,"Price Review",IF(AC247="","",IF(AND(AC247&gt;=BUY_THRESHOLD,OR(AB247&lt;=2,U247&lt;=2)),"Maybe",IF(AC247&gt;=BUY_THRESHOLD,"Buy",IF(AC247&gt;=MAYBE_THRESHOLD,"Maybe","Reject")))))))</f>
        <v/>
      </c>
      <c r="AE247" s="16" t="n"/>
      <c r="AF247" s="16" t="n"/>
      <c r="AG247" s="16" t="n"/>
      <c r="AH247" s="16" t="n"/>
      <c r="AI247" s="17" t="n"/>
      <c r="AJ247">
        <f>IF(AC247="",-9999-ROW()*0.0000001,AC247-ROW()*0.0000001)</f>
        <v/>
      </c>
      <c r="AK247">
        <f>IF(OR(AC247="",P247="",P247&gt;MAX_PRICE),-9999-ROW()*0.0000001,AC247-ROW()*0.0000001)</f>
        <v/>
      </c>
      <c r="AL247">
        <f>IF(AC247="",-9999-ROW()*0.0000001,X247*1000+AC247-ROW()*0.0000001)</f>
        <v/>
      </c>
      <c r="AM247">
        <f>IF(AC247="",-9999-ROW()*0.0000001,Y247*1000+AC247-ROW()*0.0000001)</f>
        <v/>
      </c>
      <c r="AN247">
        <f>IF(AND(OR(AD247="Maybe",AD247="Price Review"),AG247&lt;&gt;"Approved",AG247&lt;&gt;"Rejected"),IF(AC247="",0,AC247)-ROW()*0.0000001,-9999-ROW()*0.0000001)</f>
        <v/>
      </c>
      <c r="AO247" s="21" t="n"/>
      <c r="AP247" s="21" t="n"/>
      <c r="AQ247" s="22" t="n"/>
      <c r="AR247" s="22" t="n"/>
      <c r="AS247" s="16" t="n"/>
      <c r="AT247" s="22" t="n"/>
      <c r="AU247" s="22" t="n"/>
      <c r="AV247" s="22" t="n"/>
      <c r="AW247" s="18">
        <f>IF(OR(O247="",AV247=""),"",O247*AV247)</f>
        <v/>
      </c>
      <c r="AX247" s="16" t="n"/>
      <c r="AY247" s="16" t="n"/>
      <c r="AZ247" s="16" t="n"/>
      <c r="BA247" s="16" t="n"/>
      <c r="BB247" s="16" t="n"/>
      <c r="BC247" s="18" t="n"/>
      <c r="BD247" s="16" t="n"/>
      <c r="BE247" s="16">
        <f>IF(C247="","",IF(AND(ISNUMBER(P247),P247&gt;MAX_PRICE),"Price too high",IF(AND(ISNUMBER(AB247),AB247&lt;=2),"Quality risk",IF(AND(ISNUMBER(U247),U247&lt;=2),"Aesthetic mismatch",IF(AY247="High","Too fragile",IF(AND(ISNUMBER(R247),R247&lt;LOW_PROFIT_PCT),"Low profit",IF(AND(ISNUMBER(AT247),AT247&gt;MOQ_WARNING),"MOQ too high",IF(OR(AD247="Maybe",AD247="Price Review"),"Needs partner review",IF(AD247="Buy","Good candidate","")))))))))</f>
        <v/>
      </c>
      <c r="BF247" s="16" t="n"/>
      <c r="BG247" s="16" t="n"/>
      <c r="BH247" s="16" t="n"/>
      <c r="BI247" s="16" t="n"/>
      <c r="BJ247" s="16" t="n"/>
      <c r="BK247" s="16" t="n"/>
      <c r="BL247" s="16">
        <f>IF(C247="","",IF(AND(BG247="Yes",BH247="Yes",BI247="Yes",BJ247="Yes",BK247="Yes"),"Yes","No"))</f>
        <v/>
      </c>
      <c r="BM247" s="18" t="n"/>
      <c r="BN247" s="18" t="n"/>
      <c r="BO247" s="18">
        <f>IF(OR(BM247="",BN247=""),"",BM247+BN247)</f>
        <v/>
      </c>
      <c r="BP247" s="18" t="n"/>
      <c r="BQ247" s="18">
        <f>IF(OR(BP247="",BO247=""),"",BP247-BO247)</f>
        <v/>
      </c>
      <c r="BR247" s="19">
        <f>IF(OR(BP247="",BP247=0,BQ247=""),"",BQ247/BP247)</f>
        <v/>
      </c>
      <c r="BS247" s="17" t="n"/>
      <c r="BT247" s="22" t="n"/>
      <c r="BU247" s="22" t="n"/>
      <c r="BV247" s="16" t="n"/>
      <c r="BW247" s="16" t="n"/>
      <c r="BX247" s="22">
        <f>IF(OR(BT247="",BU247=""),"",BT247-BU247)</f>
        <v/>
      </c>
      <c r="BY247" s="16" t="n"/>
      <c r="BZ247" s="17" t="n"/>
      <c r="CA247" s="16" t="n"/>
      <c r="CB247" s="16" t="n"/>
    </row>
    <row r="248">
      <c r="A248" s="23">
        <f>IF(C248="","","AYN-"&amp;IFERROR(VLOOKUP(E248,CATEGORY_PREFIX_TABLE,2,FALSE),"OTH")&amp;"-"&amp;TEXT(ROW()-2,"0000"))</f>
        <v/>
      </c>
      <c r="B248" s="24" t="n"/>
      <c r="C248" s="23" t="n"/>
      <c r="D248" s="23" t="n"/>
      <c r="E248" s="23" t="n"/>
      <c r="F248" s="23" t="n"/>
      <c r="G248" s="23" t="n"/>
      <c r="H248" s="23" t="n"/>
      <c r="I248" s="23" t="n"/>
      <c r="J248" s="23" t="n"/>
      <c r="K248" s="25">
        <f>IF(I248="","",IF(J248="BDT",I248,IF(J248="USD",I248*USD_BDT,IF(J248="RMB",I248*RMB_BDT,""))))</f>
        <v/>
      </c>
      <c r="L248" s="25" t="n"/>
      <c r="M248" s="26" t="n"/>
      <c r="N248" s="25" t="n"/>
      <c r="O248" s="25">
        <f>IF(K248="","",K248+IFERROR(L248,0)+(K248*IF(M248="",CUSTOMS_PCT,M248))+IF(N248="",MISC_FEE,N248))</f>
        <v/>
      </c>
      <c r="P248" s="25">
        <f>IF(O248="","",ROUND(O248*(1+MARKUP_PCT),-1)-1)</f>
        <v/>
      </c>
      <c r="Q248" s="25">
        <f>IF(P248="","",P248-O248)</f>
        <v/>
      </c>
      <c r="R248" s="26">
        <f>IF(OR(P248="",P248=0),"",Q248/P248)</f>
        <v/>
      </c>
      <c r="S248" s="23" t="n"/>
      <c r="T248" s="23" t="n"/>
      <c r="U248" s="23" t="n"/>
      <c r="V248" s="23" t="n"/>
      <c r="W248" s="23" t="n"/>
      <c r="X248" s="23" t="n"/>
      <c r="Y248" s="23" t="n"/>
      <c r="Z248" s="23" t="n"/>
      <c r="AA248" s="23" t="n"/>
      <c r="AB248" s="23" t="n"/>
      <c r="AC248" s="27">
        <f>IF(COUNT(S248:AB248)&lt;10,"",(S248*W_FEMININE+T248*W_TREND+U248*W_AESTHETIC+V248*W_STYLE+W248*W_LIGHT+X248*W_REELS+Y248*W_GIFT+Z248*W_PRICEFIT+AA248*W_DEMAND+AB248*W_QUALITY)/5*100)</f>
        <v/>
      </c>
      <c r="AD248" s="23">
        <f>IF(P248="","",IF(P248&gt;HARD_REJECT_PRICE,"Reject",IF(P248&gt;MAX_PRICE,"Price Review",IF(AC248="","",IF(AND(AC248&gt;=BUY_THRESHOLD,OR(AB248&lt;=2,U248&lt;=2)),"Maybe",IF(AC248&gt;=BUY_THRESHOLD,"Buy",IF(AC248&gt;=MAYBE_THRESHOLD,"Maybe","Reject")))))))</f>
        <v/>
      </c>
      <c r="AE248" s="23" t="n"/>
      <c r="AF248" s="23" t="n"/>
      <c r="AG248" s="23" t="n"/>
      <c r="AH248" s="23" t="n"/>
      <c r="AI248" s="24" t="n"/>
      <c r="AJ248">
        <f>IF(AC248="",-9999-ROW()*0.0000001,AC248-ROW()*0.0000001)</f>
        <v/>
      </c>
      <c r="AK248">
        <f>IF(OR(AC248="",P248="",P248&gt;MAX_PRICE),-9999-ROW()*0.0000001,AC248-ROW()*0.0000001)</f>
        <v/>
      </c>
      <c r="AL248">
        <f>IF(AC248="",-9999-ROW()*0.0000001,X248*1000+AC248-ROW()*0.0000001)</f>
        <v/>
      </c>
      <c r="AM248">
        <f>IF(AC248="",-9999-ROW()*0.0000001,Y248*1000+AC248-ROW()*0.0000001)</f>
        <v/>
      </c>
      <c r="AN248">
        <f>IF(AND(OR(AD248="Maybe",AD248="Price Review"),AG248&lt;&gt;"Approved",AG248&lt;&gt;"Rejected"),IF(AC248="",0,AC248)-ROW()*0.0000001,-9999-ROW()*0.0000001)</f>
        <v/>
      </c>
      <c r="AO248" s="28" t="n"/>
      <c r="AP248" s="28" t="n"/>
      <c r="AQ248" s="29" t="n"/>
      <c r="AR248" s="29" t="n"/>
      <c r="AS248" s="23" t="n"/>
      <c r="AT248" s="29" t="n"/>
      <c r="AU248" s="29" t="n"/>
      <c r="AV248" s="29" t="n"/>
      <c r="AW248" s="25">
        <f>IF(OR(O248="",AV248=""),"",O248*AV248)</f>
        <v/>
      </c>
      <c r="AX248" s="23" t="n"/>
      <c r="AY248" s="23" t="n"/>
      <c r="AZ248" s="23" t="n"/>
      <c r="BA248" s="23" t="n"/>
      <c r="BB248" s="23" t="n"/>
      <c r="BC248" s="25" t="n"/>
      <c r="BD248" s="23" t="n"/>
      <c r="BE248" s="23">
        <f>IF(C248="","",IF(AND(ISNUMBER(P248),P248&gt;MAX_PRICE),"Price too high",IF(AND(ISNUMBER(AB248),AB248&lt;=2),"Quality risk",IF(AND(ISNUMBER(U248),U248&lt;=2),"Aesthetic mismatch",IF(AY248="High","Too fragile",IF(AND(ISNUMBER(R248),R248&lt;LOW_PROFIT_PCT),"Low profit",IF(AND(ISNUMBER(AT248),AT248&gt;MOQ_WARNING),"MOQ too high",IF(OR(AD248="Maybe",AD248="Price Review"),"Needs partner review",IF(AD248="Buy","Good candidate","")))))))))</f>
        <v/>
      </c>
      <c r="BF248" s="23" t="n"/>
      <c r="BG248" s="23" t="n"/>
      <c r="BH248" s="23" t="n"/>
      <c r="BI248" s="23" t="n"/>
      <c r="BJ248" s="23" t="n"/>
      <c r="BK248" s="23" t="n"/>
      <c r="BL248" s="23">
        <f>IF(C248="","",IF(AND(BG248="Yes",BH248="Yes",BI248="Yes",BJ248="Yes",BK248="Yes"),"Yes","No"))</f>
        <v/>
      </c>
      <c r="BM248" s="25" t="n"/>
      <c r="BN248" s="25" t="n"/>
      <c r="BO248" s="25">
        <f>IF(OR(BM248="",BN248=""),"",BM248+BN248)</f>
        <v/>
      </c>
      <c r="BP248" s="25" t="n"/>
      <c r="BQ248" s="25">
        <f>IF(OR(BP248="",BO248=""),"",BP248-BO248)</f>
        <v/>
      </c>
      <c r="BR248" s="26">
        <f>IF(OR(BP248="",BP248=0,BQ248=""),"",BQ248/BP248)</f>
        <v/>
      </c>
      <c r="BS248" s="24" t="n"/>
      <c r="BT248" s="29" t="n"/>
      <c r="BU248" s="29" t="n"/>
      <c r="BV248" s="23" t="n"/>
      <c r="BW248" s="23" t="n"/>
      <c r="BX248" s="29">
        <f>IF(OR(BT248="",BU248=""),"",BT248-BU248)</f>
        <v/>
      </c>
      <c r="BY248" s="23" t="n"/>
      <c r="BZ248" s="24" t="n"/>
      <c r="CA248" s="23" t="n"/>
      <c r="CB248" s="23" t="n"/>
    </row>
    <row r="249">
      <c r="A249" s="16">
        <f>IF(C249="","","AYN-"&amp;IFERROR(VLOOKUP(E249,CATEGORY_PREFIX_TABLE,2,FALSE),"OTH")&amp;"-"&amp;TEXT(ROW()-2,"0000"))</f>
        <v/>
      </c>
      <c r="B249" s="17" t="n"/>
      <c r="C249" s="16" t="n"/>
      <c r="D249" s="16" t="n"/>
      <c r="E249" s="16" t="n"/>
      <c r="F249" s="16" t="n"/>
      <c r="G249" s="16" t="n"/>
      <c r="H249" s="16" t="n"/>
      <c r="I249" s="16" t="n"/>
      <c r="J249" s="16" t="n"/>
      <c r="K249" s="18">
        <f>IF(I249="","",IF(J249="BDT",I249,IF(J249="USD",I249*USD_BDT,IF(J249="RMB",I249*RMB_BDT,""))))</f>
        <v/>
      </c>
      <c r="L249" s="18" t="n"/>
      <c r="M249" s="19" t="n"/>
      <c r="N249" s="18" t="n"/>
      <c r="O249" s="18">
        <f>IF(K249="","",K249+IFERROR(L249,0)+(K249*IF(M249="",CUSTOMS_PCT,M249))+IF(N249="",MISC_FEE,N249))</f>
        <v/>
      </c>
      <c r="P249" s="18">
        <f>IF(O249="","",ROUND(O249*(1+MARKUP_PCT),-1)-1)</f>
        <v/>
      </c>
      <c r="Q249" s="18">
        <f>IF(P249="","",P249-O249)</f>
        <v/>
      </c>
      <c r="R249" s="19">
        <f>IF(OR(P249="",P249=0),"",Q249/P249)</f>
        <v/>
      </c>
      <c r="S249" s="16" t="n"/>
      <c r="T249" s="16" t="n"/>
      <c r="U249" s="16" t="n"/>
      <c r="V249" s="16" t="n"/>
      <c r="W249" s="16" t="n"/>
      <c r="X249" s="16" t="n"/>
      <c r="Y249" s="16" t="n"/>
      <c r="Z249" s="16" t="n"/>
      <c r="AA249" s="16" t="n"/>
      <c r="AB249" s="16" t="n"/>
      <c r="AC249" s="20">
        <f>IF(COUNT(S249:AB249)&lt;10,"",(S249*W_FEMININE+T249*W_TREND+U249*W_AESTHETIC+V249*W_STYLE+W249*W_LIGHT+X249*W_REELS+Y249*W_GIFT+Z249*W_PRICEFIT+AA249*W_DEMAND+AB249*W_QUALITY)/5*100)</f>
        <v/>
      </c>
      <c r="AD249" s="16">
        <f>IF(P249="","",IF(P249&gt;HARD_REJECT_PRICE,"Reject",IF(P249&gt;MAX_PRICE,"Price Review",IF(AC249="","",IF(AND(AC249&gt;=BUY_THRESHOLD,OR(AB249&lt;=2,U249&lt;=2)),"Maybe",IF(AC249&gt;=BUY_THRESHOLD,"Buy",IF(AC249&gt;=MAYBE_THRESHOLD,"Maybe","Reject")))))))</f>
        <v/>
      </c>
      <c r="AE249" s="16" t="n"/>
      <c r="AF249" s="16" t="n"/>
      <c r="AG249" s="16" t="n"/>
      <c r="AH249" s="16" t="n"/>
      <c r="AI249" s="17" t="n"/>
      <c r="AJ249">
        <f>IF(AC249="",-9999-ROW()*0.0000001,AC249-ROW()*0.0000001)</f>
        <v/>
      </c>
      <c r="AK249">
        <f>IF(OR(AC249="",P249="",P249&gt;MAX_PRICE),-9999-ROW()*0.0000001,AC249-ROW()*0.0000001)</f>
        <v/>
      </c>
      <c r="AL249">
        <f>IF(AC249="",-9999-ROW()*0.0000001,X249*1000+AC249-ROW()*0.0000001)</f>
        <v/>
      </c>
      <c r="AM249">
        <f>IF(AC249="",-9999-ROW()*0.0000001,Y249*1000+AC249-ROW()*0.0000001)</f>
        <v/>
      </c>
      <c r="AN249">
        <f>IF(AND(OR(AD249="Maybe",AD249="Price Review"),AG249&lt;&gt;"Approved",AG249&lt;&gt;"Rejected"),IF(AC249="",0,AC249)-ROW()*0.0000001,-9999-ROW()*0.0000001)</f>
        <v/>
      </c>
      <c r="AO249" s="21" t="n"/>
      <c r="AP249" s="21" t="n"/>
      <c r="AQ249" s="22" t="n"/>
      <c r="AR249" s="22" t="n"/>
      <c r="AS249" s="16" t="n"/>
      <c r="AT249" s="22" t="n"/>
      <c r="AU249" s="22" t="n"/>
      <c r="AV249" s="22" t="n"/>
      <c r="AW249" s="18">
        <f>IF(OR(O249="",AV249=""),"",O249*AV249)</f>
        <v/>
      </c>
      <c r="AX249" s="16" t="n"/>
      <c r="AY249" s="16" t="n"/>
      <c r="AZ249" s="16" t="n"/>
      <c r="BA249" s="16" t="n"/>
      <c r="BB249" s="16" t="n"/>
      <c r="BC249" s="18" t="n"/>
      <c r="BD249" s="16" t="n"/>
      <c r="BE249" s="16">
        <f>IF(C249="","",IF(AND(ISNUMBER(P249),P249&gt;MAX_PRICE),"Price too high",IF(AND(ISNUMBER(AB249),AB249&lt;=2),"Quality risk",IF(AND(ISNUMBER(U249),U249&lt;=2),"Aesthetic mismatch",IF(AY249="High","Too fragile",IF(AND(ISNUMBER(R249),R249&lt;LOW_PROFIT_PCT),"Low profit",IF(AND(ISNUMBER(AT249),AT249&gt;MOQ_WARNING),"MOQ too high",IF(OR(AD249="Maybe",AD249="Price Review"),"Needs partner review",IF(AD249="Buy","Good candidate","")))))))))</f>
        <v/>
      </c>
      <c r="BF249" s="16" t="n"/>
      <c r="BG249" s="16" t="n"/>
      <c r="BH249" s="16" t="n"/>
      <c r="BI249" s="16" t="n"/>
      <c r="BJ249" s="16" t="n"/>
      <c r="BK249" s="16" t="n"/>
      <c r="BL249" s="16">
        <f>IF(C249="","",IF(AND(BG249="Yes",BH249="Yes",BI249="Yes",BJ249="Yes",BK249="Yes"),"Yes","No"))</f>
        <v/>
      </c>
      <c r="BM249" s="18" t="n"/>
      <c r="BN249" s="18" t="n"/>
      <c r="BO249" s="18">
        <f>IF(OR(BM249="",BN249=""),"",BM249+BN249)</f>
        <v/>
      </c>
      <c r="BP249" s="18" t="n"/>
      <c r="BQ249" s="18">
        <f>IF(OR(BP249="",BO249=""),"",BP249-BO249)</f>
        <v/>
      </c>
      <c r="BR249" s="19">
        <f>IF(OR(BP249="",BP249=0,BQ249=""),"",BQ249/BP249)</f>
        <v/>
      </c>
      <c r="BS249" s="17" t="n"/>
      <c r="BT249" s="22" t="n"/>
      <c r="BU249" s="22" t="n"/>
      <c r="BV249" s="16" t="n"/>
      <c r="BW249" s="16" t="n"/>
      <c r="BX249" s="22">
        <f>IF(OR(BT249="",BU249=""),"",BT249-BU249)</f>
        <v/>
      </c>
      <c r="BY249" s="16" t="n"/>
      <c r="BZ249" s="17" t="n"/>
      <c r="CA249" s="16" t="n"/>
      <c r="CB249" s="16" t="n"/>
    </row>
    <row r="250">
      <c r="A250" s="23">
        <f>IF(C250="","","AYN-"&amp;IFERROR(VLOOKUP(E250,CATEGORY_PREFIX_TABLE,2,FALSE),"OTH")&amp;"-"&amp;TEXT(ROW()-2,"0000"))</f>
        <v/>
      </c>
      <c r="B250" s="24" t="n"/>
      <c r="C250" s="23" t="n"/>
      <c r="D250" s="23" t="n"/>
      <c r="E250" s="23" t="n"/>
      <c r="F250" s="23" t="n"/>
      <c r="G250" s="23" t="n"/>
      <c r="H250" s="23" t="n"/>
      <c r="I250" s="23" t="n"/>
      <c r="J250" s="23" t="n"/>
      <c r="K250" s="25">
        <f>IF(I250="","",IF(J250="BDT",I250,IF(J250="USD",I250*USD_BDT,IF(J250="RMB",I250*RMB_BDT,""))))</f>
        <v/>
      </c>
      <c r="L250" s="25" t="n"/>
      <c r="M250" s="26" t="n"/>
      <c r="N250" s="25" t="n"/>
      <c r="O250" s="25">
        <f>IF(K250="","",K250+IFERROR(L250,0)+(K250*IF(M250="",CUSTOMS_PCT,M250))+IF(N250="",MISC_FEE,N250))</f>
        <v/>
      </c>
      <c r="P250" s="25">
        <f>IF(O250="","",ROUND(O250*(1+MARKUP_PCT),-1)-1)</f>
        <v/>
      </c>
      <c r="Q250" s="25">
        <f>IF(P250="","",P250-O250)</f>
        <v/>
      </c>
      <c r="R250" s="26">
        <f>IF(OR(P250="",P250=0),"",Q250/P250)</f>
        <v/>
      </c>
      <c r="S250" s="23" t="n"/>
      <c r="T250" s="23" t="n"/>
      <c r="U250" s="23" t="n"/>
      <c r="V250" s="23" t="n"/>
      <c r="W250" s="23" t="n"/>
      <c r="X250" s="23" t="n"/>
      <c r="Y250" s="23" t="n"/>
      <c r="Z250" s="23" t="n"/>
      <c r="AA250" s="23" t="n"/>
      <c r="AB250" s="23" t="n"/>
      <c r="AC250" s="27">
        <f>IF(COUNT(S250:AB250)&lt;10,"",(S250*W_FEMININE+T250*W_TREND+U250*W_AESTHETIC+V250*W_STYLE+W250*W_LIGHT+X250*W_REELS+Y250*W_GIFT+Z250*W_PRICEFIT+AA250*W_DEMAND+AB250*W_QUALITY)/5*100)</f>
        <v/>
      </c>
      <c r="AD250" s="23">
        <f>IF(P250="","",IF(P250&gt;HARD_REJECT_PRICE,"Reject",IF(P250&gt;MAX_PRICE,"Price Review",IF(AC250="","",IF(AND(AC250&gt;=BUY_THRESHOLD,OR(AB250&lt;=2,U250&lt;=2)),"Maybe",IF(AC250&gt;=BUY_THRESHOLD,"Buy",IF(AC250&gt;=MAYBE_THRESHOLD,"Maybe","Reject")))))))</f>
        <v/>
      </c>
      <c r="AE250" s="23" t="n"/>
      <c r="AF250" s="23" t="n"/>
      <c r="AG250" s="23" t="n"/>
      <c r="AH250" s="23" t="n"/>
      <c r="AI250" s="24" t="n"/>
      <c r="AJ250">
        <f>IF(AC250="",-9999-ROW()*0.0000001,AC250-ROW()*0.0000001)</f>
        <v/>
      </c>
      <c r="AK250">
        <f>IF(OR(AC250="",P250="",P250&gt;MAX_PRICE),-9999-ROW()*0.0000001,AC250-ROW()*0.0000001)</f>
        <v/>
      </c>
      <c r="AL250">
        <f>IF(AC250="",-9999-ROW()*0.0000001,X250*1000+AC250-ROW()*0.0000001)</f>
        <v/>
      </c>
      <c r="AM250">
        <f>IF(AC250="",-9999-ROW()*0.0000001,Y250*1000+AC250-ROW()*0.0000001)</f>
        <v/>
      </c>
      <c r="AN250">
        <f>IF(AND(OR(AD250="Maybe",AD250="Price Review"),AG250&lt;&gt;"Approved",AG250&lt;&gt;"Rejected"),IF(AC250="",0,AC250)-ROW()*0.0000001,-9999-ROW()*0.0000001)</f>
        <v/>
      </c>
      <c r="AO250" s="28" t="n"/>
      <c r="AP250" s="28" t="n"/>
      <c r="AQ250" s="29" t="n"/>
      <c r="AR250" s="29" t="n"/>
      <c r="AS250" s="23" t="n"/>
      <c r="AT250" s="29" t="n"/>
      <c r="AU250" s="29" t="n"/>
      <c r="AV250" s="29" t="n"/>
      <c r="AW250" s="25">
        <f>IF(OR(O250="",AV250=""),"",O250*AV250)</f>
        <v/>
      </c>
      <c r="AX250" s="23" t="n"/>
      <c r="AY250" s="23" t="n"/>
      <c r="AZ250" s="23" t="n"/>
      <c r="BA250" s="23" t="n"/>
      <c r="BB250" s="23" t="n"/>
      <c r="BC250" s="25" t="n"/>
      <c r="BD250" s="23" t="n"/>
      <c r="BE250" s="23">
        <f>IF(C250="","",IF(AND(ISNUMBER(P250),P250&gt;MAX_PRICE),"Price too high",IF(AND(ISNUMBER(AB250),AB250&lt;=2),"Quality risk",IF(AND(ISNUMBER(U250),U250&lt;=2),"Aesthetic mismatch",IF(AY250="High","Too fragile",IF(AND(ISNUMBER(R250),R250&lt;LOW_PROFIT_PCT),"Low profit",IF(AND(ISNUMBER(AT250),AT250&gt;MOQ_WARNING),"MOQ too high",IF(OR(AD250="Maybe",AD250="Price Review"),"Needs partner review",IF(AD250="Buy","Good candidate","")))))))))</f>
        <v/>
      </c>
      <c r="BF250" s="23" t="n"/>
      <c r="BG250" s="23" t="n"/>
      <c r="BH250" s="23" t="n"/>
      <c r="BI250" s="23" t="n"/>
      <c r="BJ250" s="23" t="n"/>
      <c r="BK250" s="23" t="n"/>
      <c r="BL250" s="23">
        <f>IF(C250="","",IF(AND(BG250="Yes",BH250="Yes",BI250="Yes",BJ250="Yes",BK250="Yes"),"Yes","No"))</f>
        <v/>
      </c>
      <c r="BM250" s="25" t="n"/>
      <c r="BN250" s="25" t="n"/>
      <c r="BO250" s="25">
        <f>IF(OR(BM250="",BN250=""),"",BM250+BN250)</f>
        <v/>
      </c>
      <c r="BP250" s="25" t="n"/>
      <c r="BQ250" s="25">
        <f>IF(OR(BP250="",BO250=""),"",BP250-BO250)</f>
        <v/>
      </c>
      <c r="BR250" s="26">
        <f>IF(OR(BP250="",BP250=0,BQ250=""),"",BQ250/BP250)</f>
        <v/>
      </c>
      <c r="BS250" s="24" t="n"/>
      <c r="BT250" s="29" t="n"/>
      <c r="BU250" s="29" t="n"/>
      <c r="BV250" s="23" t="n"/>
      <c r="BW250" s="23" t="n"/>
      <c r="BX250" s="29">
        <f>IF(OR(BT250="",BU250=""),"",BT250-BU250)</f>
        <v/>
      </c>
      <c r="BY250" s="23" t="n"/>
      <c r="BZ250" s="24" t="n"/>
      <c r="CA250" s="23" t="n"/>
      <c r="CB250" s="23" t="n"/>
    </row>
    <row r="251">
      <c r="A251" s="16">
        <f>IF(C251="","","AYN-"&amp;IFERROR(VLOOKUP(E251,CATEGORY_PREFIX_TABLE,2,FALSE),"OTH")&amp;"-"&amp;TEXT(ROW()-2,"0000"))</f>
        <v/>
      </c>
      <c r="B251" s="17" t="n"/>
      <c r="C251" s="16" t="n"/>
      <c r="D251" s="16" t="n"/>
      <c r="E251" s="16" t="n"/>
      <c r="F251" s="16" t="n"/>
      <c r="G251" s="16" t="n"/>
      <c r="H251" s="16" t="n"/>
      <c r="I251" s="16" t="n"/>
      <c r="J251" s="16" t="n"/>
      <c r="K251" s="18">
        <f>IF(I251="","",IF(J251="BDT",I251,IF(J251="USD",I251*USD_BDT,IF(J251="RMB",I251*RMB_BDT,""))))</f>
        <v/>
      </c>
      <c r="L251" s="18" t="n"/>
      <c r="M251" s="19" t="n"/>
      <c r="N251" s="18" t="n"/>
      <c r="O251" s="18">
        <f>IF(K251="","",K251+IFERROR(L251,0)+(K251*IF(M251="",CUSTOMS_PCT,M251))+IF(N251="",MISC_FEE,N251))</f>
        <v/>
      </c>
      <c r="P251" s="18">
        <f>IF(O251="","",ROUND(O251*(1+MARKUP_PCT),-1)-1)</f>
        <v/>
      </c>
      <c r="Q251" s="18">
        <f>IF(P251="","",P251-O251)</f>
        <v/>
      </c>
      <c r="R251" s="19">
        <f>IF(OR(P251="",P251=0),"",Q251/P251)</f>
        <v/>
      </c>
      <c r="S251" s="16" t="n"/>
      <c r="T251" s="16" t="n"/>
      <c r="U251" s="16" t="n"/>
      <c r="V251" s="16" t="n"/>
      <c r="W251" s="16" t="n"/>
      <c r="X251" s="16" t="n"/>
      <c r="Y251" s="16" t="n"/>
      <c r="Z251" s="16" t="n"/>
      <c r="AA251" s="16" t="n"/>
      <c r="AB251" s="16" t="n"/>
      <c r="AC251" s="20">
        <f>IF(COUNT(S251:AB251)&lt;10,"",(S251*W_FEMININE+T251*W_TREND+U251*W_AESTHETIC+V251*W_STYLE+W251*W_LIGHT+X251*W_REELS+Y251*W_GIFT+Z251*W_PRICEFIT+AA251*W_DEMAND+AB251*W_QUALITY)/5*100)</f>
        <v/>
      </c>
      <c r="AD251" s="16">
        <f>IF(P251="","",IF(P251&gt;HARD_REJECT_PRICE,"Reject",IF(P251&gt;MAX_PRICE,"Price Review",IF(AC251="","",IF(AND(AC251&gt;=BUY_THRESHOLD,OR(AB251&lt;=2,U251&lt;=2)),"Maybe",IF(AC251&gt;=BUY_THRESHOLD,"Buy",IF(AC251&gt;=MAYBE_THRESHOLD,"Maybe","Reject")))))))</f>
        <v/>
      </c>
      <c r="AE251" s="16" t="n"/>
      <c r="AF251" s="16" t="n"/>
      <c r="AG251" s="16" t="n"/>
      <c r="AH251" s="16" t="n"/>
      <c r="AI251" s="17" t="n"/>
      <c r="AJ251">
        <f>IF(AC251="",-9999-ROW()*0.0000001,AC251-ROW()*0.0000001)</f>
        <v/>
      </c>
      <c r="AK251">
        <f>IF(OR(AC251="",P251="",P251&gt;MAX_PRICE),-9999-ROW()*0.0000001,AC251-ROW()*0.0000001)</f>
        <v/>
      </c>
      <c r="AL251">
        <f>IF(AC251="",-9999-ROW()*0.0000001,X251*1000+AC251-ROW()*0.0000001)</f>
        <v/>
      </c>
      <c r="AM251">
        <f>IF(AC251="",-9999-ROW()*0.0000001,Y251*1000+AC251-ROW()*0.0000001)</f>
        <v/>
      </c>
      <c r="AN251">
        <f>IF(AND(OR(AD251="Maybe",AD251="Price Review"),AG251&lt;&gt;"Approved",AG251&lt;&gt;"Rejected"),IF(AC251="",0,AC251)-ROW()*0.0000001,-9999-ROW()*0.0000001)</f>
        <v/>
      </c>
      <c r="AO251" s="21" t="n"/>
      <c r="AP251" s="21" t="n"/>
      <c r="AQ251" s="22" t="n"/>
      <c r="AR251" s="22" t="n"/>
      <c r="AS251" s="16" t="n"/>
      <c r="AT251" s="22" t="n"/>
      <c r="AU251" s="22" t="n"/>
      <c r="AV251" s="22" t="n"/>
      <c r="AW251" s="18">
        <f>IF(OR(O251="",AV251=""),"",O251*AV251)</f>
        <v/>
      </c>
      <c r="AX251" s="16" t="n"/>
      <c r="AY251" s="16" t="n"/>
      <c r="AZ251" s="16" t="n"/>
      <c r="BA251" s="16" t="n"/>
      <c r="BB251" s="16" t="n"/>
      <c r="BC251" s="18" t="n"/>
      <c r="BD251" s="16" t="n"/>
      <c r="BE251" s="16">
        <f>IF(C251="","",IF(AND(ISNUMBER(P251),P251&gt;MAX_PRICE),"Price too high",IF(AND(ISNUMBER(AB251),AB251&lt;=2),"Quality risk",IF(AND(ISNUMBER(U251),U251&lt;=2),"Aesthetic mismatch",IF(AY251="High","Too fragile",IF(AND(ISNUMBER(R251),R251&lt;LOW_PROFIT_PCT),"Low profit",IF(AND(ISNUMBER(AT251),AT251&gt;MOQ_WARNING),"MOQ too high",IF(OR(AD251="Maybe",AD251="Price Review"),"Needs partner review",IF(AD251="Buy","Good candidate","")))))))))</f>
        <v/>
      </c>
      <c r="BF251" s="16" t="n"/>
      <c r="BG251" s="16" t="n"/>
      <c r="BH251" s="16" t="n"/>
      <c r="BI251" s="16" t="n"/>
      <c r="BJ251" s="16" t="n"/>
      <c r="BK251" s="16" t="n"/>
      <c r="BL251" s="16">
        <f>IF(C251="","",IF(AND(BG251="Yes",BH251="Yes",BI251="Yes",BJ251="Yes",BK251="Yes"),"Yes","No"))</f>
        <v/>
      </c>
      <c r="BM251" s="18" t="n"/>
      <c r="BN251" s="18" t="n"/>
      <c r="BO251" s="18">
        <f>IF(OR(BM251="",BN251=""),"",BM251+BN251)</f>
        <v/>
      </c>
      <c r="BP251" s="18" t="n"/>
      <c r="BQ251" s="18">
        <f>IF(OR(BP251="",BO251=""),"",BP251-BO251)</f>
        <v/>
      </c>
      <c r="BR251" s="19">
        <f>IF(OR(BP251="",BP251=0,BQ251=""),"",BQ251/BP251)</f>
        <v/>
      </c>
      <c r="BS251" s="17" t="n"/>
      <c r="BT251" s="22" t="n"/>
      <c r="BU251" s="22" t="n"/>
      <c r="BV251" s="16" t="n"/>
      <c r="BW251" s="16" t="n"/>
      <c r="BX251" s="22">
        <f>IF(OR(BT251="",BU251=""),"",BT251-BU251)</f>
        <v/>
      </c>
      <c r="BY251" s="16" t="n"/>
      <c r="BZ251" s="17" t="n"/>
      <c r="CA251" s="16" t="n"/>
      <c r="CB251" s="16" t="n"/>
    </row>
    <row r="252">
      <c r="A252" s="23">
        <f>IF(C252="","","AYN-"&amp;IFERROR(VLOOKUP(E252,CATEGORY_PREFIX_TABLE,2,FALSE),"OTH")&amp;"-"&amp;TEXT(ROW()-2,"0000"))</f>
        <v/>
      </c>
      <c r="B252" s="24" t="n"/>
      <c r="C252" s="23" t="n"/>
      <c r="D252" s="23" t="n"/>
      <c r="E252" s="23" t="n"/>
      <c r="F252" s="23" t="n"/>
      <c r="G252" s="23" t="n"/>
      <c r="H252" s="23" t="n"/>
      <c r="I252" s="23" t="n"/>
      <c r="J252" s="23" t="n"/>
      <c r="K252" s="25">
        <f>IF(I252="","",IF(J252="BDT",I252,IF(J252="USD",I252*USD_BDT,IF(J252="RMB",I252*RMB_BDT,""))))</f>
        <v/>
      </c>
      <c r="L252" s="25" t="n"/>
      <c r="M252" s="26" t="n"/>
      <c r="N252" s="25" t="n"/>
      <c r="O252" s="25">
        <f>IF(K252="","",K252+IFERROR(L252,0)+(K252*IF(M252="",CUSTOMS_PCT,M252))+IF(N252="",MISC_FEE,N252))</f>
        <v/>
      </c>
      <c r="P252" s="25">
        <f>IF(O252="","",ROUND(O252*(1+MARKUP_PCT),-1)-1)</f>
        <v/>
      </c>
      <c r="Q252" s="25">
        <f>IF(P252="","",P252-O252)</f>
        <v/>
      </c>
      <c r="R252" s="26">
        <f>IF(OR(P252="",P252=0),"",Q252/P252)</f>
        <v/>
      </c>
      <c r="S252" s="23" t="n"/>
      <c r="T252" s="23" t="n"/>
      <c r="U252" s="23" t="n"/>
      <c r="V252" s="23" t="n"/>
      <c r="W252" s="23" t="n"/>
      <c r="X252" s="23" t="n"/>
      <c r="Y252" s="23" t="n"/>
      <c r="Z252" s="23" t="n"/>
      <c r="AA252" s="23" t="n"/>
      <c r="AB252" s="23" t="n"/>
      <c r="AC252" s="27">
        <f>IF(COUNT(S252:AB252)&lt;10,"",(S252*W_FEMININE+T252*W_TREND+U252*W_AESTHETIC+V252*W_STYLE+W252*W_LIGHT+X252*W_REELS+Y252*W_GIFT+Z252*W_PRICEFIT+AA252*W_DEMAND+AB252*W_QUALITY)/5*100)</f>
        <v/>
      </c>
      <c r="AD252" s="23">
        <f>IF(P252="","",IF(P252&gt;HARD_REJECT_PRICE,"Reject",IF(P252&gt;MAX_PRICE,"Price Review",IF(AC252="","",IF(AND(AC252&gt;=BUY_THRESHOLD,OR(AB252&lt;=2,U252&lt;=2)),"Maybe",IF(AC252&gt;=BUY_THRESHOLD,"Buy",IF(AC252&gt;=MAYBE_THRESHOLD,"Maybe","Reject")))))))</f>
        <v/>
      </c>
      <c r="AE252" s="23" t="n"/>
      <c r="AF252" s="23" t="n"/>
      <c r="AG252" s="23" t="n"/>
      <c r="AH252" s="23" t="n"/>
      <c r="AI252" s="24" t="n"/>
      <c r="AJ252">
        <f>IF(AC252="",-9999-ROW()*0.0000001,AC252-ROW()*0.0000001)</f>
        <v/>
      </c>
      <c r="AK252">
        <f>IF(OR(AC252="",P252="",P252&gt;MAX_PRICE),-9999-ROW()*0.0000001,AC252-ROW()*0.0000001)</f>
        <v/>
      </c>
      <c r="AL252">
        <f>IF(AC252="",-9999-ROW()*0.0000001,X252*1000+AC252-ROW()*0.0000001)</f>
        <v/>
      </c>
      <c r="AM252">
        <f>IF(AC252="",-9999-ROW()*0.0000001,Y252*1000+AC252-ROW()*0.0000001)</f>
        <v/>
      </c>
      <c r="AN252">
        <f>IF(AND(OR(AD252="Maybe",AD252="Price Review"),AG252&lt;&gt;"Approved",AG252&lt;&gt;"Rejected"),IF(AC252="",0,AC252)-ROW()*0.0000001,-9999-ROW()*0.0000001)</f>
        <v/>
      </c>
      <c r="AO252" s="28" t="n"/>
      <c r="AP252" s="28" t="n"/>
      <c r="AQ252" s="29" t="n"/>
      <c r="AR252" s="29" t="n"/>
      <c r="AS252" s="23" t="n"/>
      <c r="AT252" s="29" t="n"/>
      <c r="AU252" s="29" t="n"/>
      <c r="AV252" s="29" t="n"/>
      <c r="AW252" s="25">
        <f>IF(OR(O252="",AV252=""),"",O252*AV252)</f>
        <v/>
      </c>
      <c r="AX252" s="23" t="n"/>
      <c r="AY252" s="23" t="n"/>
      <c r="AZ252" s="23" t="n"/>
      <c r="BA252" s="23" t="n"/>
      <c r="BB252" s="23" t="n"/>
      <c r="BC252" s="25" t="n"/>
      <c r="BD252" s="23" t="n"/>
      <c r="BE252" s="23">
        <f>IF(C252="","",IF(AND(ISNUMBER(P252),P252&gt;MAX_PRICE),"Price too high",IF(AND(ISNUMBER(AB252),AB252&lt;=2),"Quality risk",IF(AND(ISNUMBER(U252),U252&lt;=2),"Aesthetic mismatch",IF(AY252="High","Too fragile",IF(AND(ISNUMBER(R252),R252&lt;LOW_PROFIT_PCT),"Low profit",IF(AND(ISNUMBER(AT252),AT252&gt;MOQ_WARNING),"MOQ too high",IF(OR(AD252="Maybe",AD252="Price Review"),"Needs partner review",IF(AD252="Buy","Good candidate","")))))))))</f>
        <v/>
      </c>
      <c r="BF252" s="23" t="n"/>
      <c r="BG252" s="23" t="n"/>
      <c r="BH252" s="23" t="n"/>
      <c r="BI252" s="23" t="n"/>
      <c r="BJ252" s="23" t="n"/>
      <c r="BK252" s="23" t="n"/>
      <c r="BL252" s="23">
        <f>IF(C252="","",IF(AND(BG252="Yes",BH252="Yes",BI252="Yes",BJ252="Yes",BK252="Yes"),"Yes","No"))</f>
        <v/>
      </c>
      <c r="BM252" s="25" t="n"/>
      <c r="BN252" s="25" t="n"/>
      <c r="BO252" s="25">
        <f>IF(OR(BM252="",BN252=""),"",BM252+BN252)</f>
        <v/>
      </c>
      <c r="BP252" s="25" t="n"/>
      <c r="BQ252" s="25">
        <f>IF(OR(BP252="",BO252=""),"",BP252-BO252)</f>
        <v/>
      </c>
      <c r="BR252" s="26">
        <f>IF(OR(BP252="",BP252=0,BQ252=""),"",BQ252/BP252)</f>
        <v/>
      </c>
      <c r="BS252" s="24" t="n"/>
      <c r="BT252" s="29" t="n"/>
      <c r="BU252" s="29" t="n"/>
      <c r="BV252" s="23" t="n"/>
      <c r="BW252" s="23" t="n"/>
      <c r="BX252" s="29">
        <f>IF(OR(BT252="",BU252=""),"",BT252-BU252)</f>
        <v/>
      </c>
      <c r="BY252" s="23" t="n"/>
      <c r="BZ252" s="24" t="n"/>
      <c r="CA252" s="23" t="n"/>
      <c r="CB252" s="23" t="n"/>
    </row>
    <row r="253">
      <c r="A253" s="16">
        <f>IF(C253="","","AYN-"&amp;IFERROR(VLOOKUP(E253,CATEGORY_PREFIX_TABLE,2,FALSE),"OTH")&amp;"-"&amp;TEXT(ROW()-2,"0000"))</f>
        <v/>
      </c>
      <c r="B253" s="17" t="n"/>
      <c r="C253" s="16" t="n"/>
      <c r="D253" s="16" t="n"/>
      <c r="E253" s="16" t="n"/>
      <c r="F253" s="16" t="n"/>
      <c r="G253" s="16" t="n"/>
      <c r="H253" s="16" t="n"/>
      <c r="I253" s="16" t="n"/>
      <c r="J253" s="16" t="n"/>
      <c r="K253" s="18">
        <f>IF(I253="","",IF(J253="BDT",I253,IF(J253="USD",I253*USD_BDT,IF(J253="RMB",I253*RMB_BDT,""))))</f>
        <v/>
      </c>
      <c r="L253" s="18" t="n"/>
      <c r="M253" s="19" t="n"/>
      <c r="N253" s="18" t="n"/>
      <c r="O253" s="18">
        <f>IF(K253="","",K253+IFERROR(L253,0)+(K253*IF(M253="",CUSTOMS_PCT,M253))+IF(N253="",MISC_FEE,N253))</f>
        <v/>
      </c>
      <c r="P253" s="18">
        <f>IF(O253="","",ROUND(O253*(1+MARKUP_PCT),-1)-1)</f>
        <v/>
      </c>
      <c r="Q253" s="18">
        <f>IF(P253="","",P253-O253)</f>
        <v/>
      </c>
      <c r="R253" s="19">
        <f>IF(OR(P253="",P253=0),"",Q253/P253)</f>
        <v/>
      </c>
      <c r="S253" s="16" t="n"/>
      <c r="T253" s="16" t="n"/>
      <c r="U253" s="16" t="n"/>
      <c r="V253" s="16" t="n"/>
      <c r="W253" s="16" t="n"/>
      <c r="X253" s="16" t="n"/>
      <c r="Y253" s="16" t="n"/>
      <c r="Z253" s="16" t="n"/>
      <c r="AA253" s="16" t="n"/>
      <c r="AB253" s="16" t="n"/>
      <c r="AC253" s="20">
        <f>IF(COUNT(S253:AB253)&lt;10,"",(S253*W_FEMININE+T253*W_TREND+U253*W_AESTHETIC+V253*W_STYLE+W253*W_LIGHT+X253*W_REELS+Y253*W_GIFT+Z253*W_PRICEFIT+AA253*W_DEMAND+AB253*W_QUALITY)/5*100)</f>
        <v/>
      </c>
      <c r="AD253" s="16">
        <f>IF(P253="","",IF(P253&gt;HARD_REJECT_PRICE,"Reject",IF(P253&gt;MAX_PRICE,"Price Review",IF(AC253="","",IF(AND(AC253&gt;=BUY_THRESHOLD,OR(AB253&lt;=2,U253&lt;=2)),"Maybe",IF(AC253&gt;=BUY_THRESHOLD,"Buy",IF(AC253&gt;=MAYBE_THRESHOLD,"Maybe","Reject")))))))</f>
        <v/>
      </c>
      <c r="AE253" s="16" t="n"/>
      <c r="AF253" s="16" t="n"/>
      <c r="AG253" s="16" t="n"/>
      <c r="AH253" s="16" t="n"/>
      <c r="AI253" s="17" t="n"/>
      <c r="AJ253">
        <f>IF(AC253="",-9999-ROW()*0.0000001,AC253-ROW()*0.0000001)</f>
        <v/>
      </c>
      <c r="AK253">
        <f>IF(OR(AC253="",P253="",P253&gt;MAX_PRICE),-9999-ROW()*0.0000001,AC253-ROW()*0.0000001)</f>
        <v/>
      </c>
      <c r="AL253">
        <f>IF(AC253="",-9999-ROW()*0.0000001,X253*1000+AC253-ROW()*0.0000001)</f>
        <v/>
      </c>
      <c r="AM253">
        <f>IF(AC253="",-9999-ROW()*0.0000001,Y253*1000+AC253-ROW()*0.0000001)</f>
        <v/>
      </c>
      <c r="AN253">
        <f>IF(AND(OR(AD253="Maybe",AD253="Price Review"),AG253&lt;&gt;"Approved",AG253&lt;&gt;"Rejected"),IF(AC253="",0,AC253)-ROW()*0.0000001,-9999-ROW()*0.0000001)</f>
        <v/>
      </c>
      <c r="AO253" s="21" t="n"/>
      <c r="AP253" s="21" t="n"/>
      <c r="AQ253" s="22" t="n"/>
      <c r="AR253" s="22" t="n"/>
      <c r="AS253" s="16" t="n"/>
      <c r="AT253" s="22" t="n"/>
      <c r="AU253" s="22" t="n"/>
      <c r="AV253" s="22" t="n"/>
      <c r="AW253" s="18">
        <f>IF(OR(O253="",AV253=""),"",O253*AV253)</f>
        <v/>
      </c>
      <c r="AX253" s="16" t="n"/>
      <c r="AY253" s="16" t="n"/>
      <c r="AZ253" s="16" t="n"/>
      <c r="BA253" s="16" t="n"/>
      <c r="BB253" s="16" t="n"/>
      <c r="BC253" s="18" t="n"/>
      <c r="BD253" s="16" t="n"/>
      <c r="BE253" s="16">
        <f>IF(C253="","",IF(AND(ISNUMBER(P253),P253&gt;MAX_PRICE),"Price too high",IF(AND(ISNUMBER(AB253),AB253&lt;=2),"Quality risk",IF(AND(ISNUMBER(U253),U253&lt;=2),"Aesthetic mismatch",IF(AY253="High","Too fragile",IF(AND(ISNUMBER(R253),R253&lt;LOW_PROFIT_PCT),"Low profit",IF(AND(ISNUMBER(AT253),AT253&gt;MOQ_WARNING),"MOQ too high",IF(OR(AD253="Maybe",AD253="Price Review"),"Needs partner review",IF(AD253="Buy","Good candidate","")))))))))</f>
        <v/>
      </c>
      <c r="BF253" s="16" t="n"/>
      <c r="BG253" s="16" t="n"/>
      <c r="BH253" s="16" t="n"/>
      <c r="BI253" s="16" t="n"/>
      <c r="BJ253" s="16" t="n"/>
      <c r="BK253" s="16" t="n"/>
      <c r="BL253" s="16">
        <f>IF(C253="","",IF(AND(BG253="Yes",BH253="Yes",BI253="Yes",BJ253="Yes",BK253="Yes"),"Yes","No"))</f>
        <v/>
      </c>
      <c r="BM253" s="18" t="n"/>
      <c r="BN253" s="18" t="n"/>
      <c r="BO253" s="18">
        <f>IF(OR(BM253="",BN253=""),"",BM253+BN253)</f>
        <v/>
      </c>
      <c r="BP253" s="18" t="n"/>
      <c r="BQ253" s="18">
        <f>IF(OR(BP253="",BO253=""),"",BP253-BO253)</f>
        <v/>
      </c>
      <c r="BR253" s="19">
        <f>IF(OR(BP253="",BP253=0,BQ253=""),"",BQ253/BP253)</f>
        <v/>
      </c>
      <c r="BS253" s="17" t="n"/>
      <c r="BT253" s="22" t="n"/>
      <c r="BU253" s="22" t="n"/>
      <c r="BV253" s="16" t="n"/>
      <c r="BW253" s="16" t="n"/>
      <c r="BX253" s="22">
        <f>IF(OR(BT253="",BU253=""),"",BT253-BU253)</f>
        <v/>
      </c>
      <c r="BY253" s="16" t="n"/>
      <c r="BZ253" s="17" t="n"/>
      <c r="CA253" s="16" t="n"/>
      <c r="CB253" s="16" t="n"/>
    </row>
    <row r="254">
      <c r="A254" s="23">
        <f>IF(C254="","","AYN-"&amp;IFERROR(VLOOKUP(E254,CATEGORY_PREFIX_TABLE,2,FALSE),"OTH")&amp;"-"&amp;TEXT(ROW()-2,"0000"))</f>
        <v/>
      </c>
      <c r="B254" s="24" t="n"/>
      <c r="C254" s="23" t="n"/>
      <c r="D254" s="23" t="n"/>
      <c r="E254" s="23" t="n"/>
      <c r="F254" s="23" t="n"/>
      <c r="G254" s="23" t="n"/>
      <c r="H254" s="23" t="n"/>
      <c r="I254" s="23" t="n"/>
      <c r="J254" s="23" t="n"/>
      <c r="K254" s="25">
        <f>IF(I254="","",IF(J254="BDT",I254,IF(J254="USD",I254*USD_BDT,IF(J254="RMB",I254*RMB_BDT,""))))</f>
        <v/>
      </c>
      <c r="L254" s="25" t="n"/>
      <c r="M254" s="26" t="n"/>
      <c r="N254" s="25" t="n"/>
      <c r="O254" s="25">
        <f>IF(K254="","",K254+IFERROR(L254,0)+(K254*IF(M254="",CUSTOMS_PCT,M254))+IF(N254="",MISC_FEE,N254))</f>
        <v/>
      </c>
      <c r="P254" s="25">
        <f>IF(O254="","",ROUND(O254*(1+MARKUP_PCT),-1)-1)</f>
        <v/>
      </c>
      <c r="Q254" s="25">
        <f>IF(P254="","",P254-O254)</f>
        <v/>
      </c>
      <c r="R254" s="26">
        <f>IF(OR(P254="",P254=0),"",Q254/P254)</f>
        <v/>
      </c>
      <c r="S254" s="23" t="n"/>
      <c r="T254" s="23" t="n"/>
      <c r="U254" s="23" t="n"/>
      <c r="V254" s="23" t="n"/>
      <c r="W254" s="23" t="n"/>
      <c r="X254" s="23" t="n"/>
      <c r="Y254" s="23" t="n"/>
      <c r="Z254" s="23" t="n"/>
      <c r="AA254" s="23" t="n"/>
      <c r="AB254" s="23" t="n"/>
      <c r="AC254" s="27">
        <f>IF(COUNT(S254:AB254)&lt;10,"",(S254*W_FEMININE+T254*W_TREND+U254*W_AESTHETIC+V254*W_STYLE+W254*W_LIGHT+X254*W_REELS+Y254*W_GIFT+Z254*W_PRICEFIT+AA254*W_DEMAND+AB254*W_QUALITY)/5*100)</f>
        <v/>
      </c>
      <c r="AD254" s="23">
        <f>IF(P254="","",IF(P254&gt;HARD_REJECT_PRICE,"Reject",IF(P254&gt;MAX_PRICE,"Price Review",IF(AC254="","",IF(AND(AC254&gt;=BUY_THRESHOLD,OR(AB254&lt;=2,U254&lt;=2)),"Maybe",IF(AC254&gt;=BUY_THRESHOLD,"Buy",IF(AC254&gt;=MAYBE_THRESHOLD,"Maybe","Reject")))))))</f>
        <v/>
      </c>
      <c r="AE254" s="23" t="n"/>
      <c r="AF254" s="23" t="n"/>
      <c r="AG254" s="23" t="n"/>
      <c r="AH254" s="23" t="n"/>
      <c r="AI254" s="24" t="n"/>
      <c r="AJ254">
        <f>IF(AC254="",-9999-ROW()*0.0000001,AC254-ROW()*0.0000001)</f>
        <v/>
      </c>
      <c r="AK254">
        <f>IF(OR(AC254="",P254="",P254&gt;MAX_PRICE),-9999-ROW()*0.0000001,AC254-ROW()*0.0000001)</f>
        <v/>
      </c>
      <c r="AL254">
        <f>IF(AC254="",-9999-ROW()*0.0000001,X254*1000+AC254-ROW()*0.0000001)</f>
        <v/>
      </c>
      <c r="AM254">
        <f>IF(AC254="",-9999-ROW()*0.0000001,Y254*1000+AC254-ROW()*0.0000001)</f>
        <v/>
      </c>
      <c r="AN254">
        <f>IF(AND(OR(AD254="Maybe",AD254="Price Review"),AG254&lt;&gt;"Approved",AG254&lt;&gt;"Rejected"),IF(AC254="",0,AC254)-ROW()*0.0000001,-9999-ROW()*0.0000001)</f>
        <v/>
      </c>
      <c r="AO254" s="28" t="n"/>
      <c r="AP254" s="28" t="n"/>
      <c r="AQ254" s="29" t="n"/>
      <c r="AR254" s="29" t="n"/>
      <c r="AS254" s="23" t="n"/>
      <c r="AT254" s="29" t="n"/>
      <c r="AU254" s="29" t="n"/>
      <c r="AV254" s="29" t="n"/>
      <c r="AW254" s="25">
        <f>IF(OR(O254="",AV254=""),"",O254*AV254)</f>
        <v/>
      </c>
      <c r="AX254" s="23" t="n"/>
      <c r="AY254" s="23" t="n"/>
      <c r="AZ254" s="23" t="n"/>
      <c r="BA254" s="23" t="n"/>
      <c r="BB254" s="23" t="n"/>
      <c r="BC254" s="25" t="n"/>
      <c r="BD254" s="23" t="n"/>
      <c r="BE254" s="23">
        <f>IF(C254="","",IF(AND(ISNUMBER(P254),P254&gt;MAX_PRICE),"Price too high",IF(AND(ISNUMBER(AB254),AB254&lt;=2),"Quality risk",IF(AND(ISNUMBER(U254),U254&lt;=2),"Aesthetic mismatch",IF(AY254="High","Too fragile",IF(AND(ISNUMBER(R254),R254&lt;LOW_PROFIT_PCT),"Low profit",IF(AND(ISNUMBER(AT254),AT254&gt;MOQ_WARNING),"MOQ too high",IF(OR(AD254="Maybe",AD254="Price Review"),"Needs partner review",IF(AD254="Buy","Good candidate","")))))))))</f>
        <v/>
      </c>
      <c r="BF254" s="23" t="n"/>
      <c r="BG254" s="23" t="n"/>
      <c r="BH254" s="23" t="n"/>
      <c r="BI254" s="23" t="n"/>
      <c r="BJ254" s="23" t="n"/>
      <c r="BK254" s="23" t="n"/>
      <c r="BL254" s="23">
        <f>IF(C254="","",IF(AND(BG254="Yes",BH254="Yes",BI254="Yes",BJ254="Yes",BK254="Yes"),"Yes","No"))</f>
        <v/>
      </c>
      <c r="BM254" s="25" t="n"/>
      <c r="BN254" s="25" t="n"/>
      <c r="BO254" s="25">
        <f>IF(OR(BM254="",BN254=""),"",BM254+BN254)</f>
        <v/>
      </c>
      <c r="BP254" s="25" t="n"/>
      <c r="BQ254" s="25">
        <f>IF(OR(BP254="",BO254=""),"",BP254-BO254)</f>
        <v/>
      </c>
      <c r="BR254" s="26">
        <f>IF(OR(BP254="",BP254=0,BQ254=""),"",BQ254/BP254)</f>
        <v/>
      </c>
      <c r="BS254" s="24" t="n"/>
      <c r="BT254" s="29" t="n"/>
      <c r="BU254" s="29" t="n"/>
      <c r="BV254" s="23" t="n"/>
      <c r="BW254" s="23" t="n"/>
      <c r="BX254" s="29">
        <f>IF(OR(BT254="",BU254=""),"",BT254-BU254)</f>
        <v/>
      </c>
      <c r="BY254" s="23" t="n"/>
      <c r="BZ254" s="24" t="n"/>
      <c r="CA254" s="23" t="n"/>
      <c r="CB254" s="23" t="n"/>
    </row>
    <row r="255">
      <c r="A255" s="16">
        <f>IF(C255="","","AYN-"&amp;IFERROR(VLOOKUP(E255,CATEGORY_PREFIX_TABLE,2,FALSE),"OTH")&amp;"-"&amp;TEXT(ROW()-2,"0000"))</f>
        <v/>
      </c>
      <c r="B255" s="17" t="n"/>
      <c r="C255" s="16" t="n"/>
      <c r="D255" s="16" t="n"/>
      <c r="E255" s="16" t="n"/>
      <c r="F255" s="16" t="n"/>
      <c r="G255" s="16" t="n"/>
      <c r="H255" s="16" t="n"/>
      <c r="I255" s="16" t="n"/>
      <c r="J255" s="16" t="n"/>
      <c r="K255" s="18">
        <f>IF(I255="","",IF(J255="BDT",I255,IF(J255="USD",I255*USD_BDT,IF(J255="RMB",I255*RMB_BDT,""))))</f>
        <v/>
      </c>
      <c r="L255" s="18" t="n"/>
      <c r="M255" s="19" t="n"/>
      <c r="N255" s="18" t="n"/>
      <c r="O255" s="18">
        <f>IF(K255="","",K255+IFERROR(L255,0)+(K255*IF(M255="",CUSTOMS_PCT,M255))+IF(N255="",MISC_FEE,N255))</f>
        <v/>
      </c>
      <c r="P255" s="18">
        <f>IF(O255="","",ROUND(O255*(1+MARKUP_PCT),-1)-1)</f>
        <v/>
      </c>
      <c r="Q255" s="18">
        <f>IF(P255="","",P255-O255)</f>
        <v/>
      </c>
      <c r="R255" s="19">
        <f>IF(OR(P255="",P255=0),"",Q255/P255)</f>
        <v/>
      </c>
      <c r="S255" s="16" t="n"/>
      <c r="T255" s="16" t="n"/>
      <c r="U255" s="16" t="n"/>
      <c r="V255" s="16" t="n"/>
      <c r="W255" s="16" t="n"/>
      <c r="X255" s="16" t="n"/>
      <c r="Y255" s="16" t="n"/>
      <c r="Z255" s="16" t="n"/>
      <c r="AA255" s="16" t="n"/>
      <c r="AB255" s="16" t="n"/>
      <c r="AC255" s="20">
        <f>IF(COUNT(S255:AB255)&lt;10,"",(S255*W_FEMININE+T255*W_TREND+U255*W_AESTHETIC+V255*W_STYLE+W255*W_LIGHT+X255*W_REELS+Y255*W_GIFT+Z255*W_PRICEFIT+AA255*W_DEMAND+AB255*W_QUALITY)/5*100)</f>
        <v/>
      </c>
      <c r="AD255" s="16">
        <f>IF(P255="","",IF(P255&gt;HARD_REJECT_PRICE,"Reject",IF(P255&gt;MAX_PRICE,"Price Review",IF(AC255="","",IF(AND(AC255&gt;=BUY_THRESHOLD,OR(AB255&lt;=2,U255&lt;=2)),"Maybe",IF(AC255&gt;=BUY_THRESHOLD,"Buy",IF(AC255&gt;=MAYBE_THRESHOLD,"Maybe","Reject")))))))</f>
        <v/>
      </c>
      <c r="AE255" s="16" t="n"/>
      <c r="AF255" s="16" t="n"/>
      <c r="AG255" s="16" t="n"/>
      <c r="AH255" s="16" t="n"/>
      <c r="AI255" s="17" t="n"/>
      <c r="AJ255">
        <f>IF(AC255="",-9999-ROW()*0.0000001,AC255-ROW()*0.0000001)</f>
        <v/>
      </c>
      <c r="AK255">
        <f>IF(OR(AC255="",P255="",P255&gt;MAX_PRICE),-9999-ROW()*0.0000001,AC255-ROW()*0.0000001)</f>
        <v/>
      </c>
      <c r="AL255">
        <f>IF(AC255="",-9999-ROW()*0.0000001,X255*1000+AC255-ROW()*0.0000001)</f>
        <v/>
      </c>
      <c r="AM255">
        <f>IF(AC255="",-9999-ROW()*0.0000001,Y255*1000+AC255-ROW()*0.0000001)</f>
        <v/>
      </c>
      <c r="AN255">
        <f>IF(AND(OR(AD255="Maybe",AD255="Price Review"),AG255&lt;&gt;"Approved",AG255&lt;&gt;"Rejected"),IF(AC255="",0,AC255)-ROW()*0.0000001,-9999-ROW()*0.0000001)</f>
        <v/>
      </c>
      <c r="AO255" s="21" t="n"/>
      <c r="AP255" s="21" t="n"/>
      <c r="AQ255" s="22" t="n"/>
      <c r="AR255" s="22" t="n"/>
      <c r="AS255" s="16" t="n"/>
      <c r="AT255" s="22" t="n"/>
      <c r="AU255" s="22" t="n"/>
      <c r="AV255" s="22" t="n"/>
      <c r="AW255" s="18">
        <f>IF(OR(O255="",AV255=""),"",O255*AV255)</f>
        <v/>
      </c>
      <c r="AX255" s="16" t="n"/>
      <c r="AY255" s="16" t="n"/>
      <c r="AZ255" s="16" t="n"/>
      <c r="BA255" s="16" t="n"/>
      <c r="BB255" s="16" t="n"/>
      <c r="BC255" s="18" t="n"/>
      <c r="BD255" s="16" t="n"/>
      <c r="BE255" s="16">
        <f>IF(C255="","",IF(AND(ISNUMBER(P255),P255&gt;MAX_PRICE),"Price too high",IF(AND(ISNUMBER(AB255),AB255&lt;=2),"Quality risk",IF(AND(ISNUMBER(U255),U255&lt;=2),"Aesthetic mismatch",IF(AY255="High","Too fragile",IF(AND(ISNUMBER(R255),R255&lt;LOW_PROFIT_PCT),"Low profit",IF(AND(ISNUMBER(AT255),AT255&gt;MOQ_WARNING),"MOQ too high",IF(OR(AD255="Maybe",AD255="Price Review"),"Needs partner review",IF(AD255="Buy","Good candidate","")))))))))</f>
        <v/>
      </c>
      <c r="BF255" s="16" t="n"/>
      <c r="BG255" s="16" t="n"/>
      <c r="BH255" s="16" t="n"/>
      <c r="BI255" s="16" t="n"/>
      <c r="BJ255" s="16" t="n"/>
      <c r="BK255" s="16" t="n"/>
      <c r="BL255" s="16">
        <f>IF(C255="","",IF(AND(BG255="Yes",BH255="Yes",BI255="Yes",BJ255="Yes",BK255="Yes"),"Yes","No"))</f>
        <v/>
      </c>
      <c r="BM255" s="18" t="n"/>
      <c r="BN255" s="18" t="n"/>
      <c r="BO255" s="18">
        <f>IF(OR(BM255="",BN255=""),"",BM255+BN255)</f>
        <v/>
      </c>
      <c r="BP255" s="18" t="n"/>
      <c r="BQ255" s="18">
        <f>IF(OR(BP255="",BO255=""),"",BP255-BO255)</f>
        <v/>
      </c>
      <c r="BR255" s="19">
        <f>IF(OR(BP255="",BP255=0,BQ255=""),"",BQ255/BP255)</f>
        <v/>
      </c>
      <c r="BS255" s="17" t="n"/>
      <c r="BT255" s="22" t="n"/>
      <c r="BU255" s="22" t="n"/>
      <c r="BV255" s="16" t="n"/>
      <c r="BW255" s="16" t="n"/>
      <c r="BX255" s="22">
        <f>IF(OR(BT255="",BU255=""),"",BT255-BU255)</f>
        <v/>
      </c>
      <c r="BY255" s="16" t="n"/>
      <c r="BZ255" s="17" t="n"/>
      <c r="CA255" s="16" t="n"/>
      <c r="CB255" s="16" t="n"/>
    </row>
    <row r="256">
      <c r="A256" s="23">
        <f>IF(C256="","","AYN-"&amp;IFERROR(VLOOKUP(E256,CATEGORY_PREFIX_TABLE,2,FALSE),"OTH")&amp;"-"&amp;TEXT(ROW()-2,"0000"))</f>
        <v/>
      </c>
      <c r="B256" s="24" t="n"/>
      <c r="C256" s="23" t="n"/>
      <c r="D256" s="23" t="n"/>
      <c r="E256" s="23" t="n"/>
      <c r="F256" s="23" t="n"/>
      <c r="G256" s="23" t="n"/>
      <c r="H256" s="23" t="n"/>
      <c r="I256" s="23" t="n"/>
      <c r="J256" s="23" t="n"/>
      <c r="K256" s="25">
        <f>IF(I256="","",IF(J256="BDT",I256,IF(J256="USD",I256*USD_BDT,IF(J256="RMB",I256*RMB_BDT,""))))</f>
        <v/>
      </c>
      <c r="L256" s="25" t="n"/>
      <c r="M256" s="26" t="n"/>
      <c r="N256" s="25" t="n"/>
      <c r="O256" s="25">
        <f>IF(K256="","",K256+IFERROR(L256,0)+(K256*IF(M256="",CUSTOMS_PCT,M256))+IF(N256="",MISC_FEE,N256))</f>
        <v/>
      </c>
      <c r="P256" s="25">
        <f>IF(O256="","",ROUND(O256*(1+MARKUP_PCT),-1)-1)</f>
        <v/>
      </c>
      <c r="Q256" s="25">
        <f>IF(P256="","",P256-O256)</f>
        <v/>
      </c>
      <c r="R256" s="26">
        <f>IF(OR(P256="",P256=0),"",Q256/P256)</f>
        <v/>
      </c>
      <c r="S256" s="23" t="n"/>
      <c r="T256" s="23" t="n"/>
      <c r="U256" s="23" t="n"/>
      <c r="V256" s="23" t="n"/>
      <c r="W256" s="23" t="n"/>
      <c r="X256" s="23" t="n"/>
      <c r="Y256" s="23" t="n"/>
      <c r="Z256" s="23" t="n"/>
      <c r="AA256" s="23" t="n"/>
      <c r="AB256" s="23" t="n"/>
      <c r="AC256" s="27">
        <f>IF(COUNT(S256:AB256)&lt;10,"",(S256*W_FEMININE+T256*W_TREND+U256*W_AESTHETIC+V256*W_STYLE+W256*W_LIGHT+X256*W_REELS+Y256*W_GIFT+Z256*W_PRICEFIT+AA256*W_DEMAND+AB256*W_QUALITY)/5*100)</f>
        <v/>
      </c>
      <c r="AD256" s="23">
        <f>IF(P256="","",IF(P256&gt;HARD_REJECT_PRICE,"Reject",IF(P256&gt;MAX_PRICE,"Price Review",IF(AC256="","",IF(AND(AC256&gt;=BUY_THRESHOLD,OR(AB256&lt;=2,U256&lt;=2)),"Maybe",IF(AC256&gt;=BUY_THRESHOLD,"Buy",IF(AC256&gt;=MAYBE_THRESHOLD,"Maybe","Reject")))))))</f>
        <v/>
      </c>
      <c r="AE256" s="23" t="n"/>
      <c r="AF256" s="23" t="n"/>
      <c r="AG256" s="23" t="n"/>
      <c r="AH256" s="23" t="n"/>
      <c r="AI256" s="24" t="n"/>
      <c r="AJ256">
        <f>IF(AC256="",-9999-ROW()*0.0000001,AC256-ROW()*0.0000001)</f>
        <v/>
      </c>
      <c r="AK256">
        <f>IF(OR(AC256="",P256="",P256&gt;MAX_PRICE),-9999-ROW()*0.0000001,AC256-ROW()*0.0000001)</f>
        <v/>
      </c>
      <c r="AL256">
        <f>IF(AC256="",-9999-ROW()*0.0000001,X256*1000+AC256-ROW()*0.0000001)</f>
        <v/>
      </c>
      <c r="AM256">
        <f>IF(AC256="",-9999-ROW()*0.0000001,Y256*1000+AC256-ROW()*0.0000001)</f>
        <v/>
      </c>
      <c r="AN256">
        <f>IF(AND(OR(AD256="Maybe",AD256="Price Review"),AG256&lt;&gt;"Approved",AG256&lt;&gt;"Rejected"),IF(AC256="",0,AC256)-ROW()*0.0000001,-9999-ROW()*0.0000001)</f>
        <v/>
      </c>
      <c r="AO256" s="28" t="n"/>
      <c r="AP256" s="28" t="n"/>
      <c r="AQ256" s="29" t="n"/>
      <c r="AR256" s="29" t="n"/>
      <c r="AS256" s="23" t="n"/>
      <c r="AT256" s="29" t="n"/>
      <c r="AU256" s="29" t="n"/>
      <c r="AV256" s="29" t="n"/>
      <c r="AW256" s="25">
        <f>IF(OR(O256="",AV256=""),"",O256*AV256)</f>
        <v/>
      </c>
      <c r="AX256" s="23" t="n"/>
      <c r="AY256" s="23" t="n"/>
      <c r="AZ256" s="23" t="n"/>
      <c r="BA256" s="23" t="n"/>
      <c r="BB256" s="23" t="n"/>
      <c r="BC256" s="25" t="n"/>
      <c r="BD256" s="23" t="n"/>
      <c r="BE256" s="23">
        <f>IF(C256="","",IF(AND(ISNUMBER(P256),P256&gt;MAX_PRICE),"Price too high",IF(AND(ISNUMBER(AB256),AB256&lt;=2),"Quality risk",IF(AND(ISNUMBER(U256),U256&lt;=2),"Aesthetic mismatch",IF(AY256="High","Too fragile",IF(AND(ISNUMBER(R256),R256&lt;LOW_PROFIT_PCT),"Low profit",IF(AND(ISNUMBER(AT256),AT256&gt;MOQ_WARNING),"MOQ too high",IF(OR(AD256="Maybe",AD256="Price Review"),"Needs partner review",IF(AD256="Buy","Good candidate","")))))))))</f>
        <v/>
      </c>
      <c r="BF256" s="23" t="n"/>
      <c r="BG256" s="23" t="n"/>
      <c r="BH256" s="23" t="n"/>
      <c r="BI256" s="23" t="n"/>
      <c r="BJ256" s="23" t="n"/>
      <c r="BK256" s="23" t="n"/>
      <c r="BL256" s="23">
        <f>IF(C256="","",IF(AND(BG256="Yes",BH256="Yes",BI256="Yes",BJ256="Yes",BK256="Yes"),"Yes","No"))</f>
        <v/>
      </c>
      <c r="BM256" s="25" t="n"/>
      <c r="BN256" s="25" t="n"/>
      <c r="BO256" s="25">
        <f>IF(OR(BM256="",BN256=""),"",BM256+BN256)</f>
        <v/>
      </c>
      <c r="BP256" s="25" t="n"/>
      <c r="BQ256" s="25">
        <f>IF(OR(BP256="",BO256=""),"",BP256-BO256)</f>
        <v/>
      </c>
      <c r="BR256" s="26">
        <f>IF(OR(BP256="",BP256=0,BQ256=""),"",BQ256/BP256)</f>
        <v/>
      </c>
      <c r="BS256" s="24" t="n"/>
      <c r="BT256" s="29" t="n"/>
      <c r="BU256" s="29" t="n"/>
      <c r="BV256" s="23" t="n"/>
      <c r="BW256" s="23" t="n"/>
      <c r="BX256" s="29">
        <f>IF(OR(BT256="",BU256=""),"",BT256-BU256)</f>
        <v/>
      </c>
      <c r="BY256" s="23" t="n"/>
      <c r="BZ256" s="24" t="n"/>
      <c r="CA256" s="23" t="n"/>
      <c r="CB256" s="23" t="n"/>
    </row>
    <row r="257">
      <c r="A257" s="16">
        <f>IF(C257="","","AYN-"&amp;IFERROR(VLOOKUP(E257,CATEGORY_PREFIX_TABLE,2,FALSE),"OTH")&amp;"-"&amp;TEXT(ROW()-2,"0000"))</f>
        <v/>
      </c>
      <c r="B257" s="17" t="n"/>
      <c r="C257" s="16" t="n"/>
      <c r="D257" s="16" t="n"/>
      <c r="E257" s="16" t="n"/>
      <c r="F257" s="16" t="n"/>
      <c r="G257" s="16" t="n"/>
      <c r="H257" s="16" t="n"/>
      <c r="I257" s="16" t="n"/>
      <c r="J257" s="16" t="n"/>
      <c r="K257" s="18">
        <f>IF(I257="","",IF(J257="BDT",I257,IF(J257="USD",I257*USD_BDT,IF(J257="RMB",I257*RMB_BDT,""))))</f>
        <v/>
      </c>
      <c r="L257" s="18" t="n"/>
      <c r="M257" s="19" t="n"/>
      <c r="N257" s="18" t="n"/>
      <c r="O257" s="18">
        <f>IF(K257="","",K257+IFERROR(L257,0)+(K257*IF(M257="",CUSTOMS_PCT,M257))+IF(N257="",MISC_FEE,N257))</f>
        <v/>
      </c>
      <c r="P257" s="18">
        <f>IF(O257="","",ROUND(O257*(1+MARKUP_PCT),-1)-1)</f>
        <v/>
      </c>
      <c r="Q257" s="18">
        <f>IF(P257="","",P257-O257)</f>
        <v/>
      </c>
      <c r="R257" s="19">
        <f>IF(OR(P257="",P257=0),"",Q257/P257)</f>
        <v/>
      </c>
      <c r="S257" s="16" t="n"/>
      <c r="T257" s="16" t="n"/>
      <c r="U257" s="16" t="n"/>
      <c r="V257" s="16" t="n"/>
      <c r="W257" s="16" t="n"/>
      <c r="X257" s="16" t="n"/>
      <c r="Y257" s="16" t="n"/>
      <c r="Z257" s="16" t="n"/>
      <c r="AA257" s="16" t="n"/>
      <c r="AB257" s="16" t="n"/>
      <c r="AC257" s="20">
        <f>IF(COUNT(S257:AB257)&lt;10,"",(S257*W_FEMININE+T257*W_TREND+U257*W_AESTHETIC+V257*W_STYLE+W257*W_LIGHT+X257*W_REELS+Y257*W_GIFT+Z257*W_PRICEFIT+AA257*W_DEMAND+AB257*W_QUALITY)/5*100)</f>
        <v/>
      </c>
      <c r="AD257" s="16">
        <f>IF(P257="","",IF(P257&gt;HARD_REJECT_PRICE,"Reject",IF(P257&gt;MAX_PRICE,"Price Review",IF(AC257="","",IF(AND(AC257&gt;=BUY_THRESHOLD,OR(AB257&lt;=2,U257&lt;=2)),"Maybe",IF(AC257&gt;=BUY_THRESHOLD,"Buy",IF(AC257&gt;=MAYBE_THRESHOLD,"Maybe","Reject")))))))</f>
        <v/>
      </c>
      <c r="AE257" s="16" t="n"/>
      <c r="AF257" s="16" t="n"/>
      <c r="AG257" s="16" t="n"/>
      <c r="AH257" s="16" t="n"/>
      <c r="AI257" s="17" t="n"/>
      <c r="AJ257">
        <f>IF(AC257="",-9999-ROW()*0.0000001,AC257-ROW()*0.0000001)</f>
        <v/>
      </c>
      <c r="AK257">
        <f>IF(OR(AC257="",P257="",P257&gt;MAX_PRICE),-9999-ROW()*0.0000001,AC257-ROW()*0.0000001)</f>
        <v/>
      </c>
      <c r="AL257">
        <f>IF(AC257="",-9999-ROW()*0.0000001,X257*1000+AC257-ROW()*0.0000001)</f>
        <v/>
      </c>
      <c r="AM257">
        <f>IF(AC257="",-9999-ROW()*0.0000001,Y257*1000+AC257-ROW()*0.0000001)</f>
        <v/>
      </c>
      <c r="AN257">
        <f>IF(AND(OR(AD257="Maybe",AD257="Price Review"),AG257&lt;&gt;"Approved",AG257&lt;&gt;"Rejected"),IF(AC257="",0,AC257)-ROW()*0.0000001,-9999-ROW()*0.0000001)</f>
        <v/>
      </c>
      <c r="AO257" s="21" t="n"/>
      <c r="AP257" s="21" t="n"/>
      <c r="AQ257" s="22" t="n"/>
      <c r="AR257" s="22" t="n"/>
      <c r="AS257" s="16" t="n"/>
      <c r="AT257" s="22" t="n"/>
      <c r="AU257" s="22" t="n"/>
      <c r="AV257" s="22" t="n"/>
      <c r="AW257" s="18">
        <f>IF(OR(O257="",AV257=""),"",O257*AV257)</f>
        <v/>
      </c>
      <c r="AX257" s="16" t="n"/>
      <c r="AY257" s="16" t="n"/>
      <c r="AZ257" s="16" t="n"/>
      <c r="BA257" s="16" t="n"/>
      <c r="BB257" s="16" t="n"/>
      <c r="BC257" s="18" t="n"/>
      <c r="BD257" s="16" t="n"/>
      <c r="BE257" s="16">
        <f>IF(C257="","",IF(AND(ISNUMBER(P257),P257&gt;MAX_PRICE),"Price too high",IF(AND(ISNUMBER(AB257),AB257&lt;=2),"Quality risk",IF(AND(ISNUMBER(U257),U257&lt;=2),"Aesthetic mismatch",IF(AY257="High","Too fragile",IF(AND(ISNUMBER(R257),R257&lt;LOW_PROFIT_PCT),"Low profit",IF(AND(ISNUMBER(AT257),AT257&gt;MOQ_WARNING),"MOQ too high",IF(OR(AD257="Maybe",AD257="Price Review"),"Needs partner review",IF(AD257="Buy","Good candidate","")))))))))</f>
        <v/>
      </c>
      <c r="BF257" s="16" t="n"/>
      <c r="BG257" s="16" t="n"/>
      <c r="BH257" s="16" t="n"/>
      <c r="BI257" s="16" t="n"/>
      <c r="BJ257" s="16" t="n"/>
      <c r="BK257" s="16" t="n"/>
      <c r="BL257" s="16">
        <f>IF(C257="","",IF(AND(BG257="Yes",BH257="Yes",BI257="Yes",BJ257="Yes",BK257="Yes"),"Yes","No"))</f>
        <v/>
      </c>
      <c r="BM257" s="18" t="n"/>
      <c r="BN257" s="18" t="n"/>
      <c r="BO257" s="18">
        <f>IF(OR(BM257="",BN257=""),"",BM257+BN257)</f>
        <v/>
      </c>
      <c r="BP257" s="18" t="n"/>
      <c r="BQ257" s="18">
        <f>IF(OR(BP257="",BO257=""),"",BP257-BO257)</f>
        <v/>
      </c>
      <c r="BR257" s="19">
        <f>IF(OR(BP257="",BP257=0,BQ257=""),"",BQ257/BP257)</f>
        <v/>
      </c>
      <c r="BS257" s="17" t="n"/>
      <c r="BT257" s="22" t="n"/>
      <c r="BU257" s="22" t="n"/>
      <c r="BV257" s="16" t="n"/>
      <c r="BW257" s="16" t="n"/>
      <c r="BX257" s="22">
        <f>IF(OR(BT257="",BU257=""),"",BT257-BU257)</f>
        <v/>
      </c>
      <c r="BY257" s="16" t="n"/>
      <c r="BZ257" s="17" t="n"/>
      <c r="CA257" s="16" t="n"/>
      <c r="CB257" s="16" t="n"/>
    </row>
    <row r="258">
      <c r="A258" s="23">
        <f>IF(C258="","","AYN-"&amp;IFERROR(VLOOKUP(E258,CATEGORY_PREFIX_TABLE,2,FALSE),"OTH")&amp;"-"&amp;TEXT(ROW()-2,"0000"))</f>
        <v/>
      </c>
      <c r="B258" s="24" t="n"/>
      <c r="C258" s="23" t="n"/>
      <c r="D258" s="23" t="n"/>
      <c r="E258" s="23" t="n"/>
      <c r="F258" s="23" t="n"/>
      <c r="G258" s="23" t="n"/>
      <c r="H258" s="23" t="n"/>
      <c r="I258" s="23" t="n"/>
      <c r="J258" s="23" t="n"/>
      <c r="K258" s="25">
        <f>IF(I258="","",IF(J258="BDT",I258,IF(J258="USD",I258*USD_BDT,IF(J258="RMB",I258*RMB_BDT,""))))</f>
        <v/>
      </c>
      <c r="L258" s="25" t="n"/>
      <c r="M258" s="26" t="n"/>
      <c r="N258" s="25" t="n"/>
      <c r="O258" s="25">
        <f>IF(K258="","",K258+IFERROR(L258,0)+(K258*IF(M258="",CUSTOMS_PCT,M258))+IF(N258="",MISC_FEE,N258))</f>
        <v/>
      </c>
      <c r="P258" s="25">
        <f>IF(O258="","",ROUND(O258*(1+MARKUP_PCT),-1)-1)</f>
        <v/>
      </c>
      <c r="Q258" s="25">
        <f>IF(P258="","",P258-O258)</f>
        <v/>
      </c>
      <c r="R258" s="26">
        <f>IF(OR(P258="",P258=0),"",Q258/P258)</f>
        <v/>
      </c>
      <c r="S258" s="23" t="n"/>
      <c r="T258" s="23" t="n"/>
      <c r="U258" s="23" t="n"/>
      <c r="V258" s="23" t="n"/>
      <c r="W258" s="23" t="n"/>
      <c r="X258" s="23" t="n"/>
      <c r="Y258" s="23" t="n"/>
      <c r="Z258" s="23" t="n"/>
      <c r="AA258" s="23" t="n"/>
      <c r="AB258" s="23" t="n"/>
      <c r="AC258" s="27">
        <f>IF(COUNT(S258:AB258)&lt;10,"",(S258*W_FEMININE+T258*W_TREND+U258*W_AESTHETIC+V258*W_STYLE+W258*W_LIGHT+X258*W_REELS+Y258*W_GIFT+Z258*W_PRICEFIT+AA258*W_DEMAND+AB258*W_QUALITY)/5*100)</f>
        <v/>
      </c>
      <c r="AD258" s="23">
        <f>IF(P258="","",IF(P258&gt;HARD_REJECT_PRICE,"Reject",IF(P258&gt;MAX_PRICE,"Price Review",IF(AC258="","",IF(AND(AC258&gt;=BUY_THRESHOLD,OR(AB258&lt;=2,U258&lt;=2)),"Maybe",IF(AC258&gt;=BUY_THRESHOLD,"Buy",IF(AC258&gt;=MAYBE_THRESHOLD,"Maybe","Reject")))))))</f>
        <v/>
      </c>
      <c r="AE258" s="23" t="n"/>
      <c r="AF258" s="23" t="n"/>
      <c r="AG258" s="23" t="n"/>
      <c r="AH258" s="23" t="n"/>
      <c r="AI258" s="24" t="n"/>
      <c r="AJ258">
        <f>IF(AC258="",-9999-ROW()*0.0000001,AC258-ROW()*0.0000001)</f>
        <v/>
      </c>
      <c r="AK258">
        <f>IF(OR(AC258="",P258="",P258&gt;MAX_PRICE),-9999-ROW()*0.0000001,AC258-ROW()*0.0000001)</f>
        <v/>
      </c>
      <c r="AL258">
        <f>IF(AC258="",-9999-ROW()*0.0000001,X258*1000+AC258-ROW()*0.0000001)</f>
        <v/>
      </c>
      <c r="AM258">
        <f>IF(AC258="",-9999-ROW()*0.0000001,Y258*1000+AC258-ROW()*0.0000001)</f>
        <v/>
      </c>
      <c r="AN258">
        <f>IF(AND(OR(AD258="Maybe",AD258="Price Review"),AG258&lt;&gt;"Approved",AG258&lt;&gt;"Rejected"),IF(AC258="",0,AC258)-ROW()*0.0000001,-9999-ROW()*0.0000001)</f>
        <v/>
      </c>
      <c r="AO258" s="28" t="n"/>
      <c r="AP258" s="28" t="n"/>
      <c r="AQ258" s="29" t="n"/>
      <c r="AR258" s="29" t="n"/>
      <c r="AS258" s="23" t="n"/>
      <c r="AT258" s="29" t="n"/>
      <c r="AU258" s="29" t="n"/>
      <c r="AV258" s="29" t="n"/>
      <c r="AW258" s="25">
        <f>IF(OR(O258="",AV258=""),"",O258*AV258)</f>
        <v/>
      </c>
      <c r="AX258" s="23" t="n"/>
      <c r="AY258" s="23" t="n"/>
      <c r="AZ258" s="23" t="n"/>
      <c r="BA258" s="23" t="n"/>
      <c r="BB258" s="23" t="n"/>
      <c r="BC258" s="25" t="n"/>
      <c r="BD258" s="23" t="n"/>
      <c r="BE258" s="23">
        <f>IF(C258="","",IF(AND(ISNUMBER(P258),P258&gt;MAX_PRICE),"Price too high",IF(AND(ISNUMBER(AB258),AB258&lt;=2),"Quality risk",IF(AND(ISNUMBER(U258),U258&lt;=2),"Aesthetic mismatch",IF(AY258="High","Too fragile",IF(AND(ISNUMBER(R258),R258&lt;LOW_PROFIT_PCT),"Low profit",IF(AND(ISNUMBER(AT258),AT258&gt;MOQ_WARNING),"MOQ too high",IF(OR(AD258="Maybe",AD258="Price Review"),"Needs partner review",IF(AD258="Buy","Good candidate","")))))))))</f>
        <v/>
      </c>
      <c r="BF258" s="23" t="n"/>
      <c r="BG258" s="23" t="n"/>
      <c r="BH258" s="23" t="n"/>
      <c r="BI258" s="23" t="n"/>
      <c r="BJ258" s="23" t="n"/>
      <c r="BK258" s="23" t="n"/>
      <c r="BL258" s="23">
        <f>IF(C258="","",IF(AND(BG258="Yes",BH258="Yes",BI258="Yes",BJ258="Yes",BK258="Yes"),"Yes","No"))</f>
        <v/>
      </c>
      <c r="BM258" s="25" t="n"/>
      <c r="BN258" s="25" t="n"/>
      <c r="BO258" s="25">
        <f>IF(OR(BM258="",BN258=""),"",BM258+BN258)</f>
        <v/>
      </c>
      <c r="BP258" s="25" t="n"/>
      <c r="BQ258" s="25">
        <f>IF(OR(BP258="",BO258=""),"",BP258-BO258)</f>
        <v/>
      </c>
      <c r="BR258" s="26">
        <f>IF(OR(BP258="",BP258=0,BQ258=""),"",BQ258/BP258)</f>
        <v/>
      </c>
      <c r="BS258" s="24" t="n"/>
      <c r="BT258" s="29" t="n"/>
      <c r="BU258" s="29" t="n"/>
      <c r="BV258" s="23" t="n"/>
      <c r="BW258" s="23" t="n"/>
      <c r="BX258" s="29">
        <f>IF(OR(BT258="",BU258=""),"",BT258-BU258)</f>
        <v/>
      </c>
      <c r="BY258" s="23" t="n"/>
      <c r="BZ258" s="24" t="n"/>
      <c r="CA258" s="23" t="n"/>
      <c r="CB258" s="23" t="n"/>
    </row>
    <row r="259">
      <c r="A259" s="16">
        <f>IF(C259="","","AYN-"&amp;IFERROR(VLOOKUP(E259,CATEGORY_PREFIX_TABLE,2,FALSE),"OTH")&amp;"-"&amp;TEXT(ROW()-2,"0000"))</f>
        <v/>
      </c>
      <c r="B259" s="17" t="n"/>
      <c r="C259" s="16" t="n"/>
      <c r="D259" s="16" t="n"/>
      <c r="E259" s="16" t="n"/>
      <c r="F259" s="16" t="n"/>
      <c r="G259" s="16" t="n"/>
      <c r="H259" s="16" t="n"/>
      <c r="I259" s="16" t="n"/>
      <c r="J259" s="16" t="n"/>
      <c r="K259" s="18">
        <f>IF(I259="","",IF(J259="BDT",I259,IF(J259="USD",I259*USD_BDT,IF(J259="RMB",I259*RMB_BDT,""))))</f>
        <v/>
      </c>
      <c r="L259" s="18" t="n"/>
      <c r="M259" s="19" t="n"/>
      <c r="N259" s="18" t="n"/>
      <c r="O259" s="18">
        <f>IF(K259="","",K259+IFERROR(L259,0)+(K259*IF(M259="",CUSTOMS_PCT,M259))+IF(N259="",MISC_FEE,N259))</f>
        <v/>
      </c>
      <c r="P259" s="18">
        <f>IF(O259="","",ROUND(O259*(1+MARKUP_PCT),-1)-1)</f>
        <v/>
      </c>
      <c r="Q259" s="18">
        <f>IF(P259="","",P259-O259)</f>
        <v/>
      </c>
      <c r="R259" s="19">
        <f>IF(OR(P259="",P259=0),"",Q259/P259)</f>
        <v/>
      </c>
      <c r="S259" s="16" t="n"/>
      <c r="T259" s="16" t="n"/>
      <c r="U259" s="16" t="n"/>
      <c r="V259" s="16" t="n"/>
      <c r="W259" s="16" t="n"/>
      <c r="X259" s="16" t="n"/>
      <c r="Y259" s="16" t="n"/>
      <c r="Z259" s="16" t="n"/>
      <c r="AA259" s="16" t="n"/>
      <c r="AB259" s="16" t="n"/>
      <c r="AC259" s="20">
        <f>IF(COUNT(S259:AB259)&lt;10,"",(S259*W_FEMININE+T259*W_TREND+U259*W_AESTHETIC+V259*W_STYLE+W259*W_LIGHT+X259*W_REELS+Y259*W_GIFT+Z259*W_PRICEFIT+AA259*W_DEMAND+AB259*W_QUALITY)/5*100)</f>
        <v/>
      </c>
      <c r="AD259" s="16">
        <f>IF(P259="","",IF(P259&gt;HARD_REJECT_PRICE,"Reject",IF(P259&gt;MAX_PRICE,"Price Review",IF(AC259="","",IF(AND(AC259&gt;=BUY_THRESHOLD,OR(AB259&lt;=2,U259&lt;=2)),"Maybe",IF(AC259&gt;=BUY_THRESHOLD,"Buy",IF(AC259&gt;=MAYBE_THRESHOLD,"Maybe","Reject")))))))</f>
        <v/>
      </c>
      <c r="AE259" s="16" t="n"/>
      <c r="AF259" s="16" t="n"/>
      <c r="AG259" s="16" t="n"/>
      <c r="AH259" s="16" t="n"/>
      <c r="AI259" s="17" t="n"/>
      <c r="AJ259">
        <f>IF(AC259="",-9999-ROW()*0.0000001,AC259-ROW()*0.0000001)</f>
        <v/>
      </c>
      <c r="AK259">
        <f>IF(OR(AC259="",P259="",P259&gt;MAX_PRICE),-9999-ROW()*0.0000001,AC259-ROW()*0.0000001)</f>
        <v/>
      </c>
      <c r="AL259">
        <f>IF(AC259="",-9999-ROW()*0.0000001,X259*1000+AC259-ROW()*0.0000001)</f>
        <v/>
      </c>
      <c r="AM259">
        <f>IF(AC259="",-9999-ROW()*0.0000001,Y259*1000+AC259-ROW()*0.0000001)</f>
        <v/>
      </c>
      <c r="AN259">
        <f>IF(AND(OR(AD259="Maybe",AD259="Price Review"),AG259&lt;&gt;"Approved",AG259&lt;&gt;"Rejected"),IF(AC259="",0,AC259)-ROW()*0.0000001,-9999-ROW()*0.0000001)</f>
        <v/>
      </c>
      <c r="AO259" s="21" t="n"/>
      <c r="AP259" s="21" t="n"/>
      <c r="AQ259" s="22" t="n"/>
      <c r="AR259" s="22" t="n"/>
      <c r="AS259" s="16" t="n"/>
      <c r="AT259" s="22" t="n"/>
      <c r="AU259" s="22" t="n"/>
      <c r="AV259" s="22" t="n"/>
      <c r="AW259" s="18">
        <f>IF(OR(O259="",AV259=""),"",O259*AV259)</f>
        <v/>
      </c>
      <c r="AX259" s="16" t="n"/>
      <c r="AY259" s="16" t="n"/>
      <c r="AZ259" s="16" t="n"/>
      <c r="BA259" s="16" t="n"/>
      <c r="BB259" s="16" t="n"/>
      <c r="BC259" s="18" t="n"/>
      <c r="BD259" s="16" t="n"/>
      <c r="BE259" s="16">
        <f>IF(C259="","",IF(AND(ISNUMBER(P259),P259&gt;MAX_PRICE),"Price too high",IF(AND(ISNUMBER(AB259),AB259&lt;=2),"Quality risk",IF(AND(ISNUMBER(U259),U259&lt;=2),"Aesthetic mismatch",IF(AY259="High","Too fragile",IF(AND(ISNUMBER(R259),R259&lt;LOW_PROFIT_PCT),"Low profit",IF(AND(ISNUMBER(AT259),AT259&gt;MOQ_WARNING),"MOQ too high",IF(OR(AD259="Maybe",AD259="Price Review"),"Needs partner review",IF(AD259="Buy","Good candidate","")))))))))</f>
        <v/>
      </c>
      <c r="BF259" s="16" t="n"/>
      <c r="BG259" s="16" t="n"/>
      <c r="BH259" s="16" t="n"/>
      <c r="BI259" s="16" t="n"/>
      <c r="BJ259" s="16" t="n"/>
      <c r="BK259" s="16" t="n"/>
      <c r="BL259" s="16">
        <f>IF(C259="","",IF(AND(BG259="Yes",BH259="Yes",BI259="Yes",BJ259="Yes",BK259="Yes"),"Yes","No"))</f>
        <v/>
      </c>
      <c r="BM259" s="18" t="n"/>
      <c r="BN259" s="18" t="n"/>
      <c r="BO259" s="18">
        <f>IF(OR(BM259="",BN259=""),"",BM259+BN259)</f>
        <v/>
      </c>
      <c r="BP259" s="18" t="n"/>
      <c r="BQ259" s="18">
        <f>IF(OR(BP259="",BO259=""),"",BP259-BO259)</f>
        <v/>
      </c>
      <c r="BR259" s="19">
        <f>IF(OR(BP259="",BP259=0,BQ259=""),"",BQ259/BP259)</f>
        <v/>
      </c>
      <c r="BS259" s="17" t="n"/>
      <c r="BT259" s="22" t="n"/>
      <c r="BU259" s="22" t="n"/>
      <c r="BV259" s="16" t="n"/>
      <c r="BW259" s="16" t="n"/>
      <c r="BX259" s="22">
        <f>IF(OR(BT259="",BU259=""),"",BT259-BU259)</f>
        <v/>
      </c>
      <c r="BY259" s="16" t="n"/>
      <c r="BZ259" s="17" t="n"/>
      <c r="CA259" s="16" t="n"/>
      <c r="CB259" s="16" t="n"/>
    </row>
    <row r="260">
      <c r="A260" s="23">
        <f>IF(C260="","","AYN-"&amp;IFERROR(VLOOKUP(E260,CATEGORY_PREFIX_TABLE,2,FALSE),"OTH")&amp;"-"&amp;TEXT(ROW()-2,"0000"))</f>
        <v/>
      </c>
      <c r="B260" s="24" t="n"/>
      <c r="C260" s="23" t="n"/>
      <c r="D260" s="23" t="n"/>
      <c r="E260" s="23" t="n"/>
      <c r="F260" s="23" t="n"/>
      <c r="G260" s="23" t="n"/>
      <c r="H260" s="23" t="n"/>
      <c r="I260" s="23" t="n"/>
      <c r="J260" s="23" t="n"/>
      <c r="K260" s="25">
        <f>IF(I260="","",IF(J260="BDT",I260,IF(J260="USD",I260*USD_BDT,IF(J260="RMB",I260*RMB_BDT,""))))</f>
        <v/>
      </c>
      <c r="L260" s="25" t="n"/>
      <c r="M260" s="26" t="n"/>
      <c r="N260" s="25" t="n"/>
      <c r="O260" s="25">
        <f>IF(K260="","",K260+IFERROR(L260,0)+(K260*IF(M260="",CUSTOMS_PCT,M260))+IF(N260="",MISC_FEE,N260))</f>
        <v/>
      </c>
      <c r="P260" s="25">
        <f>IF(O260="","",ROUND(O260*(1+MARKUP_PCT),-1)-1)</f>
        <v/>
      </c>
      <c r="Q260" s="25">
        <f>IF(P260="","",P260-O260)</f>
        <v/>
      </c>
      <c r="R260" s="26">
        <f>IF(OR(P260="",P260=0),"",Q260/P260)</f>
        <v/>
      </c>
      <c r="S260" s="23" t="n"/>
      <c r="T260" s="23" t="n"/>
      <c r="U260" s="23" t="n"/>
      <c r="V260" s="23" t="n"/>
      <c r="W260" s="23" t="n"/>
      <c r="X260" s="23" t="n"/>
      <c r="Y260" s="23" t="n"/>
      <c r="Z260" s="23" t="n"/>
      <c r="AA260" s="23" t="n"/>
      <c r="AB260" s="23" t="n"/>
      <c r="AC260" s="27">
        <f>IF(COUNT(S260:AB260)&lt;10,"",(S260*W_FEMININE+T260*W_TREND+U260*W_AESTHETIC+V260*W_STYLE+W260*W_LIGHT+X260*W_REELS+Y260*W_GIFT+Z260*W_PRICEFIT+AA260*W_DEMAND+AB260*W_QUALITY)/5*100)</f>
        <v/>
      </c>
      <c r="AD260" s="23">
        <f>IF(P260="","",IF(P260&gt;HARD_REJECT_PRICE,"Reject",IF(P260&gt;MAX_PRICE,"Price Review",IF(AC260="","",IF(AND(AC260&gt;=BUY_THRESHOLD,OR(AB260&lt;=2,U260&lt;=2)),"Maybe",IF(AC260&gt;=BUY_THRESHOLD,"Buy",IF(AC260&gt;=MAYBE_THRESHOLD,"Maybe","Reject")))))))</f>
        <v/>
      </c>
      <c r="AE260" s="23" t="n"/>
      <c r="AF260" s="23" t="n"/>
      <c r="AG260" s="23" t="n"/>
      <c r="AH260" s="23" t="n"/>
      <c r="AI260" s="24" t="n"/>
      <c r="AJ260">
        <f>IF(AC260="",-9999-ROW()*0.0000001,AC260-ROW()*0.0000001)</f>
        <v/>
      </c>
      <c r="AK260">
        <f>IF(OR(AC260="",P260="",P260&gt;MAX_PRICE),-9999-ROW()*0.0000001,AC260-ROW()*0.0000001)</f>
        <v/>
      </c>
      <c r="AL260">
        <f>IF(AC260="",-9999-ROW()*0.0000001,X260*1000+AC260-ROW()*0.0000001)</f>
        <v/>
      </c>
      <c r="AM260">
        <f>IF(AC260="",-9999-ROW()*0.0000001,Y260*1000+AC260-ROW()*0.0000001)</f>
        <v/>
      </c>
      <c r="AN260">
        <f>IF(AND(OR(AD260="Maybe",AD260="Price Review"),AG260&lt;&gt;"Approved",AG260&lt;&gt;"Rejected"),IF(AC260="",0,AC260)-ROW()*0.0000001,-9999-ROW()*0.0000001)</f>
        <v/>
      </c>
      <c r="AO260" s="28" t="n"/>
      <c r="AP260" s="28" t="n"/>
      <c r="AQ260" s="29" t="n"/>
      <c r="AR260" s="29" t="n"/>
      <c r="AS260" s="23" t="n"/>
      <c r="AT260" s="29" t="n"/>
      <c r="AU260" s="29" t="n"/>
      <c r="AV260" s="29" t="n"/>
      <c r="AW260" s="25">
        <f>IF(OR(O260="",AV260=""),"",O260*AV260)</f>
        <v/>
      </c>
      <c r="AX260" s="23" t="n"/>
      <c r="AY260" s="23" t="n"/>
      <c r="AZ260" s="23" t="n"/>
      <c r="BA260" s="23" t="n"/>
      <c r="BB260" s="23" t="n"/>
      <c r="BC260" s="25" t="n"/>
      <c r="BD260" s="23" t="n"/>
      <c r="BE260" s="23">
        <f>IF(C260="","",IF(AND(ISNUMBER(P260),P260&gt;MAX_PRICE),"Price too high",IF(AND(ISNUMBER(AB260),AB260&lt;=2),"Quality risk",IF(AND(ISNUMBER(U260),U260&lt;=2),"Aesthetic mismatch",IF(AY260="High","Too fragile",IF(AND(ISNUMBER(R260),R260&lt;LOW_PROFIT_PCT),"Low profit",IF(AND(ISNUMBER(AT260),AT260&gt;MOQ_WARNING),"MOQ too high",IF(OR(AD260="Maybe",AD260="Price Review"),"Needs partner review",IF(AD260="Buy","Good candidate","")))))))))</f>
        <v/>
      </c>
      <c r="BF260" s="23" t="n"/>
      <c r="BG260" s="23" t="n"/>
      <c r="BH260" s="23" t="n"/>
      <c r="BI260" s="23" t="n"/>
      <c r="BJ260" s="23" t="n"/>
      <c r="BK260" s="23" t="n"/>
      <c r="BL260" s="23">
        <f>IF(C260="","",IF(AND(BG260="Yes",BH260="Yes",BI260="Yes",BJ260="Yes",BK260="Yes"),"Yes","No"))</f>
        <v/>
      </c>
      <c r="BM260" s="25" t="n"/>
      <c r="BN260" s="25" t="n"/>
      <c r="BO260" s="25">
        <f>IF(OR(BM260="",BN260=""),"",BM260+BN260)</f>
        <v/>
      </c>
      <c r="BP260" s="25" t="n"/>
      <c r="BQ260" s="25">
        <f>IF(OR(BP260="",BO260=""),"",BP260-BO260)</f>
        <v/>
      </c>
      <c r="BR260" s="26">
        <f>IF(OR(BP260="",BP260=0,BQ260=""),"",BQ260/BP260)</f>
        <v/>
      </c>
      <c r="BS260" s="24" t="n"/>
      <c r="BT260" s="29" t="n"/>
      <c r="BU260" s="29" t="n"/>
      <c r="BV260" s="23" t="n"/>
      <c r="BW260" s="23" t="n"/>
      <c r="BX260" s="29">
        <f>IF(OR(BT260="",BU260=""),"",BT260-BU260)</f>
        <v/>
      </c>
      <c r="BY260" s="23" t="n"/>
      <c r="BZ260" s="24" t="n"/>
      <c r="CA260" s="23" t="n"/>
      <c r="CB260" s="23" t="n"/>
    </row>
    <row r="261">
      <c r="A261" s="16">
        <f>IF(C261="","","AYN-"&amp;IFERROR(VLOOKUP(E261,CATEGORY_PREFIX_TABLE,2,FALSE),"OTH")&amp;"-"&amp;TEXT(ROW()-2,"0000"))</f>
        <v/>
      </c>
      <c r="B261" s="17" t="n"/>
      <c r="C261" s="16" t="n"/>
      <c r="D261" s="16" t="n"/>
      <c r="E261" s="16" t="n"/>
      <c r="F261" s="16" t="n"/>
      <c r="G261" s="16" t="n"/>
      <c r="H261" s="16" t="n"/>
      <c r="I261" s="16" t="n"/>
      <c r="J261" s="16" t="n"/>
      <c r="K261" s="18">
        <f>IF(I261="","",IF(J261="BDT",I261,IF(J261="USD",I261*USD_BDT,IF(J261="RMB",I261*RMB_BDT,""))))</f>
        <v/>
      </c>
      <c r="L261" s="18" t="n"/>
      <c r="M261" s="19" t="n"/>
      <c r="N261" s="18" t="n"/>
      <c r="O261" s="18">
        <f>IF(K261="","",K261+IFERROR(L261,0)+(K261*IF(M261="",CUSTOMS_PCT,M261))+IF(N261="",MISC_FEE,N261))</f>
        <v/>
      </c>
      <c r="P261" s="18">
        <f>IF(O261="","",ROUND(O261*(1+MARKUP_PCT),-1)-1)</f>
        <v/>
      </c>
      <c r="Q261" s="18">
        <f>IF(P261="","",P261-O261)</f>
        <v/>
      </c>
      <c r="R261" s="19">
        <f>IF(OR(P261="",P261=0),"",Q261/P261)</f>
        <v/>
      </c>
      <c r="S261" s="16" t="n"/>
      <c r="T261" s="16" t="n"/>
      <c r="U261" s="16" t="n"/>
      <c r="V261" s="16" t="n"/>
      <c r="W261" s="16" t="n"/>
      <c r="X261" s="16" t="n"/>
      <c r="Y261" s="16" t="n"/>
      <c r="Z261" s="16" t="n"/>
      <c r="AA261" s="16" t="n"/>
      <c r="AB261" s="16" t="n"/>
      <c r="AC261" s="20">
        <f>IF(COUNT(S261:AB261)&lt;10,"",(S261*W_FEMININE+T261*W_TREND+U261*W_AESTHETIC+V261*W_STYLE+W261*W_LIGHT+X261*W_REELS+Y261*W_GIFT+Z261*W_PRICEFIT+AA261*W_DEMAND+AB261*W_QUALITY)/5*100)</f>
        <v/>
      </c>
      <c r="AD261" s="16">
        <f>IF(P261="","",IF(P261&gt;HARD_REJECT_PRICE,"Reject",IF(P261&gt;MAX_PRICE,"Price Review",IF(AC261="","",IF(AND(AC261&gt;=BUY_THRESHOLD,OR(AB261&lt;=2,U261&lt;=2)),"Maybe",IF(AC261&gt;=BUY_THRESHOLD,"Buy",IF(AC261&gt;=MAYBE_THRESHOLD,"Maybe","Reject")))))))</f>
        <v/>
      </c>
      <c r="AE261" s="16" t="n"/>
      <c r="AF261" s="16" t="n"/>
      <c r="AG261" s="16" t="n"/>
      <c r="AH261" s="16" t="n"/>
      <c r="AI261" s="17" t="n"/>
      <c r="AJ261">
        <f>IF(AC261="",-9999-ROW()*0.0000001,AC261-ROW()*0.0000001)</f>
        <v/>
      </c>
      <c r="AK261">
        <f>IF(OR(AC261="",P261="",P261&gt;MAX_PRICE),-9999-ROW()*0.0000001,AC261-ROW()*0.0000001)</f>
        <v/>
      </c>
      <c r="AL261">
        <f>IF(AC261="",-9999-ROW()*0.0000001,X261*1000+AC261-ROW()*0.0000001)</f>
        <v/>
      </c>
      <c r="AM261">
        <f>IF(AC261="",-9999-ROW()*0.0000001,Y261*1000+AC261-ROW()*0.0000001)</f>
        <v/>
      </c>
      <c r="AN261">
        <f>IF(AND(OR(AD261="Maybe",AD261="Price Review"),AG261&lt;&gt;"Approved",AG261&lt;&gt;"Rejected"),IF(AC261="",0,AC261)-ROW()*0.0000001,-9999-ROW()*0.0000001)</f>
        <v/>
      </c>
      <c r="AO261" s="21" t="n"/>
      <c r="AP261" s="21" t="n"/>
      <c r="AQ261" s="22" t="n"/>
      <c r="AR261" s="22" t="n"/>
      <c r="AS261" s="16" t="n"/>
      <c r="AT261" s="22" t="n"/>
      <c r="AU261" s="22" t="n"/>
      <c r="AV261" s="22" t="n"/>
      <c r="AW261" s="18">
        <f>IF(OR(O261="",AV261=""),"",O261*AV261)</f>
        <v/>
      </c>
      <c r="AX261" s="16" t="n"/>
      <c r="AY261" s="16" t="n"/>
      <c r="AZ261" s="16" t="n"/>
      <c r="BA261" s="16" t="n"/>
      <c r="BB261" s="16" t="n"/>
      <c r="BC261" s="18" t="n"/>
      <c r="BD261" s="16" t="n"/>
      <c r="BE261" s="16">
        <f>IF(C261="","",IF(AND(ISNUMBER(P261),P261&gt;MAX_PRICE),"Price too high",IF(AND(ISNUMBER(AB261),AB261&lt;=2),"Quality risk",IF(AND(ISNUMBER(U261),U261&lt;=2),"Aesthetic mismatch",IF(AY261="High","Too fragile",IF(AND(ISNUMBER(R261),R261&lt;LOW_PROFIT_PCT),"Low profit",IF(AND(ISNUMBER(AT261),AT261&gt;MOQ_WARNING),"MOQ too high",IF(OR(AD261="Maybe",AD261="Price Review"),"Needs partner review",IF(AD261="Buy","Good candidate","")))))))))</f>
        <v/>
      </c>
      <c r="BF261" s="16" t="n"/>
      <c r="BG261" s="16" t="n"/>
      <c r="BH261" s="16" t="n"/>
      <c r="BI261" s="16" t="n"/>
      <c r="BJ261" s="16" t="n"/>
      <c r="BK261" s="16" t="n"/>
      <c r="BL261" s="16">
        <f>IF(C261="","",IF(AND(BG261="Yes",BH261="Yes",BI261="Yes",BJ261="Yes",BK261="Yes"),"Yes","No"))</f>
        <v/>
      </c>
      <c r="BM261" s="18" t="n"/>
      <c r="BN261" s="18" t="n"/>
      <c r="BO261" s="18">
        <f>IF(OR(BM261="",BN261=""),"",BM261+BN261)</f>
        <v/>
      </c>
      <c r="BP261" s="18" t="n"/>
      <c r="BQ261" s="18">
        <f>IF(OR(BP261="",BO261=""),"",BP261-BO261)</f>
        <v/>
      </c>
      <c r="BR261" s="19">
        <f>IF(OR(BP261="",BP261=0,BQ261=""),"",BQ261/BP261)</f>
        <v/>
      </c>
      <c r="BS261" s="17" t="n"/>
      <c r="BT261" s="22" t="n"/>
      <c r="BU261" s="22" t="n"/>
      <c r="BV261" s="16" t="n"/>
      <c r="BW261" s="16" t="n"/>
      <c r="BX261" s="22">
        <f>IF(OR(BT261="",BU261=""),"",BT261-BU261)</f>
        <v/>
      </c>
      <c r="BY261" s="16" t="n"/>
      <c r="BZ261" s="17" t="n"/>
      <c r="CA261" s="16" t="n"/>
      <c r="CB261" s="16" t="n"/>
    </row>
    <row r="262">
      <c r="A262" s="23">
        <f>IF(C262="","","AYN-"&amp;IFERROR(VLOOKUP(E262,CATEGORY_PREFIX_TABLE,2,FALSE),"OTH")&amp;"-"&amp;TEXT(ROW()-2,"0000"))</f>
        <v/>
      </c>
      <c r="B262" s="24" t="n"/>
      <c r="C262" s="23" t="n"/>
      <c r="D262" s="23" t="n"/>
      <c r="E262" s="23" t="n"/>
      <c r="F262" s="23" t="n"/>
      <c r="G262" s="23" t="n"/>
      <c r="H262" s="23" t="n"/>
      <c r="I262" s="23" t="n"/>
      <c r="J262" s="23" t="n"/>
      <c r="K262" s="25">
        <f>IF(I262="","",IF(J262="BDT",I262,IF(J262="USD",I262*USD_BDT,IF(J262="RMB",I262*RMB_BDT,""))))</f>
        <v/>
      </c>
      <c r="L262" s="25" t="n"/>
      <c r="M262" s="26" t="n"/>
      <c r="N262" s="25" t="n"/>
      <c r="O262" s="25">
        <f>IF(K262="","",K262+IFERROR(L262,0)+(K262*IF(M262="",CUSTOMS_PCT,M262))+IF(N262="",MISC_FEE,N262))</f>
        <v/>
      </c>
      <c r="P262" s="25">
        <f>IF(O262="","",ROUND(O262*(1+MARKUP_PCT),-1)-1)</f>
        <v/>
      </c>
      <c r="Q262" s="25">
        <f>IF(P262="","",P262-O262)</f>
        <v/>
      </c>
      <c r="R262" s="26">
        <f>IF(OR(P262="",P262=0),"",Q262/P262)</f>
        <v/>
      </c>
      <c r="S262" s="23" t="n"/>
      <c r="T262" s="23" t="n"/>
      <c r="U262" s="23" t="n"/>
      <c r="V262" s="23" t="n"/>
      <c r="W262" s="23" t="n"/>
      <c r="X262" s="23" t="n"/>
      <c r="Y262" s="23" t="n"/>
      <c r="Z262" s="23" t="n"/>
      <c r="AA262" s="23" t="n"/>
      <c r="AB262" s="23" t="n"/>
      <c r="AC262" s="27">
        <f>IF(COUNT(S262:AB262)&lt;10,"",(S262*W_FEMININE+T262*W_TREND+U262*W_AESTHETIC+V262*W_STYLE+W262*W_LIGHT+X262*W_REELS+Y262*W_GIFT+Z262*W_PRICEFIT+AA262*W_DEMAND+AB262*W_QUALITY)/5*100)</f>
        <v/>
      </c>
      <c r="AD262" s="23">
        <f>IF(P262="","",IF(P262&gt;HARD_REJECT_PRICE,"Reject",IF(P262&gt;MAX_PRICE,"Price Review",IF(AC262="","",IF(AND(AC262&gt;=BUY_THRESHOLD,OR(AB262&lt;=2,U262&lt;=2)),"Maybe",IF(AC262&gt;=BUY_THRESHOLD,"Buy",IF(AC262&gt;=MAYBE_THRESHOLD,"Maybe","Reject")))))))</f>
        <v/>
      </c>
      <c r="AE262" s="23" t="n"/>
      <c r="AF262" s="23" t="n"/>
      <c r="AG262" s="23" t="n"/>
      <c r="AH262" s="23" t="n"/>
      <c r="AI262" s="24" t="n"/>
      <c r="AJ262">
        <f>IF(AC262="",-9999-ROW()*0.0000001,AC262-ROW()*0.0000001)</f>
        <v/>
      </c>
      <c r="AK262">
        <f>IF(OR(AC262="",P262="",P262&gt;MAX_PRICE),-9999-ROW()*0.0000001,AC262-ROW()*0.0000001)</f>
        <v/>
      </c>
      <c r="AL262">
        <f>IF(AC262="",-9999-ROW()*0.0000001,X262*1000+AC262-ROW()*0.0000001)</f>
        <v/>
      </c>
      <c r="AM262">
        <f>IF(AC262="",-9999-ROW()*0.0000001,Y262*1000+AC262-ROW()*0.0000001)</f>
        <v/>
      </c>
      <c r="AN262">
        <f>IF(AND(OR(AD262="Maybe",AD262="Price Review"),AG262&lt;&gt;"Approved",AG262&lt;&gt;"Rejected"),IF(AC262="",0,AC262)-ROW()*0.0000001,-9999-ROW()*0.0000001)</f>
        <v/>
      </c>
      <c r="AO262" s="28" t="n"/>
      <c r="AP262" s="28" t="n"/>
      <c r="AQ262" s="29" t="n"/>
      <c r="AR262" s="29" t="n"/>
      <c r="AS262" s="23" t="n"/>
      <c r="AT262" s="29" t="n"/>
      <c r="AU262" s="29" t="n"/>
      <c r="AV262" s="29" t="n"/>
      <c r="AW262" s="25">
        <f>IF(OR(O262="",AV262=""),"",O262*AV262)</f>
        <v/>
      </c>
      <c r="AX262" s="23" t="n"/>
      <c r="AY262" s="23" t="n"/>
      <c r="AZ262" s="23" t="n"/>
      <c r="BA262" s="23" t="n"/>
      <c r="BB262" s="23" t="n"/>
      <c r="BC262" s="25" t="n"/>
      <c r="BD262" s="23" t="n"/>
      <c r="BE262" s="23">
        <f>IF(C262="","",IF(AND(ISNUMBER(P262),P262&gt;MAX_PRICE),"Price too high",IF(AND(ISNUMBER(AB262),AB262&lt;=2),"Quality risk",IF(AND(ISNUMBER(U262),U262&lt;=2),"Aesthetic mismatch",IF(AY262="High","Too fragile",IF(AND(ISNUMBER(R262),R262&lt;LOW_PROFIT_PCT),"Low profit",IF(AND(ISNUMBER(AT262),AT262&gt;MOQ_WARNING),"MOQ too high",IF(OR(AD262="Maybe",AD262="Price Review"),"Needs partner review",IF(AD262="Buy","Good candidate","")))))))))</f>
        <v/>
      </c>
      <c r="BF262" s="23" t="n"/>
      <c r="BG262" s="23" t="n"/>
      <c r="BH262" s="23" t="n"/>
      <c r="BI262" s="23" t="n"/>
      <c r="BJ262" s="23" t="n"/>
      <c r="BK262" s="23" t="n"/>
      <c r="BL262" s="23">
        <f>IF(C262="","",IF(AND(BG262="Yes",BH262="Yes",BI262="Yes",BJ262="Yes",BK262="Yes"),"Yes","No"))</f>
        <v/>
      </c>
      <c r="BM262" s="25" t="n"/>
      <c r="BN262" s="25" t="n"/>
      <c r="BO262" s="25">
        <f>IF(OR(BM262="",BN262=""),"",BM262+BN262)</f>
        <v/>
      </c>
      <c r="BP262" s="25" t="n"/>
      <c r="BQ262" s="25">
        <f>IF(OR(BP262="",BO262=""),"",BP262-BO262)</f>
        <v/>
      </c>
      <c r="BR262" s="26">
        <f>IF(OR(BP262="",BP262=0,BQ262=""),"",BQ262/BP262)</f>
        <v/>
      </c>
      <c r="BS262" s="24" t="n"/>
      <c r="BT262" s="29" t="n"/>
      <c r="BU262" s="29" t="n"/>
      <c r="BV262" s="23" t="n"/>
      <c r="BW262" s="23" t="n"/>
      <c r="BX262" s="29">
        <f>IF(OR(BT262="",BU262=""),"",BT262-BU262)</f>
        <v/>
      </c>
      <c r="BY262" s="23" t="n"/>
      <c r="BZ262" s="24" t="n"/>
      <c r="CA262" s="23" t="n"/>
      <c r="CB262" s="23" t="n"/>
    </row>
    <row r="263">
      <c r="A263" s="16">
        <f>IF(C263="","","AYN-"&amp;IFERROR(VLOOKUP(E263,CATEGORY_PREFIX_TABLE,2,FALSE),"OTH")&amp;"-"&amp;TEXT(ROW()-2,"0000"))</f>
        <v/>
      </c>
      <c r="B263" s="17" t="n"/>
      <c r="C263" s="16" t="n"/>
      <c r="D263" s="16" t="n"/>
      <c r="E263" s="16" t="n"/>
      <c r="F263" s="16" t="n"/>
      <c r="G263" s="16" t="n"/>
      <c r="H263" s="16" t="n"/>
      <c r="I263" s="16" t="n"/>
      <c r="J263" s="16" t="n"/>
      <c r="K263" s="18">
        <f>IF(I263="","",IF(J263="BDT",I263,IF(J263="USD",I263*USD_BDT,IF(J263="RMB",I263*RMB_BDT,""))))</f>
        <v/>
      </c>
      <c r="L263" s="18" t="n"/>
      <c r="M263" s="19" t="n"/>
      <c r="N263" s="18" t="n"/>
      <c r="O263" s="18">
        <f>IF(K263="","",K263+IFERROR(L263,0)+(K263*IF(M263="",CUSTOMS_PCT,M263))+IF(N263="",MISC_FEE,N263))</f>
        <v/>
      </c>
      <c r="P263" s="18">
        <f>IF(O263="","",ROUND(O263*(1+MARKUP_PCT),-1)-1)</f>
        <v/>
      </c>
      <c r="Q263" s="18">
        <f>IF(P263="","",P263-O263)</f>
        <v/>
      </c>
      <c r="R263" s="19">
        <f>IF(OR(P263="",P263=0),"",Q263/P263)</f>
        <v/>
      </c>
      <c r="S263" s="16" t="n"/>
      <c r="T263" s="16" t="n"/>
      <c r="U263" s="16" t="n"/>
      <c r="V263" s="16" t="n"/>
      <c r="W263" s="16" t="n"/>
      <c r="X263" s="16" t="n"/>
      <c r="Y263" s="16" t="n"/>
      <c r="Z263" s="16" t="n"/>
      <c r="AA263" s="16" t="n"/>
      <c r="AB263" s="16" t="n"/>
      <c r="AC263" s="20">
        <f>IF(COUNT(S263:AB263)&lt;10,"",(S263*W_FEMININE+T263*W_TREND+U263*W_AESTHETIC+V263*W_STYLE+W263*W_LIGHT+X263*W_REELS+Y263*W_GIFT+Z263*W_PRICEFIT+AA263*W_DEMAND+AB263*W_QUALITY)/5*100)</f>
        <v/>
      </c>
      <c r="AD263" s="16">
        <f>IF(P263="","",IF(P263&gt;HARD_REJECT_PRICE,"Reject",IF(P263&gt;MAX_PRICE,"Price Review",IF(AC263="","",IF(AND(AC263&gt;=BUY_THRESHOLD,OR(AB263&lt;=2,U263&lt;=2)),"Maybe",IF(AC263&gt;=BUY_THRESHOLD,"Buy",IF(AC263&gt;=MAYBE_THRESHOLD,"Maybe","Reject")))))))</f>
        <v/>
      </c>
      <c r="AE263" s="16" t="n"/>
      <c r="AF263" s="16" t="n"/>
      <c r="AG263" s="16" t="n"/>
      <c r="AH263" s="16" t="n"/>
      <c r="AI263" s="17" t="n"/>
      <c r="AJ263">
        <f>IF(AC263="",-9999-ROW()*0.0000001,AC263-ROW()*0.0000001)</f>
        <v/>
      </c>
      <c r="AK263">
        <f>IF(OR(AC263="",P263="",P263&gt;MAX_PRICE),-9999-ROW()*0.0000001,AC263-ROW()*0.0000001)</f>
        <v/>
      </c>
      <c r="AL263">
        <f>IF(AC263="",-9999-ROW()*0.0000001,X263*1000+AC263-ROW()*0.0000001)</f>
        <v/>
      </c>
      <c r="AM263">
        <f>IF(AC263="",-9999-ROW()*0.0000001,Y263*1000+AC263-ROW()*0.0000001)</f>
        <v/>
      </c>
      <c r="AN263">
        <f>IF(AND(OR(AD263="Maybe",AD263="Price Review"),AG263&lt;&gt;"Approved",AG263&lt;&gt;"Rejected"),IF(AC263="",0,AC263)-ROW()*0.0000001,-9999-ROW()*0.0000001)</f>
        <v/>
      </c>
      <c r="AO263" s="21" t="n"/>
      <c r="AP263" s="21" t="n"/>
      <c r="AQ263" s="22" t="n"/>
      <c r="AR263" s="22" t="n"/>
      <c r="AS263" s="16" t="n"/>
      <c r="AT263" s="22" t="n"/>
      <c r="AU263" s="22" t="n"/>
      <c r="AV263" s="22" t="n"/>
      <c r="AW263" s="18">
        <f>IF(OR(O263="",AV263=""),"",O263*AV263)</f>
        <v/>
      </c>
      <c r="AX263" s="16" t="n"/>
      <c r="AY263" s="16" t="n"/>
      <c r="AZ263" s="16" t="n"/>
      <c r="BA263" s="16" t="n"/>
      <c r="BB263" s="16" t="n"/>
      <c r="BC263" s="18" t="n"/>
      <c r="BD263" s="16" t="n"/>
      <c r="BE263" s="16">
        <f>IF(C263="","",IF(AND(ISNUMBER(P263),P263&gt;MAX_PRICE),"Price too high",IF(AND(ISNUMBER(AB263),AB263&lt;=2),"Quality risk",IF(AND(ISNUMBER(U263),U263&lt;=2),"Aesthetic mismatch",IF(AY263="High","Too fragile",IF(AND(ISNUMBER(R263),R263&lt;LOW_PROFIT_PCT),"Low profit",IF(AND(ISNUMBER(AT263),AT263&gt;MOQ_WARNING),"MOQ too high",IF(OR(AD263="Maybe",AD263="Price Review"),"Needs partner review",IF(AD263="Buy","Good candidate","")))))))))</f>
        <v/>
      </c>
      <c r="BF263" s="16" t="n"/>
      <c r="BG263" s="16" t="n"/>
      <c r="BH263" s="16" t="n"/>
      <c r="BI263" s="16" t="n"/>
      <c r="BJ263" s="16" t="n"/>
      <c r="BK263" s="16" t="n"/>
      <c r="BL263" s="16">
        <f>IF(C263="","",IF(AND(BG263="Yes",BH263="Yes",BI263="Yes",BJ263="Yes",BK263="Yes"),"Yes","No"))</f>
        <v/>
      </c>
      <c r="BM263" s="18" t="n"/>
      <c r="BN263" s="18" t="n"/>
      <c r="BO263" s="18">
        <f>IF(OR(BM263="",BN263=""),"",BM263+BN263)</f>
        <v/>
      </c>
      <c r="BP263" s="18" t="n"/>
      <c r="BQ263" s="18">
        <f>IF(OR(BP263="",BO263=""),"",BP263-BO263)</f>
        <v/>
      </c>
      <c r="BR263" s="19">
        <f>IF(OR(BP263="",BP263=0,BQ263=""),"",BQ263/BP263)</f>
        <v/>
      </c>
      <c r="BS263" s="17" t="n"/>
      <c r="BT263" s="22" t="n"/>
      <c r="BU263" s="22" t="n"/>
      <c r="BV263" s="16" t="n"/>
      <c r="BW263" s="16" t="n"/>
      <c r="BX263" s="22">
        <f>IF(OR(BT263="",BU263=""),"",BT263-BU263)</f>
        <v/>
      </c>
      <c r="BY263" s="16" t="n"/>
      <c r="BZ263" s="17" t="n"/>
      <c r="CA263" s="16" t="n"/>
      <c r="CB263" s="16" t="n"/>
    </row>
    <row r="264">
      <c r="A264" s="23">
        <f>IF(C264="","","AYN-"&amp;IFERROR(VLOOKUP(E264,CATEGORY_PREFIX_TABLE,2,FALSE),"OTH")&amp;"-"&amp;TEXT(ROW()-2,"0000"))</f>
        <v/>
      </c>
      <c r="B264" s="24" t="n"/>
      <c r="C264" s="23" t="n"/>
      <c r="D264" s="23" t="n"/>
      <c r="E264" s="23" t="n"/>
      <c r="F264" s="23" t="n"/>
      <c r="G264" s="23" t="n"/>
      <c r="H264" s="23" t="n"/>
      <c r="I264" s="23" t="n"/>
      <c r="J264" s="23" t="n"/>
      <c r="K264" s="25">
        <f>IF(I264="","",IF(J264="BDT",I264,IF(J264="USD",I264*USD_BDT,IF(J264="RMB",I264*RMB_BDT,""))))</f>
        <v/>
      </c>
      <c r="L264" s="25" t="n"/>
      <c r="M264" s="26" t="n"/>
      <c r="N264" s="25" t="n"/>
      <c r="O264" s="25">
        <f>IF(K264="","",K264+IFERROR(L264,0)+(K264*IF(M264="",CUSTOMS_PCT,M264))+IF(N264="",MISC_FEE,N264))</f>
        <v/>
      </c>
      <c r="P264" s="25">
        <f>IF(O264="","",ROUND(O264*(1+MARKUP_PCT),-1)-1)</f>
        <v/>
      </c>
      <c r="Q264" s="25">
        <f>IF(P264="","",P264-O264)</f>
        <v/>
      </c>
      <c r="R264" s="26">
        <f>IF(OR(P264="",P264=0),"",Q264/P264)</f>
        <v/>
      </c>
      <c r="S264" s="23" t="n"/>
      <c r="T264" s="23" t="n"/>
      <c r="U264" s="23" t="n"/>
      <c r="V264" s="23" t="n"/>
      <c r="W264" s="23" t="n"/>
      <c r="X264" s="23" t="n"/>
      <c r="Y264" s="23" t="n"/>
      <c r="Z264" s="23" t="n"/>
      <c r="AA264" s="23" t="n"/>
      <c r="AB264" s="23" t="n"/>
      <c r="AC264" s="27">
        <f>IF(COUNT(S264:AB264)&lt;10,"",(S264*W_FEMININE+T264*W_TREND+U264*W_AESTHETIC+V264*W_STYLE+W264*W_LIGHT+X264*W_REELS+Y264*W_GIFT+Z264*W_PRICEFIT+AA264*W_DEMAND+AB264*W_QUALITY)/5*100)</f>
        <v/>
      </c>
      <c r="AD264" s="23">
        <f>IF(P264="","",IF(P264&gt;HARD_REJECT_PRICE,"Reject",IF(P264&gt;MAX_PRICE,"Price Review",IF(AC264="","",IF(AND(AC264&gt;=BUY_THRESHOLD,OR(AB264&lt;=2,U264&lt;=2)),"Maybe",IF(AC264&gt;=BUY_THRESHOLD,"Buy",IF(AC264&gt;=MAYBE_THRESHOLD,"Maybe","Reject")))))))</f>
        <v/>
      </c>
      <c r="AE264" s="23" t="n"/>
      <c r="AF264" s="23" t="n"/>
      <c r="AG264" s="23" t="n"/>
      <c r="AH264" s="23" t="n"/>
      <c r="AI264" s="24" t="n"/>
      <c r="AJ264">
        <f>IF(AC264="",-9999-ROW()*0.0000001,AC264-ROW()*0.0000001)</f>
        <v/>
      </c>
      <c r="AK264">
        <f>IF(OR(AC264="",P264="",P264&gt;MAX_PRICE),-9999-ROW()*0.0000001,AC264-ROW()*0.0000001)</f>
        <v/>
      </c>
      <c r="AL264">
        <f>IF(AC264="",-9999-ROW()*0.0000001,X264*1000+AC264-ROW()*0.0000001)</f>
        <v/>
      </c>
      <c r="AM264">
        <f>IF(AC264="",-9999-ROW()*0.0000001,Y264*1000+AC264-ROW()*0.0000001)</f>
        <v/>
      </c>
      <c r="AN264">
        <f>IF(AND(OR(AD264="Maybe",AD264="Price Review"),AG264&lt;&gt;"Approved",AG264&lt;&gt;"Rejected"),IF(AC264="",0,AC264)-ROW()*0.0000001,-9999-ROW()*0.0000001)</f>
        <v/>
      </c>
      <c r="AO264" s="28" t="n"/>
      <c r="AP264" s="28" t="n"/>
      <c r="AQ264" s="29" t="n"/>
      <c r="AR264" s="29" t="n"/>
      <c r="AS264" s="23" t="n"/>
      <c r="AT264" s="29" t="n"/>
      <c r="AU264" s="29" t="n"/>
      <c r="AV264" s="29" t="n"/>
      <c r="AW264" s="25">
        <f>IF(OR(O264="",AV264=""),"",O264*AV264)</f>
        <v/>
      </c>
      <c r="AX264" s="23" t="n"/>
      <c r="AY264" s="23" t="n"/>
      <c r="AZ264" s="23" t="n"/>
      <c r="BA264" s="23" t="n"/>
      <c r="BB264" s="23" t="n"/>
      <c r="BC264" s="25" t="n"/>
      <c r="BD264" s="23" t="n"/>
      <c r="BE264" s="23">
        <f>IF(C264="","",IF(AND(ISNUMBER(P264),P264&gt;MAX_PRICE),"Price too high",IF(AND(ISNUMBER(AB264),AB264&lt;=2),"Quality risk",IF(AND(ISNUMBER(U264),U264&lt;=2),"Aesthetic mismatch",IF(AY264="High","Too fragile",IF(AND(ISNUMBER(R264),R264&lt;LOW_PROFIT_PCT),"Low profit",IF(AND(ISNUMBER(AT264),AT264&gt;MOQ_WARNING),"MOQ too high",IF(OR(AD264="Maybe",AD264="Price Review"),"Needs partner review",IF(AD264="Buy","Good candidate","")))))))))</f>
        <v/>
      </c>
      <c r="BF264" s="23" t="n"/>
      <c r="BG264" s="23" t="n"/>
      <c r="BH264" s="23" t="n"/>
      <c r="BI264" s="23" t="n"/>
      <c r="BJ264" s="23" t="n"/>
      <c r="BK264" s="23" t="n"/>
      <c r="BL264" s="23">
        <f>IF(C264="","",IF(AND(BG264="Yes",BH264="Yes",BI264="Yes",BJ264="Yes",BK264="Yes"),"Yes","No"))</f>
        <v/>
      </c>
      <c r="BM264" s="25" t="n"/>
      <c r="BN264" s="25" t="n"/>
      <c r="BO264" s="25">
        <f>IF(OR(BM264="",BN264=""),"",BM264+BN264)</f>
        <v/>
      </c>
      <c r="BP264" s="25" t="n"/>
      <c r="BQ264" s="25">
        <f>IF(OR(BP264="",BO264=""),"",BP264-BO264)</f>
        <v/>
      </c>
      <c r="BR264" s="26">
        <f>IF(OR(BP264="",BP264=0,BQ264=""),"",BQ264/BP264)</f>
        <v/>
      </c>
      <c r="BS264" s="24" t="n"/>
      <c r="BT264" s="29" t="n"/>
      <c r="BU264" s="29" t="n"/>
      <c r="BV264" s="23" t="n"/>
      <c r="BW264" s="23" t="n"/>
      <c r="BX264" s="29">
        <f>IF(OR(BT264="",BU264=""),"",BT264-BU264)</f>
        <v/>
      </c>
      <c r="BY264" s="23" t="n"/>
      <c r="BZ264" s="24" t="n"/>
      <c r="CA264" s="23" t="n"/>
      <c r="CB264" s="23" t="n"/>
    </row>
    <row r="265">
      <c r="A265" s="16">
        <f>IF(C265="","","AYN-"&amp;IFERROR(VLOOKUP(E265,CATEGORY_PREFIX_TABLE,2,FALSE),"OTH")&amp;"-"&amp;TEXT(ROW()-2,"0000"))</f>
        <v/>
      </c>
      <c r="B265" s="17" t="n"/>
      <c r="C265" s="16" t="n"/>
      <c r="D265" s="16" t="n"/>
      <c r="E265" s="16" t="n"/>
      <c r="F265" s="16" t="n"/>
      <c r="G265" s="16" t="n"/>
      <c r="H265" s="16" t="n"/>
      <c r="I265" s="16" t="n"/>
      <c r="J265" s="16" t="n"/>
      <c r="K265" s="18">
        <f>IF(I265="","",IF(J265="BDT",I265,IF(J265="USD",I265*USD_BDT,IF(J265="RMB",I265*RMB_BDT,""))))</f>
        <v/>
      </c>
      <c r="L265" s="18" t="n"/>
      <c r="M265" s="19" t="n"/>
      <c r="N265" s="18" t="n"/>
      <c r="O265" s="18">
        <f>IF(K265="","",K265+IFERROR(L265,0)+(K265*IF(M265="",CUSTOMS_PCT,M265))+IF(N265="",MISC_FEE,N265))</f>
        <v/>
      </c>
      <c r="P265" s="18">
        <f>IF(O265="","",ROUND(O265*(1+MARKUP_PCT),-1)-1)</f>
        <v/>
      </c>
      <c r="Q265" s="18">
        <f>IF(P265="","",P265-O265)</f>
        <v/>
      </c>
      <c r="R265" s="19">
        <f>IF(OR(P265="",P265=0),"",Q265/P265)</f>
        <v/>
      </c>
      <c r="S265" s="16" t="n"/>
      <c r="T265" s="16" t="n"/>
      <c r="U265" s="16" t="n"/>
      <c r="V265" s="16" t="n"/>
      <c r="W265" s="16" t="n"/>
      <c r="X265" s="16" t="n"/>
      <c r="Y265" s="16" t="n"/>
      <c r="Z265" s="16" t="n"/>
      <c r="AA265" s="16" t="n"/>
      <c r="AB265" s="16" t="n"/>
      <c r="AC265" s="20">
        <f>IF(COUNT(S265:AB265)&lt;10,"",(S265*W_FEMININE+T265*W_TREND+U265*W_AESTHETIC+V265*W_STYLE+W265*W_LIGHT+X265*W_REELS+Y265*W_GIFT+Z265*W_PRICEFIT+AA265*W_DEMAND+AB265*W_QUALITY)/5*100)</f>
        <v/>
      </c>
      <c r="AD265" s="16">
        <f>IF(P265="","",IF(P265&gt;HARD_REJECT_PRICE,"Reject",IF(P265&gt;MAX_PRICE,"Price Review",IF(AC265="","",IF(AND(AC265&gt;=BUY_THRESHOLD,OR(AB265&lt;=2,U265&lt;=2)),"Maybe",IF(AC265&gt;=BUY_THRESHOLD,"Buy",IF(AC265&gt;=MAYBE_THRESHOLD,"Maybe","Reject")))))))</f>
        <v/>
      </c>
      <c r="AE265" s="16" t="n"/>
      <c r="AF265" s="16" t="n"/>
      <c r="AG265" s="16" t="n"/>
      <c r="AH265" s="16" t="n"/>
      <c r="AI265" s="17" t="n"/>
      <c r="AJ265">
        <f>IF(AC265="",-9999-ROW()*0.0000001,AC265-ROW()*0.0000001)</f>
        <v/>
      </c>
      <c r="AK265">
        <f>IF(OR(AC265="",P265="",P265&gt;MAX_PRICE),-9999-ROW()*0.0000001,AC265-ROW()*0.0000001)</f>
        <v/>
      </c>
      <c r="AL265">
        <f>IF(AC265="",-9999-ROW()*0.0000001,X265*1000+AC265-ROW()*0.0000001)</f>
        <v/>
      </c>
      <c r="AM265">
        <f>IF(AC265="",-9999-ROW()*0.0000001,Y265*1000+AC265-ROW()*0.0000001)</f>
        <v/>
      </c>
      <c r="AN265">
        <f>IF(AND(OR(AD265="Maybe",AD265="Price Review"),AG265&lt;&gt;"Approved",AG265&lt;&gt;"Rejected"),IF(AC265="",0,AC265)-ROW()*0.0000001,-9999-ROW()*0.0000001)</f>
        <v/>
      </c>
      <c r="AO265" s="21" t="n"/>
      <c r="AP265" s="21" t="n"/>
      <c r="AQ265" s="22" t="n"/>
      <c r="AR265" s="22" t="n"/>
      <c r="AS265" s="16" t="n"/>
      <c r="AT265" s="22" t="n"/>
      <c r="AU265" s="22" t="n"/>
      <c r="AV265" s="22" t="n"/>
      <c r="AW265" s="18">
        <f>IF(OR(O265="",AV265=""),"",O265*AV265)</f>
        <v/>
      </c>
      <c r="AX265" s="16" t="n"/>
      <c r="AY265" s="16" t="n"/>
      <c r="AZ265" s="16" t="n"/>
      <c r="BA265" s="16" t="n"/>
      <c r="BB265" s="16" t="n"/>
      <c r="BC265" s="18" t="n"/>
      <c r="BD265" s="16" t="n"/>
      <c r="BE265" s="16">
        <f>IF(C265="","",IF(AND(ISNUMBER(P265),P265&gt;MAX_PRICE),"Price too high",IF(AND(ISNUMBER(AB265),AB265&lt;=2),"Quality risk",IF(AND(ISNUMBER(U265),U265&lt;=2),"Aesthetic mismatch",IF(AY265="High","Too fragile",IF(AND(ISNUMBER(R265),R265&lt;LOW_PROFIT_PCT),"Low profit",IF(AND(ISNUMBER(AT265),AT265&gt;MOQ_WARNING),"MOQ too high",IF(OR(AD265="Maybe",AD265="Price Review"),"Needs partner review",IF(AD265="Buy","Good candidate","")))))))))</f>
        <v/>
      </c>
      <c r="BF265" s="16" t="n"/>
      <c r="BG265" s="16" t="n"/>
      <c r="BH265" s="16" t="n"/>
      <c r="BI265" s="16" t="n"/>
      <c r="BJ265" s="16" t="n"/>
      <c r="BK265" s="16" t="n"/>
      <c r="BL265" s="16">
        <f>IF(C265="","",IF(AND(BG265="Yes",BH265="Yes",BI265="Yes",BJ265="Yes",BK265="Yes"),"Yes","No"))</f>
        <v/>
      </c>
      <c r="BM265" s="18" t="n"/>
      <c r="BN265" s="18" t="n"/>
      <c r="BO265" s="18">
        <f>IF(OR(BM265="",BN265=""),"",BM265+BN265)</f>
        <v/>
      </c>
      <c r="BP265" s="18" t="n"/>
      <c r="BQ265" s="18">
        <f>IF(OR(BP265="",BO265=""),"",BP265-BO265)</f>
        <v/>
      </c>
      <c r="BR265" s="19">
        <f>IF(OR(BP265="",BP265=0,BQ265=""),"",BQ265/BP265)</f>
        <v/>
      </c>
      <c r="BS265" s="17" t="n"/>
      <c r="BT265" s="22" t="n"/>
      <c r="BU265" s="22" t="n"/>
      <c r="BV265" s="16" t="n"/>
      <c r="BW265" s="16" t="n"/>
      <c r="BX265" s="22">
        <f>IF(OR(BT265="",BU265=""),"",BT265-BU265)</f>
        <v/>
      </c>
      <c r="BY265" s="16" t="n"/>
      <c r="BZ265" s="17" t="n"/>
      <c r="CA265" s="16" t="n"/>
      <c r="CB265" s="16" t="n"/>
    </row>
    <row r="266">
      <c r="A266" s="23">
        <f>IF(C266="","","AYN-"&amp;IFERROR(VLOOKUP(E266,CATEGORY_PREFIX_TABLE,2,FALSE),"OTH")&amp;"-"&amp;TEXT(ROW()-2,"0000"))</f>
        <v/>
      </c>
      <c r="B266" s="24" t="n"/>
      <c r="C266" s="23" t="n"/>
      <c r="D266" s="23" t="n"/>
      <c r="E266" s="23" t="n"/>
      <c r="F266" s="23" t="n"/>
      <c r="G266" s="23" t="n"/>
      <c r="H266" s="23" t="n"/>
      <c r="I266" s="23" t="n"/>
      <c r="J266" s="23" t="n"/>
      <c r="K266" s="25">
        <f>IF(I266="","",IF(J266="BDT",I266,IF(J266="USD",I266*USD_BDT,IF(J266="RMB",I266*RMB_BDT,""))))</f>
        <v/>
      </c>
      <c r="L266" s="25" t="n"/>
      <c r="M266" s="26" t="n"/>
      <c r="N266" s="25" t="n"/>
      <c r="O266" s="25">
        <f>IF(K266="","",K266+IFERROR(L266,0)+(K266*IF(M266="",CUSTOMS_PCT,M266))+IF(N266="",MISC_FEE,N266))</f>
        <v/>
      </c>
      <c r="P266" s="25">
        <f>IF(O266="","",ROUND(O266*(1+MARKUP_PCT),-1)-1)</f>
        <v/>
      </c>
      <c r="Q266" s="25">
        <f>IF(P266="","",P266-O266)</f>
        <v/>
      </c>
      <c r="R266" s="26">
        <f>IF(OR(P266="",P266=0),"",Q266/P266)</f>
        <v/>
      </c>
      <c r="S266" s="23" t="n"/>
      <c r="T266" s="23" t="n"/>
      <c r="U266" s="23" t="n"/>
      <c r="V266" s="23" t="n"/>
      <c r="W266" s="23" t="n"/>
      <c r="X266" s="23" t="n"/>
      <c r="Y266" s="23" t="n"/>
      <c r="Z266" s="23" t="n"/>
      <c r="AA266" s="23" t="n"/>
      <c r="AB266" s="23" t="n"/>
      <c r="AC266" s="27">
        <f>IF(COUNT(S266:AB266)&lt;10,"",(S266*W_FEMININE+T266*W_TREND+U266*W_AESTHETIC+V266*W_STYLE+W266*W_LIGHT+X266*W_REELS+Y266*W_GIFT+Z266*W_PRICEFIT+AA266*W_DEMAND+AB266*W_QUALITY)/5*100)</f>
        <v/>
      </c>
      <c r="AD266" s="23">
        <f>IF(P266="","",IF(P266&gt;HARD_REJECT_PRICE,"Reject",IF(P266&gt;MAX_PRICE,"Price Review",IF(AC266="","",IF(AND(AC266&gt;=BUY_THRESHOLD,OR(AB266&lt;=2,U266&lt;=2)),"Maybe",IF(AC266&gt;=BUY_THRESHOLD,"Buy",IF(AC266&gt;=MAYBE_THRESHOLD,"Maybe","Reject")))))))</f>
        <v/>
      </c>
      <c r="AE266" s="23" t="n"/>
      <c r="AF266" s="23" t="n"/>
      <c r="AG266" s="23" t="n"/>
      <c r="AH266" s="23" t="n"/>
      <c r="AI266" s="24" t="n"/>
      <c r="AJ266">
        <f>IF(AC266="",-9999-ROW()*0.0000001,AC266-ROW()*0.0000001)</f>
        <v/>
      </c>
      <c r="AK266">
        <f>IF(OR(AC266="",P266="",P266&gt;MAX_PRICE),-9999-ROW()*0.0000001,AC266-ROW()*0.0000001)</f>
        <v/>
      </c>
      <c r="AL266">
        <f>IF(AC266="",-9999-ROW()*0.0000001,X266*1000+AC266-ROW()*0.0000001)</f>
        <v/>
      </c>
      <c r="AM266">
        <f>IF(AC266="",-9999-ROW()*0.0000001,Y266*1000+AC266-ROW()*0.0000001)</f>
        <v/>
      </c>
      <c r="AN266">
        <f>IF(AND(OR(AD266="Maybe",AD266="Price Review"),AG266&lt;&gt;"Approved",AG266&lt;&gt;"Rejected"),IF(AC266="",0,AC266)-ROW()*0.0000001,-9999-ROW()*0.0000001)</f>
        <v/>
      </c>
      <c r="AO266" s="28" t="n"/>
      <c r="AP266" s="28" t="n"/>
      <c r="AQ266" s="29" t="n"/>
      <c r="AR266" s="29" t="n"/>
      <c r="AS266" s="23" t="n"/>
      <c r="AT266" s="29" t="n"/>
      <c r="AU266" s="29" t="n"/>
      <c r="AV266" s="29" t="n"/>
      <c r="AW266" s="25">
        <f>IF(OR(O266="",AV266=""),"",O266*AV266)</f>
        <v/>
      </c>
      <c r="AX266" s="23" t="n"/>
      <c r="AY266" s="23" t="n"/>
      <c r="AZ266" s="23" t="n"/>
      <c r="BA266" s="23" t="n"/>
      <c r="BB266" s="23" t="n"/>
      <c r="BC266" s="25" t="n"/>
      <c r="BD266" s="23" t="n"/>
      <c r="BE266" s="23">
        <f>IF(C266="","",IF(AND(ISNUMBER(P266),P266&gt;MAX_PRICE),"Price too high",IF(AND(ISNUMBER(AB266),AB266&lt;=2),"Quality risk",IF(AND(ISNUMBER(U266),U266&lt;=2),"Aesthetic mismatch",IF(AY266="High","Too fragile",IF(AND(ISNUMBER(R266),R266&lt;LOW_PROFIT_PCT),"Low profit",IF(AND(ISNUMBER(AT266),AT266&gt;MOQ_WARNING),"MOQ too high",IF(OR(AD266="Maybe",AD266="Price Review"),"Needs partner review",IF(AD266="Buy","Good candidate","")))))))))</f>
        <v/>
      </c>
      <c r="BF266" s="23" t="n"/>
      <c r="BG266" s="23" t="n"/>
      <c r="BH266" s="23" t="n"/>
      <c r="BI266" s="23" t="n"/>
      <c r="BJ266" s="23" t="n"/>
      <c r="BK266" s="23" t="n"/>
      <c r="BL266" s="23">
        <f>IF(C266="","",IF(AND(BG266="Yes",BH266="Yes",BI266="Yes",BJ266="Yes",BK266="Yes"),"Yes","No"))</f>
        <v/>
      </c>
      <c r="BM266" s="25" t="n"/>
      <c r="BN266" s="25" t="n"/>
      <c r="BO266" s="25">
        <f>IF(OR(BM266="",BN266=""),"",BM266+BN266)</f>
        <v/>
      </c>
      <c r="BP266" s="25" t="n"/>
      <c r="BQ266" s="25">
        <f>IF(OR(BP266="",BO266=""),"",BP266-BO266)</f>
        <v/>
      </c>
      <c r="BR266" s="26">
        <f>IF(OR(BP266="",BP266=0,BQ266=""),"",BQ266/BP266)</f>
        <v/>
      </c>
      <c r="BS266" s="24" t="n"/>
      <c r="BT266" s="29" t="n"/>
      <c r="BU266" s="29" t="n"/>
      <c r="BV266" s="23" t="n"/>
      <c r="BW266" s="23" t="n"/>
      <c r="BX266" s="29">
        <f>IF(OR(BT266="",BU266=""),"",BT266-BU266)</f>
        <v/>
      </c>
      <c r="BY266" s="23" t="n"/>
      <c r="BZ266" s="24" t="n"/>
      <c r="CA266" s="23" t="n"/>
      <c r="CB266" s="23" t="n"/>
    </row>
    <row r="267">
      <c r="A267" s="16">
        <f>IF(C267="","","AYN-"&amp;IFERROR(VLOOKUP(E267,CATEGORY_PREFIX_TABLE,2,FALSE),"OTH")&amp;"-"&amp;TEXT(ROW()-2,"0000"))</f>
        <v/>
      </c>
      <c r="B267" s="17" t="n"/>
      <c r="C267" s="16" t="n"/>
      <c r="D267" s="16" t="n"/>
      <c r="E267" s="16" t="n"/>
      <c r="F267" s="16" t="n"/>
      <c r="G267" s="16" t="n"/>
      <c r="H267" s="16" t="n"/>
      <c r="I267" s="16" t="n"/>
      <c r="J267" s="16" t="n"/>
      <c r="K267" s="18">
        <f>IF(I267="","",IF(J267="BDT",I267,IF(J267="USD",I267*USD_BDT,IF(J267="RMB",I267*RMB_BDT,""))))</f>
        <v/>
      </c>
      <c r="L267" s="18" t="n"/>
      <c r="M267" s="19" t="n"/>
      <c r="N267" s="18" t="n"/>
      <c r="O267" s="18">
        <f>IF(K267="","",K267+IFERROR(L267,0)+(K267*IF(M267="",CUSTOMS_PCT,M267))+IF(N267="",MISC_FEE,N267))</f>
        <v/>
      </c>
      <c r="P267" s="18">
        <f>IF(O267="","",ROUND(O267*(1+MARKUP_PCT),-1)-1)</f>
        <v/>
      </c>
      <c r="Q267" s="18">
        <f>IF(P267="","",P267-O267)</f>
        <v/>
      </c>
      <c r="R267" s="19">
        <f>IF(OR(P267="",P267=0),"",Q267/P267)</f>
        <v/>
      </c>
      <c r="S267" s="16" t="n"/>
      <c r="T267" s="16" t="n"/>
      <c r="U267" s="16" t="n"/>
      <c r="V267" s="16" t="n"/>
      <c r="W267" s="16" t="n"/>
      <c r="X267" s="16" t="n"/>
      <c r="Y267" s="16" t="n"/>
      <c r="Z267" s="16" t="n"/>
      <c r="AA267" s="16" t="n"/>
      <c r="AB267" s="16" t="n"/>
      <c r="AC267" s="20">
        <f>IF(COUNT(S267:AB267)&lt;10,"",(S267*W_FEMININE+T267*W_TREND+U267*W_AESTHETIC+V267*W_STYLE+W267*W_LIGHT+X267*W_REELS+Y267*W_GIFT+Z267*W_PRICEFIT+AA267*W_DEMAND+AB267*W_QUALITY)/5*100)</f>
        <v/>
      </c>
      <c r="AD267" s="16">
        <f>IF(P267="","",IF(P267&gt;HARD_REJECT_PRICE,"Reject",IF(P267&gt;MAX_PRICE,"Price Review",IF(AC267="","",IF(AND(AC267&gt;=BUY_THRESHOLD,OR(AB267&lt;=2,U267&lt;=2)),"Maybe",IF(AC267&gt;=BUY_THRESHOLD,"Buy",IF(AC267&gt;=MAYBE_THRESHOLD,"Maybe","Reject")))))))</f>
        <v/>
      </c>
      <c r="AE267" s="16" t="n"/>
      <c r="AF267" s="16" t="n"/>
      <c r="AG267" s="16" t="n"/>
      <c r="AH267" s="16" t="n"/>
      <c r="AI267" s="17" t="n"/>
      <c r="AJ267">
        <f>IF(AC267="",-9999-ROW()*0.0000001,AC267-ROW()*0.0000001)</f>
        <v/>
      </c>
      <c r="AK267">
        <f>IF(OR(AC267="",P267="",P267&gt;MAX_PRICE),-9999-ROW()*0.0000001,AC267-ROW()*0.0000001)</f>
        <v/>
      </c>
      <c r="AL267">
        <f>IF(AC267="",-9999-ROW()*0.0000001,X267*1000+AC267-ROW()*0.0000001)</f>
        <v/>
      </c>
      <c r="AM267">
        <f>IF(AC267="",-9999-ROW()*0.0000001,Y267*1000+AC267-ROW()*0.0000001)</f>
        <v/>
      </c>
      <c r="AN267">
        <f>IF(AND(OR(AD267="Maybe",AD267="Price Review"),AG267&lt;&gt;"Approved",AG267&lt;&gt;"Rejected"),IF(AC267="",0,AC267)-ROW()*0.0000001,-9999-ROW()*0.0000001)</f>
        <v/>
      </c>
      <c r="AO267" s="21" t="n"/>
      <c r="AP267" s="21" t="n"/>
      <c r="AQ267" s="22" t="n"/>
      <c r="AR267" s="22" t="n"/>
      <c r="AS267" s="16" t="n"/>
      <c r="AT267" s="22" t="n"/>
      <c r="AU267" s="22" t="n"/>
      <c r="AV267" s="22" t="n"/>
      <c r="AW267" s="18">
        <f>IF(OR(O267="",AV267=""),"",O267*AV267)</f>
        <v/>
      </c>
      <c r="AX267" s="16" t="n"/>
      <c r="AY267" s="16" t="n"/>
      <c r="AZ267" s="16" t="n"/>
      <c r="BA267" s="16" t="n"/>
      <c r="BB267" s="16" t="n"/>
      <c r="BC267" s="18" t="n"/>
      <c r="BD267" s="16" t="n"/>
      <c r="BE267" s="16">
        <f>IF(C267="","",IF(AND(ISNUMBER(P267),P267&gt;MAX_PRICE),"Price too high",IF(AND(ISNUMBER(AB267),AB267&lt;=2),"Quality risk",IF(AND(ISNUMBER(U267),U267&lt;=2),"Aesthetic mismatch",IF(AY267="High","Too fragile",IF(AND(ISNUMBER(R267),R267&lt;LOW_PROFIT_PCT),"Low profit",IF(AND(ISNUMBER(AT267),AT267&gt;MOQ_WARNING),"MOQ too high",IF(OR(AD267="Maybe",AD267="Price Review"),"Needs partner review",IF(AD267="Buy","Good candidate","")))))))))</f>
        <v/>
      </c>
      <c r="BF267" s="16" t="n"/>
      <c r="BG267" s="16" t="n"/>
      <c r="BH267" s="16" t="n"/>
      <c r="BI267" s="16" t="n"/>
      <c r="BJ267" s="16" t="n"/>
      <c r="BK267" s="16" t="n"/>
      <c r="BL267" s="16">
        <f>IF(C267="","",IF(AND(BG267="Yes",BH267="Yes",BI267="Yes",BJ267="Yes",BK267="Yes"),"Yes","No"))</f>
        <v/>
      </c>
      <c r="BM267" s="18" t="n"/>
      <c r="BN267" s="18" t="n"/>
      <c r="BO267" s="18">
        <f>IF(OR(BM267="",BN267=""),"",BM267+BN267)</f>
        <v/>
      </c>
      <c r="BP267" s="18" t="n"/>
      <c r="BQ267" s="18">
        <f>IF(OR(BP267="",BO267=""),"",BP267-BO267)</f>
        <v/>
      </c>
      <c r="BR267" s="19">
        <f>IF(OR(BP267="",BP267=0,BQ267=""),"",BQ267/BP267)</f>
        <v/>
      </c>
      <c r="BS267" s="17" t="n"/>
      <c r="BT267" s="22" t="n"/>
      <c r="BU267" s="22" t="n"/>
      <c r="BV267" s="16" t="n"/>
      <c r="BW267" s="16" t="n"/>
      <c r="BX267" s="22">
        <f>IF(OR(BT267="",BU267=""),"",BT267-BU267)</f>
        <v/>
      </c>
      <c r="BY267" s="16" t="n"/>
      <c r="BZ267" s="17" t="n"/>
      <c r="CA267" s="16" t="n"/>
      <c r="CB267" s="16" t="n"/>
    </row>
    <row r="268">
      <c r="A268" s="23">
        <f>IF(C268="","","AYN-"&amp;IFERROR(VLOOKUP(E268,CATEGORY_PREFIX_TABLE,2,FALSE),"OTH")&amp;"-"&amp;TEXT(ROW()-2,"0000"))</f>
        <v/>
      </c>
      <c r="B268" s="24" t="n"/>
      <c r="C268" s="23" t="n"/>
      <c r="D268" s="23" t="n"/>
      <c r="E268" s="23" t="n"/>
      <c r="F268" s="23" t="n"/>
      <c r="G268" s="23" t="n"/>
      <c r="H268" s="23" t="n"/>
      <c r="I268" s="23" t="n"/>
      <c r="J268" s="23" t="n"/>
      <c r="K268" s="25">
        <f>IF(I268="","",IF(J268="BDT",I268,IF(J268="USD",I268*USD_BDT,IF(J268="RMB",I268*RMB_BDT,""))))</f>
        <v/>
      </c>
      <c r="L268" s="25" t="n"/>
      <c r="M268" s="26" t="n"/>
      <c r="N268" s="25" t="n"/>
      <c r="O268" s="25">
        <f>IF(K268="","",K268+IFERROR(L268,0)+(K268*IF(M268="",CUSTOMS_PCT,M268))+IF(N268="",MISC_FEE,N268))</f>
        <v/>
      </c>
      <c r="P268" s="25">
        <f>IF(O268="","",ROUND(O268*(1+MARKUP_PCT),-1)-1)</f>
        <v/>
      </c>
      <c r="Q268" s="25">
        <f>IF(P268="","",P268-O268)</f>
        <v/>
      </c>
      <c r="R268" s="26">
        <f>IF(OR(P268="",P268=0),"",Q268/P268)</f>
        <v/>
      </c>
      <c r="S268" s="23" t="n"/>
      <c r="T268" s="23" t="n"/>
      <c r="U268" s="23" t="n"/>
      <c r="V268" s="23" t="n"/>
      <c r="W268" s="23" t="n"/>
      <c r="X268" s="23" t="n"/>
      <c r="Y268" s="23" t="n"/>
      <c r="Z268" s="23" t="n"/>
      <c r="AA268" s="23" t="n"/>
      <c r="AB268" s="23" t="n"/>
      <c r="AC268" s="27">
        <f>IF(COUNT(S268:AB268)&lt;10,"",(S268*W_FEMININE+T268*W_TREND+U268*W_AESTHETIC+V268*W_STYLE+W268*W_LIGHT+X268*W_REELS+Y268*W_GIFT+Z268*W_PRICEFIT+AA268*W_DEMAND+AB268*W_QUALITY)/5*100)</f>
        <v/>
      </c>
      <c r="AD268" s="23">
        <f>IF(P268="","",IF(P268&gt;HARD_REJECT_PRICE,"Reject",IF(P268&gt;MAX_PRICE,"Price Review",IF(AC268="","",IF(AND(AC268&gt;=BUY_THRESHOLD,OR(AB268&lt;=2,U268&lt;=2)),"Maybe",IF(AC268&gt;=BUY_THRESHOLD,"Buy",IF(AC268&gt;=MAYBE_THRESHOLD,"Maybe","Reject")))))))</f>
        <v/>
      </c>
      <c r="AE268" s="23" t="n"/>
      <c r="AF268" s="23" t="n"/>
      <c r="AG268" s="23" t="n"/>
      <c r="AH268" s="23" t="n"/>
      <c r="AI268" s="24" t="n"/>
      <c r="AJ268">
        <f>IF(AC268="",-9999-ROW()*0.0000001,AC268-ROW()*0.0000001)</f>
        <v/>
      </c>
      <c r="AK268">
        <f>IF(OR(AC268="",P268="",P268&gt;MAX_PRICE),-9999-ROW()*0.0000001,AC268-ROW()*0.0000001)</f>
        <v/>
      </c>
      <c r="AL268">
        <f>IF(AC268="",-9999-ROW()*0.0000001,X268*1000+AC268-ROW()*0.0000001)</f>
        <v/>
      </c>
      <c r="AM268">
        <f>IF(AC268="",-9999-ROW()*0.0000001,Y268*1000+AC268-ROW()*0.0000001)</f>
        <v/>
      </c>
      <c r="AN268">
        <f>IF(AND(OR(AD268="Maybe",AD268="Price Review"),AG268&lt;&gt;"Approved",AG268&lt;&gt;"Rejected"),IF(AC268="",0,AC268)-ROW()*0.0000001,-9999-ROW()*0.0000001)</f>
        <v/>
      </c>
      <c r="AO268" s="28" t="n"/>
      <c r="AP268" s="28" t="n"/>
      <c r="AQ268" s="29" t="n"/>
      <c r="AR268" s="29" t="n"/>
      <c r="AS268" s="23" t="n"/>
      <c r="AT268" s="29" t="n"/>
      <c r="AU268" s="29" t="n"/>
      <c r="AV268" s="29" t="n"/>
      <c r="AW268" s="25">
        <f>IF(OR(O268="",AV268=""),"",O268*AV268)</f>
        <v/>
      </c>
      <c r="AX268" s="23" t="n"/>
      <c r="AY268" s="23" t="n"/>
      <c r="AZ268" s="23" t="n"/>
      <c r="BA268" s="23" t="n"/>
      <c r="BB268" s="23" t="n"/>
      <c r="BC268" s="25" t="n"/>
      <c r="BD268" s="23" t="n"/>
      <c r="BE268" s="23">
        <f>IF(C268="","",IF(AND(ISNUMBER(P268),P268&gt;MAX_PRICE),"Price too high",IF(AND(ISNUMBER(AB268),AB268&lt;=2),"Quality risk",IF(AND(ISNUMBER(U268),U268&lt;=2),"Aesthetic mismatch",IF(AY268="High","Too fragile",IF(AND(ISNUMBER(R268),R268&lt;LOW_PROFIT_PCT),"Low profit",IF(AND(ISNUMBER(AT268),AT268&gt;MOQ_WARNING),"MOQ too high",IF(OR(AD268="Maybe",AD268="Price Review"),"Needs partner review",IF(AD268="Buy","Good candidate","")))))))))</f>
        <v/>
      </c>
      <c r="BF268" s="23" t="n"/>
      <c r="BG268" s="23" t="n"/>
      <c r="BH268" s="23" t="n"/>
      <c r="BI268" s="23" t="n"/>
      <c r="BJ268" s="23" t="n"/>
      <c r="BK268" s="23" t="n"/>
      <c r="BL268" s="23">
        <f>IF(C268="","",IF(AND(BG268="Yes",BH268="Yes",BI268="Yes",BJ268="Yes",BK268="Yes"),"Yes","No"))</f>
        <v/>
      </c>
      <c r="BM268" s="25" t="n"/>
      <c r="BN268" s="25" t="n"/>
      <c r="BO268" s="25">
        <f>IF(OR(BM268="",BN268=""),"",BM268+BN268)</f>
        <v/>
      </c>
      <c r="BP268" s="25" t="n"/>
      <c r="BQ268" s="25">
        <f>IF(OR(BP268="",BO268=""),"",BP268-BO268)</f>
        <v/>
      </c>
      <c r="BR268" s="26">
        <f>IF(OR(BP268="",BP268=0,BQ268=""),"",BQ268/BP268)</f>
        <v/>
      </c>
      <c r="BS268" s="24" t="n"/>
      <c r="BT268" s="29" t="n"/>
      <c r="BU268" s="29" t="n"/>
      <c r="BV268" s="23" t="n"/>
      <c r="BW268" s="23" t="n"/>
      <c r="BX268" s="29">
        <f>IF(OR(BT268="",BU268=""),"",BT268-BU268)</f>
        <v/>
      </c>
      <c r="BY268" s="23" t="n"/>
      <c r="BZ268" s="24" t="n"/>
      <c r="CA268" s="23" t="n"/>
      <c r="CB268" s="23" t="n"/>
    </row>
    <row r="269">
      <c r="A269" s="16">
        <f>IF(C269="","","AYN-"&amp;IFERROR(VLOOKUP(E269,CATEGORY_PREFIX_TABLE,2,FALSE),"OTH")&amp;"-"&amp;TEXT(ROW()-2,"0000"))</f>
        <v/>
      </c>
      <c r="B269" s="17" t="n"/>
      <c r="C269" s="16" t="n"/>
      <c r="D269" s="16" t="n"/>
      <c r="E269" s="16" t="n"/>
      <c r="F269" s="16" t="n"/>
      <c r="G269" s="16" t="n"/>
      <c r="H269" s="16" t="n"/>
      <c r="I269" s="16" t="n"/>
      <c r="J269" s="16" t="n"/>
      <c r="K269" s="18">
        <f>IF(I269="","",IF(J269="BDT",I269,IF(J269="USD",I269*USD_BDT,IF(J269="RMB",I269*RMB_BDT,""))))</f>
        <v/>
      </c>
      <c r="L269" s="18" t="n"/>
      <c r="M269" s="19" t="n"/>
      <c r="N269" s="18" t="n"/>
      <c r="O269" s="18">
        <f>IF(K269="","",K269+IFERROR(L269,0)+(K269*IF(M269="",CUSTOMS_PCT,M269))+IF(N269="",MISC_FEE,N269))</f>
        <v/>
      </c>
      <c r="P269" s="18">
        <f>IF(O269="","",ROUND(O269*(1+MARKUP_PCT),-1)-1)</f>
        <v/>
      </c>
      <c r="Q269" s="18">
        <f>IF(P269="","",P269-O269)</f>
        <v/>
      </c>
      <c r="R269" s="19">
        <f>IF(OR(P269="",P269=0),"",Q269/P269)</f>
        <v/>
      </c>
      <c r="S269" s="16" t="n"/>
      <c r="T269" s="16" t="n"/>
      <c r="U269" s="16" t="n"/>
      <c r="V269" s="16" t="n"/>
      <c r="W269" s="16" t="n"/>
      <c r="X269" s="16" t="n"/>
      <c r="Y269" s="16" t="n"/>
      <c r="Z269" s="16" t="n"/>
      <c r="AA269" s="16" t="n"/>
      <c r="AB269" s="16" t="n"/>
      <c r="AC269" s="20">
        <f>IF(COUNT(S269:AB269)&lt;10,"",(S269*W_FEMININE+T269*W_TREND+U269*W_AESTHETIC+V269*W_STYLE+W269*W_LIGHT+X269*W_REELS+Y269*W_GIFT+Z269*W_PRICEFIT+AA269*W_DEMAND+AB269*W_QUALITY)/5*100)</f>
        <v/>
      </c>
      <c r="AD269" s="16">
        <f>IF(P269="","",IF(P269&gt;HARD_REJECT_PRICE,"Reject",IF(P269&gt;MAX_PRICE,"Price Review",IF(AC269="","",IF(AND(AC269&gt;=BUY_THRESHOLD,OR(AB269&lt;=2,U269&lt;=2)),"Maybe",IF(AC269&gt;=BUY_THRESHOLD,"Buy",IF(AC269&gt;=MAYBE_THRESHOLD,"Maybe","Reject")))))))</f>
        <v/>
      </c>
      <c r="AE269" s="16" t="n"/>
      <c r="AF269" s="16" t="n"/>
      <c r="AG269" s="16" t="n"/>
      <c r="AH269" s="16" t="n"/>
      <c r="AI269" s="17" t="n"/>
      <c r="AJ269">
        <f>IF(AC269="",-9999-ROW()*0.0000001,AC269-ROW()*0.0000001)</f>
        <v/>
      </c>
      <c r="AK269">
        <f>IF(OR(AC269="",P269="",P269&gt;MAX_PRICE),-9999-ROW()*0.0000001,AC269-ROW()*0.0000001)</f>
        <v/>
      </c>
      <c r="AL269">
        <f>IF(AC269="",-9999-ROW()*0.0000001,X269*1000+AC269-ROW()*0.0000001)</f>
        <v/>
      </c>
      <c r="AM269">
        <f>IF(AC269="",-9999-ROW()*0.0000001,Y269*1000+AC269-ROW()*0.0000001)</f>
        <v/>
      </c>
      <c r="AN269">
        <f>IF(AND(OR(AD269="Maybe",AD269="Price Review"),AG269&lt;&gt;"Approved",AG269&lt;&gt;"Rejected"),IF(AC269="",0,AC269)-ROW()*0.0000001,-9999-ROW()*0.0000001)</f>
        <v/>
      </c>
      <c r="AO269" s="21" t="n"/>
      <c r="AP269" s="21" t="n"/>
      <c r="AQ269" s="22" t="n"/>
      <c r="AR269" s="22" t="n"/>
      <c r="AS269" s="16" t="n"/>
      <c r="AT269" s="22" t="n"/>
      <c r="AU269" s="22" t="n"/>
      <c r="AV269" s="22" t="n"/>
      <c r="AW269" s="18">
        <f>IF(OR(O269="",AV269=""),"",O269*AV269)</f>
        <v/>
      </c>
      <c r="AX269" s="16" t="n"/>
      <c r="AY269" s="16" t="n"/>
      <c r="AZ269" s="16" t="n"/>
      <c r="BA269" s="16" t="n"/>
      <c r="BB269" s="16" t="n"/>
      <c r="BC269" s="18" t="n"/>
      <c r="BD269" s="16" t="n"/>
      <c r="BE269" s="16">
        <f>IF(C269="","",IF(AND(ISNUMBER(P269),P269&gt;MAX_PRICE),"Price too high",IF(AND(ISNUMBER(AB269),AB269&lt;=2),"Quality risk",IF(AND(ISNUMBER(U269),U269&lt;=2),"Aesthetic mismatch",IF(AY269="High","Too fragile",IF(AND(ISNUMBER(R269),R269&lt;LOW_PROFIT_PCT),"Low profit",IF(AND(ISNUMBER(AT269),AT269&gt;MOQ_WARNING),"MOQ too high",IF(OR(AD269="Maybe",AD269="Price Review"),"Needs partner review",IF(AD269="Buy","Good candidate","")))))))))</f>
        <v/>
      </c>
      <c r="BF269" s="16" t="n"/>
      <c r="BG269" s="16" t="n"/>
      <c r="BH269" s="16" t="n"/>
      <c r="BI269" s="16" t="n"/>
      <c r="BJ269" s="16" t="n"/>
      <c r="BK269" s="16" t="n"/>
      <c r="BL269" s="16">
        <f>IF(C269="","",IF(AND(BG269="Yes",BH269="Yes",BI269="Yes",BJ269="Yes",BK269="Yes"),"Yes","No"))</f>
        <v/>
      </c>
      <c r="BM269" s="18" t="n"/>
      <c r="BN269" s="18" t="n"/>
      <c r="BO269" s="18">
        <f>IF(OR(BM269="",BN269=""),"",BM269+BN269)</f>
        <v/>
      </c>
      <c r="BP269" s="18" t="n"/>
      <c r="BQ269" s="18">
        <f>IF(OR(BP269="",BO269=""),"",BP269-BO269)</f>
        <v/>
      </c>
      <c r="BR269" s="19">
        <f>IF(OR(BP269="",BP269=0,BQ269=""),"",BQ269/BP269)</f>
        <v/>
      </c>
      <c r="BS269" s="17" t="n"/>
      <c r="BT269" s="22" t="n"/>
      <c r="BU269" s="22" t="n"/>
      <c r="BV269" s="16" t="n"/>
      <c r="BW269" s="16" t="n"/>
      <c r="BX269" s="22">
        <f>IF(OR(BT269="",BU269=""),"",BT269-BU269)</f>
        <v/>
      </c>
      <c r="BY269" s="16" t="n"/>
      <c r="BZ269" s="17" t="n"/>
      <c r="CA269" s="16" t="n"/>
      <c r="CB269" s="16" t="n"/>
    </row>
    <row r="270">
      <c r="A270" s="23">
        <f>IF(C270="","","AYN-"&amp;IFERROR(VLOOKUP(E270,CATEGORY_PREFIX_TABLE,2,FALSE),"OTH")&amp;"-"&amp;TEXT(ROW()-2,"0000"))</f>
        <v/>
      </c>
      <c r="B270" s="24" t="n"/>
      <c r="C270" s="23" t="n"/>
      <c r="D270" s="23" t="n"/>
      <c r="E270" s="23" t="n"/>
      <c r="F270" s="23" t="n"/>
      <c r="G270" s="23" t="n"/>
      <c r="H270" s="23" t="n"/>
      <c r="I270" s="23" t="n"/>
      <c r="J270" s="23" t="n"/>
      <c r="K270" s="25">
        <f>IF(I270="","",IF(J270="BDT",I270,IF(J270="USD",I270*USD_BDT,IF(J270="RMB",I270*RMB_BDT,""))))</f>
        <v/>
      </c>
      <c r="L270" s="25" t="n"/>
      <c r="M270" s="26" t="n"/>
      <c r="N270" s="25" t="n"/>
      <c r="O270" s="25">
        <f>IF(K270="","",K270+IFERROR(L270,0)+(K270*IF(M270="",CUSTOMS_PCT,M270))+IF(N270="",MISC_FEE,N270))</f>
        <v/>
      </c>
      <c r="P270" s="25">
        <f>IF(O270="","",ROUND(O270*(1+MARKUP_PCT),-1)-1)</f>
        <v/>
      </c>
      <c r="Q270" s="25">
        <f>IF(P270="","",P270-O270)</f>
        <v/>
      </c>
      <c r="R270" s="26">
        <f>IF(OR(P270="",P270=0),"",Q270/P270)</f>
        <v/>
      </c>
      <c r="S270" s="23" t="n"/>
      <c r="T270" s="23" t="n"/>
      <c r="U270" s="23" t="n"/>
      <c r="V270" s="23" t="n"/>
      <c r="W270" s="23" t="n"/>
      <c r="X270" s="23" t="n"/>
      <c r="Y270" s="23" t="n"/>
      <c r="Z270" s="23" t="n"/>
      <c r="AA270" s="23" t="n"/>
      <c r="AB270" s="23" t="n"/>
      <c r="AC270" s="27">
        <f>IF(COUNT(S270:AB270)&lt;10,"",(S270*W_FEMININE+T270*W_TREND+U270*W_AESTHETIC+V270*W_STYLE+W270*W_LIGHT+X270*W_REELS+Y270*W_GIFT+Z270*W_PRICEFIT+AA270*W_DEMAND+AB270*W_QUALITY)/5*100)</f>
        <v/>
      </c>
      <c r="AD270" s="23">
        <f>IF(P270="","",IF(P270&gt;HARD_REJECT_PRICE,"Reject",IF(P270&gt;MAX_PRICE,"Price Review",IF(AC270="","",IF(AND(AC270&gt;=BUY_THRESHOLD,OR(AB270&lt;=2,U270&lt;=2)),"Maybe",IF(AC270&gt;=BUY_THRESHOLD,"Buy",IF(AC270&gt;=MAYBE_THRESHOLD,"Maybe","Reject")))))))</f>
        <v/>
      </c>
      <c r="AE270" s="23" t="n"/>
      <c r="AF270" s="23" t="n"/>
      <c r="AG270" s="23" t="n"/>
      <c r="AH270" s="23" t="n"/>
      <c r="AI270" s="24" t="n"/>
      <c r="AJ270">
        <f>IF(AC270="",-9999-ROW()*0.0000001,AC270-ROW()*0.0000001)</f>
        <v/>
      </c>
      <c r="AK270">
        <f>IF(OR(AC270="",P270="",P270&gt;MAX_PRICE),-9999-ROW()*0.0000001,AC270-ROW()*0.0000001)</f>
        <v/>
      </c>
      <c r="AL270">
        <f>IF(AC270="",-9999-ROW()*0.0000001,X270*1000+AC270-ROW()*0.0000001)</f>
        <v/>
      </c>
      <c r="AM270">
        <f>IF(AC270="",-9999-ROW()*0.0000001,Y270*1000+AC270-ROW()*0.0000001)</f>
        <v/>
      </c>
      <c r="AN270">
        <f>IF(AND(OR(AD270="Maybe",AD270="Price Review"),AG270&lt;&gt;"Approved",AG270&lt;&gt;"Rejected"),IF(AC270="",0,AC270)-ROW()*0.0000001,-9999-ROW()*0.0000001)</f>
        <v/>
      </c>
      <c r="AO270" s="28" t="n"/>
      <c r="AP270" s="28" t="n"/>
      <c r="AQ270" s="29" t="n"/>
      <c r="AR270" s="29" t="n"/>
      <c r="AS270" s="23" t="n"/>
      <c r="AT270" s="29" t="n"/>
      <c r="AU270" s="29" t="n"/>
      <c r="AV270" s="29" t="n"/>
      <c r="AW270" s="25">
        <f>IF(OR(O270="",AV270=""),"",O270*AV270)</f>
        <v/>
      </c>
      <c r="AX270" s="23" t="n"/>
      <c r="AY270" s="23" t="n"/>
      <c r="AZ270" s="23" t="n"/>
      <c r="BA270" s="23" t="n"/>
      <c r="BB270" s="23" t="n"/>
      <c r="BC270" s="25" t="n"/>
      <c r="BD270" s="23" t="n"/>
      <c r="BE270" s="23">
        <f>IF(C270="","",IF(AND(ISNUMBER(P270),P270&gt;MAX_PRICE),"Price too high",IF(AND(ISNUMBER(AB270),AB270&lt;=2),"Quality risk",IF(AND(ISNUMBER(U270),U270&lt;=2),"Aesthetic mismatch",IF(AY270="High","Too fragile",IF(AND(ISNUMBER(R270),R270&lt;LOW_PROFIT_PCT),"Low profit",IF(AND(ISNUMBER(AT270),AT270&gt;MOQ_WARNING),"MOQ too high",IF(OR(AD270="Maybe",AD270="Price Review"),"Needs partner review",IF(AD270="Buy","Good candidate","")))))))))</f>
        <v/>
      </c>
      <c r="BF270" s="23" t="n"/>
      <c r="BG270" s="23" t="n"/>
      <c r="BH270" s="23" t="n"/>
      <c r="BI270" s="23" t="n"/>
      <c r="BJ270" s="23" t="n"/>
      <c r="BK270" s="23" t="n"/>
      <c r="BL270" s="23">
        <f>IF(C270="","",IF(AND(BG270="Yes",BH270="Yes",BI270="Yes",BJ270="Yes",BK270="Yes"),"Yes","No"))</f>
        <v/>
      </c>
      <c r="BM270" s="25" t="n"/>
      <c r="BN270" s="25" t="n"/>
      <c r="BO270" s="25">
        <f>IF(OR(BM270="",BN270=""),"",BM270+BN270)</f>
        <v/>
      </c>
      <c r="BP270" s="25" t="n"/>
      <c r="BQ270" s="25">
        <f>IF(OR(BP270="",BO270=""),"",BP270-BO270)</f>
        <v/>
      </c>
      <c r="BR270" s="26">
        <f>IF(OR(BP270="",BP270=0,BQ270=""),"",BQ270/BP270)</f>
        <v/>
      </c>
      <c r="BS270" s="24" t="n"/>
      <c r="BT270" s="29" t="n"/>
      <c r="BU270" s="29" t="n"/>
      <c r="BV270" s="23" t="n"/>
      <c r="BW270" s="23" t="n"/>
      <c r="BX270" s="29">
        <f>IF(OR(BT270="",BU270=""),"",BT270-BU270)</f>
        <v/>
      </c>
      <c r="BY270" s="23" t="n"/>
      <c r="BZ270" s="24" t="n"/>
      <c r="CA270" s="23" t="n"/>
      <c r="CB270" s="23" t="n"/>
    </row>
    <row r="271">
      <c r="A271" s="16">
        <f>IF(C271="","","AYN-"&amp;IFERROR(VLOOKUP(E271,CATEGORY_PREFIX_TABLE,2,FALSE),"OTH")&amp;"-"&amp;TEXT(ROW()-2,"0000"))</f>
        <v/>
      </c>
      <c r="B271" s="17" t="n"/>
      <c r="C271" s="16" t="n"/>
      <c r="D271" s="16" t="n"/>
      <c r="E271" s="16" t="n"/>
      <c r="F271" s="16" t="n"/>
      <c r="G271" s="16" t="n"/>
      <c r="H271" s="16" t="n"/>
      <c r="I271" s="16" t="n"/>
      <c r="J271" s="16" t="n"/>
      <c r="K271" s="18">
        <f>IF(I271="","",IF(J271="BDT",I271,IF(J271="USD",I271*USD_BDT,IF(J271="RMB",I271*RMB_BDT,""))))</f>
        <v/>
      </c>
      <c r="L271" s="18" t="n"/>
      <c r="M271" s="19" t="n"/>
      <c r="N271" s="18" t="n"/>
      <c r="O271" s="18">
        <f>IF(K271="","",K271+IFERROR(L271,0)+(K271*IF(M271="",CUSTOMS_PCT,M271))+IF(N271="",MISC_FEE,N271))</f>
        <v/>
      </c>
      <c r="P271" s="18">
        <f>IF(O271="","",ROUND(O271*(1+MARKUP_PCT),-1)-1)</f>
        <v/>
      </c>
      <c r="Q271" s="18">
        <f>IF(P271="","",P271-O271)</f>
        <v/>
      </c>
      <c r="R271" s="19">
        <f>IF(OR(P271="",P271=0),"",Q271/P271)</f>
        <v/>
      </c>
      <c r="S271" s="16" t="n"/>
      <c r="T271" s="16" t="n"/>
      <c r="U271" s="16" t="n"/>
      <c r="V271" s="16" t="n"/>
      <c r="W271" s="16" t="n"/>
      <c r="X271" s="16" t="n"/>
      <c r="Y271" s="16" t="n"/>
      <c r="Z271" s="16" t="n"/>
      <c r="AA271" s="16" t="n"/>
      <c r="AB271" s="16" t="n"/>
      <c r="AC271" s="20">
        <f>IF(COUNT(S271:AB271)&lt;10,"",(S271*W_FEMININE+T271*W_TREND+U271*W_AESTHETIC+V271*W_STYLE+W271*W_LIGHT+X271*W_REELS+Y271*W_GIFT+Z271*W_PRICEFIT+AA271*W_DEMAND+AB271*W_QUALITY)/5*100)</f>
        <v/>
      </c>
      <c r="AD271" s="16">
        <f>IF(P271="","",IF(P271&gt;HARD_REJECT_PRICE,"Reject",IF(P271&gt;MAX_PRICE,"Price Review",IF(AC271="","",IF(AND(AC271&gt;=BUY_THRESHOLD,OR(AB271&lt;=2,U271&lt;=2)),"Maybe",IF(AC271&gt;=BUY_THRESHOLD,"Buy",IF(AC271&gt;=MAYBE_THRESHOLD,"Maybe","Reject")))))))</f>
        <v/>
      </c>
      <c r="AE271" s="16" t="n"/>
      <c r="AF271" s="16" t="n"/>
      <c r="AG271" s="16" t="n"/>
      <c r="AH271" s="16" t="n"/>
      <c r="AI271" s="17" t="n"/>
      <c r="AJ271">
        <f>IF(AC271="",-9999-ROW()*0.0000001,AC271-ROW()*0.0000001)</f>
        <v/>
      </c>
      <c r="AK271">
        <f>IF(OR(AC271="",P271="",P271&gt;MAX_PRICE),-9999-ROW()*0.0000001,AC271-ROW()*0.0000001)</f>
        <v/>
      </c>
      <c r="AL271">
        <f>IF(AC271="",-9999-ROW()*0.0000001,X271*1000+AC271-ROW()*0.0000001)</f>
        <v/>
      </c>
      <c r="AM271">
        <f>IF(AC271="",-9999-ROW()*0.0000001,Y271*1000+AC271-ROW()*0.0000001)</f>
        <v/>
      </c>
      <c r="AN271">
        <f>IF(AND(OR(AD271="Maybe",AD271="Price Review"),AG271&lt;&gt;"Approved",AG271&lt;&gt;"Rejected"),IF(AC271="",0,AC271)-ROW()*0.0000001,-9999-ROW()*0.0000001)</f>
        <v/>
      </c>
      <c r="AO271" s="21" t="n"/>
      <c r="AP271" s="21" t="n"/>
      <c r="AQ271" s="22" t="n"/>
      <c r="AR271" s="22" t="n"/>
      <c r="AS271" s="16" t="n"/>
      <c r="AT271" s="22" t="n"/>
      <c r="AU271" s="22" t="n"/>
      <c r="AV271" s="22" t="n"/>
      <c r="AW271" s="18">
        <f>IF(OR(O271="",AV271=""),"",O271*AV271)</f>
        <v/>
      </c>
      <c r="AX271" s="16" t="n"/>
      <c r="AY271" s="16" t="n"/>
      <c r="AZ271" s="16" t="n"/>
      <c r="BA271" s="16" t="n"/>
      <c r="BB271" s="16" t="n"/>
      <c r="BC271" s="18" t="n"/>
      <c r="BD271" s="16" t="n"/>
      <c r="BE271" s="16">
        <f>IF(C271="","",IF(AND(ISNUMBER(P271),P271&gt;MAX_PRICE),"Price too high",IF(AND(ISNUMBER(AB271),AB271&lt;=2),"Quality risk",IF(AND(ISNUMBER(U271),U271&lt;=2),"Aesthetic mismatch",IF(AY271="High","Too fragile",IF(AND(ISNUMBER(R271),R271&lt;LOW_PROFIT_PCT),"Low profit",IF(AND(ISNUMBER(AT271),AT271&gt;MOQ_WARNING),"MOQ too high",IF(OR(AD271="Maybe",AD271="Price Review"),"Needs partner review",IF(AD271="Buy","Good candidate","")))))))))</f>
        <v/>
      </c>
      <c r="BF271" s="16" t="n"/>
      <c r="BG271" s="16" t="n"/>
      <c r="BH271" s="16" t="n"/>
      <c r="BI271" s="16" t="n"/>
      <c r="BJ271" s="16" t="n"/>
      <c r="BK271" s="16" t="n"/>
      <c r="BL271" s="16">
        <f>IF(C271="","",IF(AND(BG271="Yes",BH271="Yes",BI271="Yes",BJ271="Yes",BK271="Yes"),"Yes","No"))</f>
        <v/>
      </c>
      <c r="BM271" s="18" t="n"/>
      <c r="BN271" s="18" t="n"/>
      <c r="BO271" s="18">
        <f>IF(OR(BM271="",BN271=""),"",BM271+BN271)</f>
        <v/>
      </c>
      <c r="BP271" s="18" t="n"/>
      <c r="BQ271" s="18">
        <f>IF(OR(BP271="",BO271=""),"",BP271-BO271)</f>
        <v/>
      </c>
      <c r="BR271" s="19">
        <f>IF(OR(BP271="",BP271=0,BQ271=""),"",BQ271/BP271)</f>
        <v/>
      </c>
      <c r="BS271" s="17" t="n"/>
      <c r="BT271" s="22" t="n"/>
      <c r="BU271" s="22" t="n"/>
      <c r="BV271" s="16" t="n"/>
      <c r="BW271" s="16" t="n"/>
      <c r="BX271" s="22">
        <f>IF(OR(BT271="",BU271=""),"",BT271-BU271)</f>
        <v/>
      </c>
      <c r="BY271" s="16" t="n"/>
      <c r="BZ271" s="17" t="n"/>
      <c r="CA271" s="16" t="n"/>
      <c r="CB271" s="16" t="n"/>
    </row>
    <row r="272">
      <c r="A272" s="23">
        <f>IF(C272="","","AYN-"&amp;IFERROR(VLOOKUP(E272,CATEGORY_PREFIX_TABLE,2,FALSE),"OTH")&amp;"-"&amp;TEXT(ROW()-2,"0000"))</f>
        <v/>
      </c>
      <c r="B272" s="24" t="n"/>
      <c r="C272" s="23" t="n"/>
      <c r="D272" s="23" t="n"/>
      <c r="E272" s="23" t="n"/>
      <c r="F272" s="23" t="n"/>
      <c r="G272" s="23" t="n"/>
      <c r="H272" s="23" t="n"/>
      <c r="I272" s="23" t="n"/>
      <c r="J272" s="23" t="n"/>
      <c r="K272" s="25">
        <f>IF(I272="","",IF(J272="BDT",I272,IF(J272="USD",I272*USD_BDT,IF(J272="RMB",I272*RMB_BDT,""))))</f>
        <v/>
      </c>
      <c r="L272" s="25" t="n"/>
      <c r="M272" s="26" t="n"/>
      <c r="N272" s="25" t="n"/>
      <c r="O272" s="25">
        <f>IF(K272="","",K272+IFERROR(L272,0)+(K272*IF(M272="",CUSTOMS_PCT,M272))+IF(N272="",MISC_FEE,N272))</f>
        <v/>
      </c>
      <c r="P272" s="25">
        <f>IF(O272="","",ROUND(O272*(1+MARKUP_PCT),-1)-1)</f>
        <v/>
      </c>
      <c r="Q272" s="25">
        <f>IF(P272="","",P272-O272)</f>
        <v/>
      </c>
      <c r="R272" s="26">
        <f>IF(OR(P272="",P272=0),"",Q272/P272)</f>
        <v/>
      </c>
      <c r="S272" s="23" t="n"/>
      <c r="T272" s="23" t="n"/>
      <c r="U272" s="23" t="n"/>
      <c r="V272" s="23" t="n"/>
      <c r="W272" s="23" t="n"/>
      <c r="X272" s="23" t="n"/>
      <c r="Y272" s="23" t="n"/>
      <c r="Z272" s="23" t="n"/>
      <c r="AA272" s="23" t="n"/>
      <c r="AB272" s="23" t="n"/>
      <c r="AC272" s="27">
        <f>IF(COUNT(S272:AB272)&lt;10,"",(S272*W_FEMININE+T272*W_TREND+U272*W_AESTHETIC+V272*W_STYLE+W272*W_LIGHT+X272*W_REELS+Y272*W_GIFT+Z272*W_PRICEFIT+AA272*W_DEMAND+AB272*W_QUALITY)/5*100)</f>
        <v/>
      </c>
      <c r="AD272" s="23">
        <f>IF(P272="","",IF(P272&gt;HARD_REJECT_PRICE,"Reject",IF(P272&gt;MAX_PRICE,"Price Review",IF(AC272="","",IF(AND(AC272&gt;=BUY_THRESHOLD,OR(AB272&lt;=2,U272&lt;=2)),"Maybe",IF(AC272&gt;=BUY_THRESHOLD,"Buy",IF(AC272&gt;=MAYBE_THRESHOLD,"Maybe","Reject")))))))</f>
        <v/>
      </c>
      <c r="AE272" s="23" t="n"/>
      <c r="AF272" s="23" t="n"/>
      <c r="AG272" s="23" t="n"/>
      <c r="AH272" s="23" t="n"/>
      <c r="AI272" s="24" t="n"/>
      <c r="AJ272">
        <f>IF(AC272="",-9999-ROW()*0.0000001,AC272-ROW()*0.0000001)</f>
        <v/>
      </c>
      <c r="AK272">
        <f>IF(OR(AC272="",P272="",P272&gt;MAX_PRICE),-9999-ROW()*0.0000001,AC272-ROW()*0.0000001)</f>
        <v/>
      </c>
      <c r="AL272">
        <f>IF(AC272="",-9999-ROW()*0.0000001,X272*1000+AC272-ROW()*0.0000001)</f>
        <v/>
      </c>
      <c r="AM272">
        <f>IF(AC272="",-9999-ROW()*0.0000001,Y272*1000+AC272-ROW()*0.0000001)</f>
        <v/>
      </c>
      <c r="AN272">
        <f>IF(AND(OR(AD272="Maybe",AD272="Price Review"),AG272&lt;&gt;"Approved",AG272&lt;&gt;"Rejected"),IF(AC272="",0,AC272)-ROW()*0.0000001,-9999-ROW()*0.0000001)</f>
        <v/>
      </c>
      <c r="AO272" s="28" t="n"/>
      <c r="AP272" s="28" t="n"/>
      <c r="AQ272" s="29" t="n"/>
      <c r="AR272" s="29" t="n"/>
      <c r="AS272" s="23" t="n"/>
      <c r="AT272" s="29" t="n"/>
      <c r="AU272" s="29" t="n"/>
      <c r="AV272" s="29" t="n"/>
      <c r="AW272" s="25">
        <f>IF(OR(O272="",AV272=""),"",O272*AV272)</f>
        <v/>
      </c>
      <c r="AX272" s="23" t="n"/>
      <c r="AY272" s="23" t="n"/>
      <c r="AZ272" s="23" t="n"/>
      <c r="BA272" s="23" t="n"/>
      <c r="BB272" s="23" t="n"/>
      <c r="BC272" s="25" t="n"/>
      <c r="BD272" s="23" t="n"/>
      <c r="BE272" s="23">
        <f>IF(C272="","",IF(AND(ISNUMBER(P272),P272&gt;MAX_PRICE),"Price too high",IF(AND(ISNUMBER(AB272),AB272&lt;=2),"Quality risk",IF(AND(ISNUMBER(U272),U272&lt;=2),"Aesthetic mismatch",IF(AY272="High","Too fragile",IF(AND(ISNUMBER(R272),R272&lt;LOW_PROFIT_PCT),"Low profit",IF(AND(ISNUMBER(AT272),AT272&gt;MOQ_WARNING),"MOQ too high",IF(OR(AD272="Maybe",AD272="Price Review"),"Needs partner review",IF(AD272="Buy","Good candidate","")))))))))</f>
        <v/>
      </c>
      <c r="BF272" s="23" t="n"/>
      <c r="BG272" s="23" t="n"/>
      <c r="BH272" s="23" t="n"/>
      <c r="BI272" s="23" t="n"/>
      <c r="BJ272" s="23" t="n"/>
      <c r="BK272" s="23" t="n"/>
      <c r="BL272" s="23">
        <f>IF(C272="","",IF(AND(BG272="Yes",BH272="Yes",BI272="Yes",BJ272="Yes",BK272="Yes"),"Yes","No"))</f>
        <v/>
      </c>
      <c r="BM272" s="25" t="n"/>
      <c r="BN272" s="25" t="n"/>
      <c r="BO272" s="25">
        <f>IF(OR(BM272="",BN272=""),"",BM272+BN272)</f>
        <v/>
      </c>
      <c r="BP272" s="25" t="n"/>
      <c r="BQ272" s="25">
        <f>IF(OR(BP272="",BO272=""),"",BP272-BO272)</f>
        <v/>
      </c>
      <c r="BR272" s="26">
        <f>IF(OR(BP272="",BP272=0,BQ272=""),"",BQ272/BP272)</f>
        <v/>
      </c>
      <c r="BS272" s="24" t="n"/>
      <c r="BT272" s="29" t="n"/>
      <c r="BU272" s="29" t="n"/>
      <c r="BV272" s="23" t="n"/>
      <c r="BW272" s="23" t="n"/>
      <c r="BX272" s="29">
        <f>IF(OR(BT272="",BU272=""),"",BT272-BU272)</f>
        <v/>
      </c>
      <c r="BY272" s="23" t="n"/>
      <c r="BZ272" s="24" t="n"/>
      <c r="CA272" s="23" t="n"/>
      <c r="CB272" s="23" t="n"/>
    </row>
    <row r="273">
      <c r="A273" s="16">
        <f>IF(C273="","","AYN-"&amp;IFERROR(VLOOKUP(E273,CATEGORY_PREFIX_TABLE,2,FALSE),"OTH")&amp;"-"&amp;TEXT(ROW()-2,"0000"))</f>
        <v/>
      </c>
      <c r="B273" s="17" t="n"/>
      <c r="C273" s="16" t="n"/>
      <c r="D273" s="16" t="n"/>
      <c r="E273" s="16" t="n"/>
      <c r="F273" s="16" t="n"/>
      <c r="G273" s="16" t="n"/>
      <c r="H273" s="16" t="n"/>
      <c r="I273" s="16" t="n"/>
      <c r="J273" s="16" t="n"/>
      <c r="K273" s="18">
        <f>IF(I273="","",IF(J273="BDT",I273,IF(J273="USD",I273*USD_BDT,IF(J273="RMB",I273*RMB_BDT,""))))</f>
        <v/>
      </c>
      <c r="L273" s="18" t="n"/>
      <c r="M273" s="19" t="n"/>
      <c r="N273" s="18" t="n"/>
      <c r="O273" s="18">
        <f>IF(K273="","",K273+IFERROR(L273,0)+(K273*IF(M273="",CUSTOMS_PCT,M273))+IF(N273="",MISC_FEE,N273))</f>
        <v/>
      </c>
      <c r="P273" s="18">
        <f>IF(O273="","",ROUND(O273*(1+MARKUP_PCT),-1)-1)</f>
        <v/>
      </c>
      <c r="Q273" s="18">
        <f>IF(P273="","",P273-O273)</f>
        <v/>
      </c>
      <c r="R273" s="19">
        <f>IF(OR(P273="",P273=0),"",Q273/P273)</f>
        <v/>
      </c>
      <c r="S273" s="16" t="n"/>
      <c r="T273" s="16" t="n"/>
      <c r="U273" s="16" t="n"/>
      <c r="V273" s="16" t="n"/>
      <c r="W273" s="16" t="n"/>
      <c r="X273" s="16" t="n"/>
      <c r="Y273" s="16" t="n"/>
      <c r="Z273" s="16" t="n"/>
      <c r="AA273" s="16" t="n"/>
      <c r="AB273" s="16" t="n"/>
      <c r="AC273" s="20">
        <f>IF(COUNT(S273:AB273)&lt;10,"",(S273*W_FEMININE+T273*W_TREND+U273*W_AESTHETIC+V273*W_STYLE+W273*W_LIGHT+X273*W_REELS+Y273*W_GIFT+Z273*W_PRICEFIT+AA273*W_DEMAND+AB273*W_QUALITY)/5*100)</f>
        <v/>
      </c>
      <c r="AD273" s="16">
        <f>IF(P273="","",IF(P273&gt;HARD_REJECT_PRICE,"Reject",IF(P273&gt;MAX_PRICE,"Price Review",IF(AC273="","",IF(AND(AC273&gt;=BUY_THRESHOLD,OR(AB273&lt;=2,U273&lt;=2)),"Maybe",IF(AC273&gt;=BUY_THRESHOLD,"Buy",IF(AC273&gt;=MAYBE_THRESHOLD,"Maybe","Reject")))))))</f>
        <v/>
      </c>
      <c r="AE273" s="16" t="n"/>
      <c r="AF273" s="16" t="n"/>
      <c r="AG273" s="16" t="n"/>
      <c r="AH273" s="16" t="n"/>
      <c r="AI273" s="17" t="n"/>
      <c r="AJ273">
        <f>IF(AC273="",-9999-ROW()*0.0000001,AC273-ROW()*0.0000001)</f>
        <v/>
      </c>
      <c r="AK273">
        <f>IF(OR(AC273="",P273="",P273&gt;MAX_PRICE),-9999-ROW()*0.0000001,AC273-ROW()*0.0000001)</f>
        <v/>
      </c>
      <c r="AL273">
        <f>IF(AC273="",-9999-ROW()*0.0000001,X273*1000+AC273-ROW()*0.0000001)</f>
        <v/>
      </c>
      <c r="AM273">
        <f>IF(AC273="",-9999-ROW()*0.0000001,Y273*1000+AC273-ROW()*0.0000001)</f>
        <v/>
      </c>
      <c r="AN273">
        <f>IF(AND(OR(AD273="Maybe",AD273="Price Review"),AG273&lt;&gt;"Approved",AG273&lt;&gt;"Rejected"),IF(AC273="",0,AC273)-ROW()*0.0000001,-9999-ROW()*0.0000001)</f>
        <v/>
      </c>
      <c r="AO273" s="21" t="n"/>
      <c r="AP273" s="21" t="n"/>
      <c r="AQ273" s="22" t="n"/>
      <c r="AR273" s="22" t="n"/>
      <c r="AS273" s="16" t="n"/>
      <c r="AT273" s="22" t="n"/>
      <c r="AU273" s="22" t="n"/>
      <c r="AV273" s="22" t="n"/>
      <c r="AW273" s="18">
        <f>IF(OR(O273="",AV273=""),"",O273*AV273)</f>
        <v/>
      </c>
      <c r="AX273" s="16" t="n"/>
      <c r="AY273" s="16" t="n"/>
      <c r="AZ273" s="16" t="n"/>
      <c r="BA273" s="16" t="n"/>
      <c r="BB273" s="16" t="n"/>
      <c r="BC273" s="18" t="n"/>
      <c r="BD273" s="16" t="n"/>
      <c r="BE273" s="16">
        <f>IF(C273="","",IF(AND(ISNUMBER(P273),P273&gt;MAX_PRICE),"Price too high",IF(AND(ISNUMBER(AB273),AB273&lt;=2),"Quality risk",IF(AND(ISNUMBER(U273),U273&lt;=2),"Aesthetic mismatch",IF(AY273="High","Too fragile",IF(AND(ISNUMBER(R273),R273&lt;LOW_PROFIT_PCT),"Low profit",IF(AND(ISNUMBER(AT273),AT273&gt;MOQ_WARNING),"MOQ too high",IF(OR(AD273="Maybe",AD273="Price Review"),"Needs partner review",IF(AD273="Buy","Good candidate","")))))))))</f>
        <v/>
      </c>
      <c r="BF273" s="16" t="n"/>
      <c r="BG273" s="16" t="n"/>
      <c r="BH273" s="16" t="n"/>
      <c r="BI273" s="16" t="n"/>
      <c r="BJ273" s="16" t="n"/>
      <c r="BK273" s="16" t="n"/>
      <c r="BL273" s="16">
        <f>IF(C273="","",IF(AND(BG273="Yes",BH273="Yes",BI273="Yes",BJ273="Yes",BK273="Yes"),"Yes","No"))</f>
        <v/>
      </c>
      <c r="BM273" s="18" t="n"/>
      <c r="BN273" s="18" t="n"/>
      <c r="BO273" s="18">
        <f>IF(OR(BM273="",BN273=""),"",BM273+BN273)</f>
        <v/>
      </c>
      <c r="BP273" s="18" t="n"/>
      <c r="BQ273" s="18">
        <f>IF(OR(BP273="",BO273=""),"",BP273-BO273)</f>
        <v/>
      </c>
      <c r="BR273" s="19">
        <f>IF(OR(BP273="",BP273=0,BQ273=""),"",BQ273/BP273)</f>
        <v/>
      </c>
      <c r="BS273" s="17" t="n"/>
      <c r="BT273" s="22" t="n"/>
      <c r="BU273" s="22" t="n"/>
      <c r="BV273" s="16" t="n"/>
      <c r="BW273" s="16" t="n"/>
      <c r="BX273" s="22">
        <f>IF(OR(BT273="",BU273=""),"",BT273-BU273)</f>
        <v/>
      </c>
      <c r="BY273" s="16" t="n"/>
      <c r="BZ273" s="17" t="n"/>
      <c r="CA273" s="16" t="n"/>
      <c r="CB273" s="16" t="n"/>
    </row>
    <row r="274">
      <c r="A274" s="23">
        <f>IF(C274="","","AYN-"&amp;IFERROR(VLOOKUP(E274,CATEGORY_PREFIX_TABLE,2,FALSE),"OTH")&amp;"-"&amp;TEXT(ROW()-2,"0000"))</f>
        <v/>
      </c>
      <c r="B274" s="24" t="n"/>
      <c r="C274" s="23" t="n"/>
      <c r="D274" s="23" t="n"/>
      <c r="E274" s="23" t="n"/>
      <c r="F274" s="23" t="n"/>
      <c r="G274" s="23" t="n"/>
      <c r="H274" s="23" t="n"/>
      <c r="I274" s="23" t="n"/>
      <c r="J274" s="23" t="n"/>
      <c r="K274" s="25">
        <f>IF(I274="","",IF(J274="BDT",I274,IF(J274="USD",I274*USD_BDT,IF(J274="RMB",I274*RMB_BDT,""))))</f>
        <v/>
      </c>
      <c r="L274" s="25" t="n"/>
      <c r="M274" s="26" t="n"/>
      <c r="N274" s="25" t="n"/>
      <c r="O274" s="25">
        <f>IF(K274="","",K274+IFERROR(L274,0)+(K274*IF(M274="",CUSTOMS_PCT,M274))+IF(N274="",MISC_FEE,N274))</f>
        <v/>
      </c>
      <c r="P274" s="25">
        <f>IF(O274="","",ROUND(O274*(1+MARKUP_PCT),-1)-1)</f>
        <v/>
      </c>
      <c r="Q274" s="25">
        <f>IF(P274="","",P274-O274)</f>
        <v/>
      </c>
      <c r="R274" s="26">
        <f>IF(OR(P274="",P274=0),"",Q274/P274)</f>
        <v/>
      </c>
      <c r="S274" s="23" t="n"/>
      <c r="T274" s="23" t="n"/>
      <c r="U274" s="23" t="n"/>
      <c r="V274" s="23" t="n"/>
      <c r="W274" s="23" t="n"/>
      <c r="X274" s="23" t="n"/>
      <c r="Y274" s="23" t="n"/>
      <c r="Z274" s="23" t="n"/>
      <c r="AA274" s="23" t="n"/>
      <c r="AB274" s="23" t="n"/>
      <c r="AC274" s="27">
        <f>IF(COUNT(S274:AB274)&lt;10,"",(S274*W_FEMININE+T274*W_TREND+U274*W_AESTHETIC+V274*W_STYLE+W274*W_LIGHT+X274*W_REELS+Y274*W_GIFT+Z274*W_PRICEFIT+AA274*W_DEMAND+AB274*W_QUALITY)/5*100)</f>
        <v/>
      </c>
      <c r="AD274" s="23">
        <f>IF(P274="","",IF(P274&gt;HARD_REJECT_PRICE,"Reject",IF(P274&gt;MAX_PRICE,"Price Review",IF(AC274="","",IF(AND(AC274&gt;=BUY_THRESHOLD,OR(AB274&lt;=2,U274&lt;=2)),"Maybe",IF(AC274&gt;=BUY_THRESHOLD,"Buy",IF(AC274&gt;=MAYBE_THRESHOLD,"Maybe","Reject")))))))</f>
        <v/>
      </c>
      <c r="AE274" s="23" t="n"/>
      <c r="AF274" s="23" t="n"/>
      <c r="AG274" s="23" t="n"/>
      <c r="AH274" s="23" t="n"/>
      <c r="AI274" s="24" t="n"/>
      <c r="AJ274">
        <f>IF(AC274="",-9999-ROW()*0.0000001,AC274-ROW()*0.0000001)</f>
        <v/>
      </c>
      <c r="AK274">
        <f>IF(OR(AC274="",P274="",P274&gt;MAX_PRICE),-9999-ROW()*0.0000001,AC274-ROW()*0.0000001)</f>
        <v/>
      </c>
      <c r="AL274">
        <f>IF(AC274="",-9999-ROW()*0.0000001,X274*1000+AC274-ROW()*0.0000001)</f>
        <v/>
      </c>
      <c r="AM274">
        <f>IF(AC274="",-9999-ROW()*0.0000001,Y274*1000+AC274-ROW()*0.0000001)</f>
        <v/>
      </c>
      <c r="AN274">
        <f>IF(AND(OR(AD274="Maybe",AD274="Price Review"),AG274&lt;&gt;"Approved",AG274&lt;&gt;"Rejected"),IF(AC274="",0,AC274)-ROW()*0.0000001,-9999-ROW()*0.0000001)</f>
        <v/>
      </c>
      <c r="AO274" s="28" t="n"/>
      <c r="AP274" s="28" t="n"/>
      <c r="AQ274" s="29" t="n"/>
      <c r="AR274" s="29" t="n"/>
      <c r="AS274" s="23" t="n"/>
      <c r="AT274" s="29" t="n"/>
      <c r="AU274" s="29" t="n"/>
      <c r="AV274" s="29" t="n"/>
      <c r="AW274" s="25">
        <f>IF(OR(O274="",AV274=""),"",O274*AV274)</f>
        <v/>
      </c>
      <c r="AX274" s="23" t="n"/>
      <c r="AY274" s="23" t="n"/>
      <c r="AZ274" s="23" t="n"/>
      <c r="BA274" s="23" t="n"/>
      <c r="BB274" s="23" t="n"/>
      <c r="BC274" s="25" t="n"/>
      <c r="BD274" s="23" t="n"/>
      <c r="BE274" s="23">
        <f>IF(C274="","",IF(AND(ISNUMBER(P274),P274&gt;MAX_PRICE),"Price too high",IF(AND(ISNUMBER(AB274),AB274&lt;=2),"Quality risk",IF(AND(ISNUMBER(U274),U274&lt;=2),"Aesthetic mismatch",IF(AY274="High","Too fragile",IF(AND(ISNUMBER(R274),R274&lt;LOW_PROFIT_PCT),"Low profit",IF(AND(ISNUMBER(AT274),AT274&gt;MOQ_WARNING),"MOQ too high",IF(OR(AD274="Maybe",AD274="Price Review"),"Needs partner review",IF(AD274="Buy","Good candidate","")))))))))</f>
        <v/>
      </c>
      <c r="BF274" s="23" t="n"/>
      <c r="BG274" s="23" t="n"/>
      <c r="BH274" s="23" t="n"/>
      <c r="BI274" s="23" t="n"/>
      <c r="BJ274" s="23" t="n"/>
      <c r="BK274" s="23" t="n"/>
      <c r="BL274" s="23">
        <f>IF(C274="","",IF(AND(BG274="Yes",BH274="Yes",BI274="Yes",BJ274="Yes",BK274="Yes"),"Yes","No"))</f>
        <v/>
      </c>
      <c r="BM274" s="25" t="n"/>
      <c r="BN274" s="25" t="n"/>
      <c r="BO274" s="25">
        <f>IF(OR(BM274="",BN274=""),"",BM274+BN274)</f>
        <v/>
      </c>
      <c r="BP274" s="25" t="n"/>
      <c r="BQ274" s="25">
        <f>IF(OR(BP274="",BO274=""),"",BP274-BO274)</f>
        <v/>
      </c>
      <c r="BR274" s="26">
        <f>IF(OR(BP274="",BP274=0,BQ274=""),"",BQ274/BP274)</f>
        <v/>
      </c>
      <c r="BS274" s="24" t="n"/>
      <c r="BT274" s="29" t="n"/>
      <c r="BU274" s="29" t="n"/>
      <c r="BV274" s="23" t="n"/>
      <c r="BW274" s="23" t="n"/>
      <c r="BX274" s="29">
        <f>IF(OR(BT274="",BU274=""),"",BT274-BU274)</f>
        <v/>
      </c>
      <c r="BY274" s="23" t="n"/>
      <c r="BZ274" s="24" t="n"/>
      <c r="CA274" s="23" t="n"/>
      <c r="CB274" s="23" t="n"/>
    </row>
    <row r="275">
      <c r="A275" s="16">
        <f>IF(C275="","","AYN-"&amp;IFERROR(VLOOKUP(E275,CATEGORY_PREFIX_TABLE,2,FALSE),"OTH")&amp;"-"&amp;TEXT(ROW()-2,"0000"))</f>
        <v/>
      </c>
      <c r="B275" s="17" t="n"/>
      <c r="C275" s="16" t="n"/>
      <c r="D275" s="16" t="n"/>
      <c r="E275" s="16" t="n"/>
      <c r="F275" s="16" t="n"/>
      <c r="G275" s="16" t="n"/>
      <c r="H275" s="16" t="n"/>
      <c r="I275" s="16" t="n"/>
      <c r="J275" s="16" t="n"/>
      <c r="K275" s="18">
        <f>IF(I275="","",IF(J275="BDT",I275,IF(J275="USD",I275*USD_BDT,IF(J275="RMB",I275*RMB_BDT,""))))</f>
        <v/>
      </c>
      <c r="L275" s="18" t="n"/>
      <c r="M275" s="19" t="n"/>
      <c r="N275" s="18" t="n"/>
      <c r="O275" s="18">
        <f>IF(K275="","",K275+IFERROR(L275,0)+(K275*IF(M275="",CUSTOMS_PCT,M275))+IF(N275="",MISC_FEE,N275))</f>
        <v/>
      </c>
      <c r="P275" s="18">
        <f>IF(O275="","",ROUND(O275*(1+MARKUP_PCT),-1)-1)</f>
        <v/>
      </c>
      <c r="Q275" s="18">
        <f>IF(P275="","",P275-O275)</f>
        <v/>
      </c>
      <c r="R275" s="19">
        <f>IF(OR(P275="",P275=0),"",Q275/P275)</f>
        <v/>
      </c>
      <c r="S275" s="16" t="n"/>
      <c r="T275" s="16" t="n"/>
      <c r="U275" s="16" t="n"/>
      <c r="V275" s="16" t="n"/>
      <c r="W275" s="16" t="n"/>
      <c r="X275" s="16" t="n"/>
      <c r="Y275" s="16" t="n"/>
      <c r="Z275" s="16" t="n"/>
      <c r="AA275" s="16" t="n"/>
      <c r="AB275" s="16" t="n"/>
      <c r="AC275" s="20">
        <f>IF(COUNT(S275:AB275)&lt;10,"",(S275*W_FEMININE+T275*W_TREND+U275*W_AESTHETIC+V275*W_STYLE+W275*W_LIGHT+X275*W_REELS+Y275*W_GIFT+Z275*W_PRICEFIT+AA275*W_DEMAND+AB275*W_QUALITY)/5*100)</f>
        <v/>
      </c>
      <c r="AD275" s="16">
        <f>IF(P275="","",IF(P275&gt;HARD_REJECT_PRICE,"Reject",IF(P275&gt;MAX_PRICE,"Price Review",IF(AC275="","",IF(AND(AC275&gt;=BUY_THRESHOLD,OR(AB275&lt;=2,U275&lt;=2)),"Maybe",IF(AC275&gt;=BUY_THRESHOLD,"Buy",IF(AC275&gt;=MAYBE_THRESHOLD,"Maybe","Reject")))))))</f>
        <v/>
      </c>
      <c r="AE275" s="16" t="n"/>
      <c r="AF275" s="16" t="n"/>
      <c r="AG275" s="16" t="n"/>
      <c r="AH275" s="16" t="n"/>
      <c r="AI275" s="17" t="n"/>
      <c r="AJ275">
        <f>IF(AC275="",-9999-ROW()*0.0000001,AC275-ROW()*0.0000001)</f>
        <v/>
      </c>
      <c r="AK275">
        <f>IF(OR(AC275="",P275="",P275&gt;MAX_PRICE),-9999-ROW()*0.0000001,AC275-ROW()*0.0000001)</f>
        <v/>
      </c>
      <c r="AL275">
        <f>IF(AC275="",-9999-ROW()*0.0000001,X275*1000+AC275-ROW()*0.0000001)</f>
        <v/>
      </c>
      <c r="AM275">
        <f>IF(AC275="",-9999-ROW()*0.0000001,Y275*1000+AC275-ROW()*0.0000001)</f>
        <v/>
      </c>
      <c r="AN275">
        <f>IF(AND(OR(AD275="Maybe",AD275="Price Review"),AG275&lt;&gt;"Approved",AG275&lt;&gt;"Rejected"),IF(AC275="",0,AC275)-ROW()*0.0000001,-9999-ROW()*0.0000001)</f>
        <v/>
      </c>
      <c r="AO275" s="21" t="n"/>
      <c r="AP275" s="21" t="n"/>
      <c r="AQ275" s="22" t="n"/>
      <c r="AR275" s="22" t="n"/>
      <c r="AS275" s="16" t="n"/>
      <c r="AT275" s="22" t="n"/>
      <c r="AU275" s="22" t="n"/>
      <c r="AV275" s="22" t="n"/>
      <c r="AW275" s="18">
        <f>IF(OR(O275="",AV275=""),"",O275*AV275)</f>
        <v/>
      </c>
      <c r="AX275" s="16" t="n"/>
      <c r="AY275" s="16" t="n"/>
      <c r="AZ275" s="16" t="n"/>
      <c r="BA275" s="16" t="n"/>
      <c r="BB275" s="16" t="n"/>
      <c r="BC275" s="18" t="n"/>
      <c r="BD275" s="16" t="n"/>
      <c r="BE275" s="16">
        <f>IF(C275="","",IF(AND(ISNUMBER(P275),P275&gt;MAX_PRICE),"Price too high",IF(AND(ISNUMBER(AB275),AB275&lt;=2),"Quality risk",IF(AND(ISNUMBER(U275),U275&lt;=2),"Aesthetic mismatch",IF(AY275="High","Too fragile",IF(AND(ISNUMBER(R275),R275&lt;LOW_PROFIT_PCT),"Low profit",IF(AND(ISNUMBER(AT275),AT275&gt;MOQ_WARNING),"MOQ too high",IF(OR(AD275="Maybe",AD275="Price Review"),"Needs partner review",IF(AD275="Buy","Good candidate","")))))))))</f>
        <v/>
      </c>
      <c r="BF275" s="16" t="n"/>
      <c r="BG275" s="16" t="n"/>
      <c r="BH275" s="16" t="n"/>
      <c r="BI275" s="16" t="n"/>
      <c r="BJ275" s="16" t="n"/>
      <c r="BK275" s="16" t="n"/>
      <c r="BL275" s="16">
        <f>IF(C275="","",IF(AND(BG275="Yes",BH275="Yes",BI275="Yes",BJ275="Yes",BK275="Yes"),"Yes","No"))</f>
        <v/>
      </c>
      <c r="BM275" s="18" t="n"/>
      <c r="BN275" s="18" t="n"/>
      <c r="BO275" s="18">
        <f>IF(OR(BM275="",BN275=""),"",BM275+BN275)</f>
        <v/>
      </c>
      <c r="BP275" s="18" t="n"/>
      <c r="BQ275" s="18">
        <f>IF(OR(BP275="",BO275=""),"",BP275-BO275)</f>
        <v/>
      </c>
      <c r="BR275" s="19">
        <f>IF(OR(BP275="",BP275=0,BQ275=""),"",BQ275/BP275)</f>
        <v/>
      </c>
      <c r="BS275" s="17" t="n"/>
      <c r="BT275" s="22" t="n"/>
      <c r="BU275" s="22" t="n"/>
      <c r="BV275" s="16" t="n"/>
      <c r="BW275" s="16" t="n"/>
      <c r="BX275" s="22">
        <f>IF(OR(BT275="",BU275=""),"",BT275-BU275)</f>
        <v/>
      </c>
      <c r="BY275" s="16" t="n"/>
      <c r="BZ275" s="17" t="n"/>
      <c r="CA275" s="16" t="n"/>
      <c r="CB275" s="16" t="n"/>
    </row>
    <row r="276">
      <c r="A276" s="23">
        <f>IF(C276="","","AYN-"&amp;IFERROR(VLOOKUP(E276,CATEGORY_PREFIX_TABLE,2,FALSE),"OTH")&amp;"-"&amp;TEXT(ROW()-2,"0000"))</f>
        <v/>
      </c>
      <c r="B276" s="24" t="n"/>
      <c r="C276" s="23" t="n"/>
      <c r="D276" s="23" t="n"/>
      <c r="E276" s="23" t="n"/>
      <c r="F276" s="23" t="n"/>
      <c r="G276" s="23" t="n"/>
      <c r="H276" s="23" t="n"/>
      <c r="I276" s="23" t="n"/>
      <c r="J276" s="23" t="n"/>
      <c r="K276" s="25">
        <f>IF(I276="","",IF(J276="BDT",I276,IF(J276="USD",I276*USD_BDT,IF(J276="RMB",I276*RMB_BDT,""))))</f>
        <v/>
      </c>
      <c r="L276" s="25" t="n"/>
      <c r="M276" s="26" t="n"/>
      <c r="N276" s="25" t="n"/>
      <c r="O276" s="25">
        <f>IF(K276="","",K276+IFERROR(L276,0)+(K276*IF(M276="",CUSTOMS_PCT,M276))+IF(N276="",MISC_FEE,N276))</f>
        <v/>
      </c>
      <c r="P276" s="25">
        <f>IF(O276="","",ROUND(O276*(1+MARKUP_PCT),-1)-1)</f>
        <v/>
      </c>
      <c r="Q276" s="25">
        <f>IF(P276="","",P276-O276)</f>
        <v/>
      </c>
      <c r="R276" s="26">
        <f>IF(OR(P276="",P276=0),"",Q276/P276)</f>
        <v/>
      </c>
      <c r="S276" s="23" t="n"/>
      <c r="T276" s="23" t="n"/>
      <c r="U276" s="23" t="n"/>
      <c r="V276" s="23" t="n"/>
      <c r="W276" s="23" t="n"/>
      <c r="X276" s="23" t="n"/>
      <c r="Y276" s="23" t="n"/>
      <c r="Z276" s="23" t="n"/>
      <c r="AA276" s="23" t="n"/>
      <c r="AB276" s="23" t="n"/>
      <c r="AC276" s="27">
        <f>IF(COUNT(S276:AB276)&lt;10,"",(S276*W_FEMININE+T276*W_TREND+U276*W_AESTHETIC+V276*W_STYLE+W276*W_LIGHT+X276*W_REELS+Y276*W_GIFT+Z276*W_PRICEFIT+AA276*W_DEMAND+AB276*W_QUALITY)/5*100)</f>
        <v/>
      </c>
      <c r="AD276" s="23">
        <f>IF(P276="","",IF(P276&gt;HARD_REJECT_PRICE,"Reject",IF(P276&gt;MAX_PRICE,"Price Review",IF(AC276="","",IF(AND(AC276&gt;=BUY_THRESHOLD,OR(AB276&lt;=2,U276&lt;=2)),"Maybe",IF(AC276&gt;=BUY_THRESHOLD,"Buy",IF(AC276&gt;=MAYBE_THRESHOLD,"Maybe","Reject")))))))</f>
        <v/>
      </c>
      <c r="AE276" s="23" t="n"/>
      <c r="AF276" s="23" t="n"/>
      <c r="AG276" s="23" t="n"/>
      <c r="AH276" s="23" t="n"/>
      <c r="AI276" s="24" t="n"/>
      <c r="AJ276">
        <f>IF(AC276="",-9999-ROW()*0.0000001,AC276-ROW()*0.0000001)</f>
        <v/>
      </c>
      <c r="AK276">
        <f>IF(OR(AC276="",P276="",P276&gt;MAX_PRICE),-9999-ROW()*0.0000001,AC276-ROW()*0.0000001)</f>
        <v/>
      </c>
      <c r="AL276">
        <f>IF(AC276="",-9999-ROW()*0.0000001,X276*1000+AC276-ROW()*0.0000001)</f>
        <v/>
      </c>
      <c r="AM276">
        <f>IF(AC276="",-9999-ROW()*0.0000001,Y276*1000+AC276-ROW()*0.0000001)</f>
        <v/>
      </c>
      <c r="AN276">
        <f>IF(AND(OR(AD276="Maybe",AD276="Price Review"),AG276&lt;&gt;"Approved",AG276&lt;&gt;"Rejected"),IF(AC276="",0,AC276)-ROW()*0.0000001,-9999-ROW()*0.0000001)</f>
        <v/>
      </c>
      <c r="AO276" s="28" t="n"/>
      <c r="AP276" s="28" t="n"/>
      <c r="AQ276" s="29" t="n"/>
      <c r="AR276" s="29" t="n"/>
      <c r="AS276" s="23" t="n"/>
      <c r="AT276" s="29" t="n"/>
      <c r="AU276" s="29" t="n"/>
      <c r="AV276" s="29" t="n"/>
      <c r="AW276" s="25">
        <f>IF(OR(O276="",AV276=""),"",O276*AV276)</f>
        <v/>
      </c>
      <c r="AX276" s="23" t="n"/>
      <c r="AY276" s="23" t="n"/>
      <c r="AZ276" s="23" t="n"/>
      <c r="BA276" s="23" t="n"/>
      <c r="BB276" s="23" t="n"/>
      <c r="BC276" s="25" t="n"/>
      <c r="BD276" s="23" t="n"/>
      <c r="BE276" s="23">
        <f>IF(C276="","",IF(AND(ISNUMBER(P276),P276&gt;MAX_PRICE),"Price too high",IF(AND(ISNUMBER(AB276),AB276&lt;=2),"Quality risk",IF(AND(ISNUMBER(U276),U276&lt;=2),"Aesthetic mismatch",IF(AY276="High","Too fragile",IF(AND(ISNUMBER(R276),R276&lt;LOW_PROFIT_PCT),"Low profit",IF(AND(ISNUMBER(AT276),AT276&gt;MOQ_WARNING),"MOQ too high",IF(OR(AD276="Maybe",AD276="Price Review"),"Needs partner review",IF(AD276="Buy","Good candidate","")))))))))</f>
        <v/>
      </c>
      <c r="BF276" s="23" t="n"/>
      <c r="BG276" s="23" t="n"/>
      <c r="BH276" s="23" t="n"/>
      <c r="BI276" s="23" t="n"/>
      <c r="BJ276" s="23" t="n"/>
      <c r="BK276" s="23" t="n"/>
      <c r="BL276" s="23">
        <f>IF(C276="","",IF(AND(BG276="Yes",BH276="Yes",BI276="Yes",BJ276="Yes",BK276="Yes"),"Yes","No"))</f>
        <v/>
      </c>
      <c r="BM276" s="25" t="n"/>
      <c r="BN276" s="25" t="n"/>
      <c r="BO276" s="25">
        <f>IF(OR(BM276="",BN276=""),"",BM276+BN276)</f>
        <v/>
      </c>
      <c r="BP276" s="25" t="n"/>
      <c r="BQ276" s="25">
        <f>IF(OR(BP276="",BO276=""),"",BP276-BO276)</f>
        <v/>
      </c>
      <c r="BR276" s="26">
        <f>IF(OR(BP276="",BP276=0,BQ276=""),"",BQ276/BP276)</f>
        <v/>
      </c>
      <c r="BS276" s="24" t="n"/>
      <c r="BT276" s="29" t="n"/>
      <c r="BU276" s="29" t="n"/>
      <c r="BV276" s="23" t="n"/>
      <c r="BW276" s="23" t="n"/>
      <c r="BX276" s="29">
        <f>IF(OR(BT276="",BU276=""),"",BT276-BU276)</f>
        <v/>
      </c>
      <c r="BY276" s="23" t="n"/>
      <c r="BZ276" s="24" t="n"/>
      <c r="CA276" s="23" t="n"/>
      <c r="CB276" s="23" t="n"/>
    </row>
    <row r="277">
      <c r="A277" s="16">
        <f>IF(C277="","","AYN-"&amp;IFERROR(VLOOKUP(E277,CATEGORY_PREFIX_TABLE,2,FALSE),"OTH")&amp;"-"&amp;TEXT(ROW()-2,"0000"))</f>
        <v/>
      </c>
      <c r="B277" s="17" t="n"/>
      <c r="C277" s="16" t="n"/>
      <c r="D277" s="16" t="n"/>
      <c r="E277" s="16" t="n"/>
      <c r="F277" s="16" t="n"/>
      <c r="G277" s="16" t="n"/>
      <c r="H277" s="16" t="n"/>
      <c r="I277" s="16" t="n"/>
      <c r="J277" s="16" t="n"/>
      <c r="K277" s="18">
        <f>IF(I277="","",IF(J277="BDT",I277,IF(J277="USD",I277*USD_BDT,IF(J277="RMB",I277*RMB_BDT,""))))</f>
        <v/>
      </c>
      <c r="L277" s="18" t="n"/>
      <c r="M277" s="19" t="n"/>
      <c r="N277" s="18" t="n"/>
      <c r="O277" s="18">
        <f>IF(K277="","",K277+IFERROR(L277,0)+(K277*IF(M277="",CUSTOMS_PCT,M277))+IF(N277="",MISC_FEE,N277))</f>
        <v/>
      </c>
      <c r="P277" s="18">
        <f>IF(O277="","",ROUND(O277*(1+MARKUP_PCT),-1)-1)</f>
        <v/>
      </c>
      <c r="Q277" s="18">
        <f>IF(P277="","",P277-O277)</f>
        <v/>
      </c>
      <c r="R277" s="19">
        <f>IF(OR(P277="",P277=0),"",Q277/P277)</f>
        <v/>
      </c>
      <c r="S277" s="16" t="n"/>
      <c r="T277" s="16" t="n"/>
      <c r="U277" s="16" t="n"/>
      <c r="V277" s="16" t="n"/>
      <c r="W277" s="16" t="n"/>
      <c r="X277" s="16" t="n"/>
      <c r="Y277" s="16" t="n"/>
      <c r="Z277" s="16" t="n"/>
      <c r="AA277" s="16" t="n"/>
      <c r="AB277" s="16" t="n"/>
      <c r="AC277" s="20">
        <f>IF(COUNT(S277:AB277)&lt;10,"",(S277*W_FEMININE+T277*W_TREND+U277*W_AESTHETIC+V277*W_STYLE+W277*W_LIGHT+X277*W_REELS+Y277*W_GIFT+Z277*W_PRICEFIT+AA277*W_DEMAND+AB277*W_QUALITY)/5*100)</f>
        <v/>
      </c>
      <c r="AD277" s="16">
        <f>IF(P277="","",IF(P277&gt;HARD_REJECT_PRICE,"Reject",IF(P277&gt;MAX_PRICE,"Price Review",IF(AC277="","",IF(AND(AC277&gt;=BUY_THRESHOLD,OR(AB277&lt;=2,U277&lt;=2)),"Maybe",IF(AC277&gt;=BUY_THRESHOLD,"Buy",IF(AC277&gt;=MAYBE_THRESHOLD,"Maybe","Reject")))))))</f>
        <v/>
      </c>
      <c r="AE277" s="16" t="n"/>
      <c r="AF277" s="16" t="n"/>
      <c r="AG277" s="16" t="n"/>
      <c r="AH277" s="16" t="n"/>
      <c r="AI277" s="17" t="n"/>
      <c r="AJ277">
        <f>IF(AC277="",-9999-ROW()*0.0000001,AC277-ROW()*0.0000001)</f>
        <v/>
      </c>
      <c r="AK277">
        <f>IF(OR(AC277="",P277="",P277&gt;MAX_PRICE),-9999-ROW()*0.0000001,AC277-ROW()*0.0000001)</f>
        <v/>
      </c>
      <c r="AL277">
        <f>IF(AC277="",-9999-ROW()*0.0000001,X277*1000+AC277-ROW()*0.0000001)</f>
        <v/>
      </c>
      <c r="AM277">
        <f>IF(AC277="",-9999-ROW()*0.0000001,Y277*1000+AC277-ROW()*0.0000001)</f>
        <v/>
      </c>
      <c r="AN277">
        <f>IF(AND(OR(AD277="Maybe",AD277="Price Review"),AG277&lt;&gt;"Approved",AG277&lt;&gt;"Rejected"),IF(AC277="",0,AC277)-ROW()*0.0000001,-9999-ROW()*0.0000001)</f>
        <v/>
      </c>
      <c r="AO277" s="21" t="n"/>
      <c r="AP277" s="21" t="n"/>
      <c r="AQ277" s="22" t="n"/>
      <c r="AR277" s="22" t="n"/>
      <c r="AS277" s="16" t="n"/>
      <c r="AT277" s="22" t="n"/>
      <c r="AU277" s="22" t="n"/>
      <c r="AV277" s="22" t="n"/>
      <c r="AW277" s="18">
        <f>IF(OR(O277="",AV277=""),"",O277*AV277)</f>
        <v/>
      </c>
      <c r="AX277" s="16" t="n"/>
      <c r="AY277" s="16" t="n"/>
      <c r="AZ277" s="16" t="n"/>
      <c r="BA277" s="16" t="n"/>
      <c r="BB277" s="16" t="n"/>
      <c r="BC277" s="18" t="n"/>
      <c r="BD277" s="16" t="n"/>
      <c r="BE277" s="16">
        <f>IF(C277="","",IF(AND(ISNUMBER(P277),P277&gt;MAX_PRICE),"Price too high",IF(AND(ISNUMBER(AB277),AB277&lt;=2),"Quality risk",IF(AND(ISNUMBER(U277),U277&lt;=2),"Aesthetic mismatch",IF(AY277="High","Too fragile",IF(AND(ISNUMBER(R277),R277&lt;LOW_PROFIT_PCT),"Low profit",IF(AND(ISNUMBER(AT277),AT277&gt;MOQ_WARNING),"MOQ too high",IF(OR(AD277="Maybe",AD277="Price Review"),"Needs partner review",IF(AD277="Buy","Good candidate","")))))))))</f>
        <v/>
      </c>
      <c r="BF277" s="16" t="n"/>
      <c r="BG277" s="16" t="n"/>
      <c r="BH277" s="16" t="n"/>
      <c r="BI277" s="16" t="n"/>
      <c r="BJ277" s="16" t="n"/>
      <c r="BK277" s="16" t="n"/>
      <c r="BL277" s="16">
        <f>IF(C277="","",IF(AND(BG277="Yes",BH277="Yes",BI277="Yes",BJ277="Yes",BK277="Yes"),"Yes","No"))</f>
        <v/>
      </c>
      <c r="BM277" s="18" t="n"/>
      <c r="BN277" s="18" t="n"/>
      <c r="BO277" s="18">
        <f>IF(OR(BM277="",BN277=""),"",BM277+BN277)</f>
        <v/>
      </c>
      <c r="BP277" s="18" t="n"/>
      <c r="BQ277" s="18">
        <f>IF(OR(BP277="",BO277=""),"",BP277-BO277)</f>
        <v/>
      </c>
      <c r="BR277" s="19">
        <f>IF(OR(BP277="",BP277=0,BQ277=""),"",BQ277/BP277)</f>
        <v/>
      </c>
      <c r="BS277" s="17" t="n"/>
      <c r="BT277" s="22" t="n"/>
      <c r="BU277" s="22" t="n"/>
      <c r="BV277" s="16" t="n"/>
      <c r="BW277" s="16" t="n"/>
      <c r="BX277" s="22">
        <f>IF(OR(BT277="",BU277=""),"",BT277-BU277)</f>
        <v/>
      </c>
      <c r="BY277" s="16" t="n"/>
      <c r="BZ277" s="17" t="n"/>
      <c r="CA277" s="16" t="n"/>
      <c r="CB277" s="16" t="n"/>
    </row>
    <row r="278">
      <c r="A278" s="23">
        <f>IF(C278="","","AYN-"&amp;IFERROR(VLOOKUP(E278,CATEGORY_PREFIX_TABLE,2,FALSE),"OTH")&amp;"-"&amp;TEXT(ROW()-2,"0000"))</f>
        <v/>
      </c>
      <c r="B278" s="24" t="n"/>
      <c r="C278" s="23" t="n"/>
      <c r="D278" s="23" t="n"/>
      <c r="E278" s="23" t="n"/>
      <c r="F278" s="23" t="n"/>
      <c r="G278" s="23" t="n"/>
      <c r="H278" s="23" t="n"/>
      <c r="I278" s="23" t="n"/>
      <c r="J278" s="23" t="n"/>
      <c r="K278" s="25">
        <f>IF(I278="","",IF(J278="BDT",I278,IF(J278="USD",I278*USD_BDT,IF(J278="RMB",I278*RMB_BDT,""))))</f>
        <v/>
      </c>
      <c r="L278" s="25" t="n"/>
      <c r="M278" s="26" t="n"/>
      <c r="N278" s="25" t="n"/>
      <c r="O278" s="25">
        <f>IF(K278="","",K278+IFERROR(L278,0)+(K278*IF(M278="",CUSTOMS_PCT,M278))+IF(N278="",MISC_FEE,N278))</f>
        <v/>
      </c>
      <c r="P278" s="25">
        <f>IF(O278="","",ROUND(O278*(1+MARKUP_PCT),-1)-1)</f>
        <v/>
      </c>
      <c r="Q278" s="25">
        <f>IF(P278="","",P278-O278)</f>
        <v/>
      </c>
      <c r="R278" s="26">
        <f>IF(OR(P278="",P278=0),"",Q278/P278)</f>
        <v/>
      </c>
      <c r="S278" s="23" t="n"/>
      <c r="T278" s="23" t="n"/>
      <c r="U278" s="23" t="n"/>
      <c r="V278" s="23" t="n"/>
      <c r="W278" s="23" t="n"/>
      <c r="X278" s="23" t="n"/>
      <c r="Y278" s="23" t="n"/>
      <c r="Z278" s="23" t="n"/>
      <c r="AA278" s="23" t="n"/>
      <c r="AB278" s="23" t="n"/>
      <c r="AC278" s="27">
        <f>IF(COUNT(S278:AB278)&lt;10,"",(S278*W_FEMININE+T278*W_TREND+U278*W_AESTHETIC+V278*W_STYLE+W278*W_LIGHT+X278*W_REELS+Y278*W_GIFT+Z278*W_PRICEFIT+AA278*W_DEMAND+AB278*W_QUALITY)/5*100)</f>
        <v/>
      </c>
      <c r="AD278" s="23">
        <f>IF(P278="","",IF(P278&gt;HARD_REJECT_PRICE,"Reject",IF(P278&gt;MAX_PRICE,"Price Review",IF(AC278="","",IF(AND(AC278&gt;=BUY_THRESHOLD,OR(AB278&lt;=2,U278&lt;=2)),"Maybe",IF(AC278&gt;=BUY_THRESHOLD,"Buy",IF(AC278&gt;=MAYBE_THRESHOLD,"Maybe","Reject")))))))</f>
        <v/>
      </c>
      <c r="AE278" s="23" t="n"/>
      <c r="AF278" s="23" t="n"/>
      <c r="AG278" s="23" t="n"/>
      <c r="AH278" s="23" t="n"/>
      <c r="AI278" s="24" t="n"/>
      <c r="AJ278">
        <f>IF(AC278="",-9999-ROW()*0.0000001,AC278-ROW()*0.0000001)</f>
        <v/>
      </c>
      <c r="AK278">
        <f>IF(OR(AC278="",P278="",P278&gt;MAX_PRICE),-9999-ROW()*0.0000001,AC278-ROW()*0.0000001)</f>
        <v/>
      </c>
      <c r="AL278">
        <f>IF(AC278="",-9999-ROW()*0.0000001,X278*1000+AC278-ROW()*0.0000001)</f>
        <v/>
      </c>
      <c r="AM278">
        <f>IF(AC278="",-9999-ROW()*0.0000001,Y278*1000+AC278-ROW()*0.0000001)</f>
        <v/>
      </c>
      <c r="AN278">
        <f>IF(AND(OR(AD278="Maybe",AD278="Price Review"),AG278&lt;&gt;"Approved",AG278&lt;&gt;"Rejected"),IF(AC278="",0,AC278)-ROW()*0.0000001,-9999-ROW()*0.0000001)</f>
        <v/>
      </c>
      <c r="AO278" s="28" t="n"/>
      <c r="AP278" s="28" t="n"/>
      <c r="AQ278" s="29" t="n"/>
      <c r="AR278" s="29" t="n"/>
      <c r="AS278" s="23" t="n"/>
      <c r="AT278" s="29" t="n"/>
      <c r="AU278" s="29" t="n"/>
      <c r="AV278" s="29" t="n"/>
      <c r="AW278" s="25">
        <f>IF(OR(O278="",AV278=""),"",O278*AV278)</f>
        <v/>
      </c>
      <c r="AX278" s="23" t="n"/>
      <c r="AY278" s="23" t="n"/>
      <c r="AZ278" s="23" t="n"/>
      <c r="BA278" s="23" t="n"/>
      <c r="BB278" s="23" t="n"/>
      <c r="BC278" s="25" t="n"/>
      <c r="BD278" s="23" t="n"/>
      <c r="BE278" s="23">
        <f>IF(C278="","",IF(AND(ISNUMBER(P278),P278&gt;MAX_PRICE),"Price too high",IF(AND(ISNUMBER(AB278),AB278&lt;=2),"Quality risk",IF(AND(ISNUMBER(U278),U278&lt;=2),"Aesthetic mismatch",IF(AY278="High","Too fragile",IF(AND(ISNUMBER(R278),R278&lt;LOW_PROFIT_PCT),"Low profit",IF(AND(ISNUMBER(AT278),AT278&gt;MOQ_WARNING),"MOQ too high",IF(OR(AD278="Maybe",AD278="Price Review"),"Needs partner review",IF(AD278="Buy","Good candidate","")))))))))</f>
        <v/>
      </c>
      <c r="BF278" s="23" t="n"/>
      <c r="BG278" s="23" t="n"/>
      <c r="BH278" s="23" t="n"/>
      <c r="BI278" s="23" t="n"/>
      <c r="BJ278" s="23" t="n"/>
      <c r="BK278" s="23" t="n"/>
      <c r="BL278" s="23">
        <f>IF(C278="","",IF(AND(BG278="Yes",BH278="Yes",BI278="Yes",BJ278="Yes",BK278="Yes"),"Yes","No"))</f>
        <v/>
      </c>
      <c r="BM278" s="25" t="n"/>
      <c r="BN278" s="25" t="n"/>
      <c r="BO278" s="25">
        <f>IF(OR(BM278="",BN278=""),"",BM278+BN278)</f>
        <v/>
      </c>
      <c r="BP278" s="25" t="n"/>
      <c r="BQ278" s="25">
        <f>IF(OR(BP278="",BO278=""),"",BP278-BO278)</f>
        <v/>
      </c>
      <c r="BR278" s="26">
        <f>IF(OR(BP278="",BP278=0,BQ278=""),"",BQ278/BP278)</f>
        <v/>
      </c>
      <c r="BS278" s="24" t="n"/>
      <c r="BT278" s="29" t="n"/>
      <c r="BU278" s="29" t="n"/>
      <c r="BV278" s="23" t="n"/>
      <c r="BW278" s="23" t="n"/>
      <c r="BX278" s="29">
        <f>IF(OR(BT278="",BU278=""),"",BT278-BU278)</f>
        <v/>
      </c>
      <c r="BY278" s="23" t="n"/>
      <c r="BZ278" s="24" t="n"/>
      <c r="CA278" s="23" t="n"/>
      <c r="CB278" s="23" t="n"/>
    </row>
    <row r="279">
      <c r="A279" s="16">
        <f>IF(C279="","","AYN-"&amp;IFERROR(VLOOKUP(E279,CATEGORY_PREFIX_TABLE,2,FALSE),"OTH")&amp;"-"&amp;TEXT(ROW()-2,"0000"))</f>
        <v/>
      </c>
      <c r="B279" s="17" t="n"/>
      <c r="C279" s="16" t="n"/>
      <c r="D279" s="16" t="n"/>
      <c r="E279" s="16" t="n"/>
      <c r="F279" s="16" t="n"/>
      <c r="G279" s="16" t="n"/>
      <c r="H279" s="16" t="n"/>
      <c r="I279" s="16" t="n"/>
      <c r="J279" s="16" t="n"/>
      <c r="K279" s="18">
        <f>IF(I279="","",IF(J279="BDT",I279,IF(J279="USD",I279*USD_BDT,IF(J279="RMB",I279*RMB_BDT,""))))</f>
        <v/>
      </c>
      <c r="L279" s="18" t="n"/>
      <c r="M279" s="19" t="n"/>
      <c r="N279" s="18" t="n"/>
      <c r="O279" s="18">
        <f>IF(K279="","",K279+IFERROR(L279,0)+(K279*IF(M279="",CUSTOMS_PCT,M279))+IF(N279="",MISC_FEE,N279))</f>
        <v/>
      </c>
      <c r="P279" s="18">
        <f>IF(O279="","",ROUND(O279*(1+MARKUP_PCT),-1)-1)</f>
        <v/>
      </c>
      <c r="Q279" s="18">
        <f>IF(P279="","",P279-O279)</f>
        <v/>
      </c>
      <c r="R279" s="19">
        <f>IF(OR(P279="",P279=0),"",Q279/P279)</f>
        <v/>
      </c>
      <c r="S279" s="16" t="n"/>
      <c r="T279" s="16" t="n"/>
      <c r="U279" s="16" t="n"/>
      <c r="V279" s="16" t="n"/>
      <c r="W279" s="16" t="n"/>
      <c r="X279" s="16" t="n"/>
      <c r="Y279" s="16" t="n"/>
      <c r="Z279" s="16" t="n"/>
      <c r="AA279" s="16" t="n"/>
      <c r="AB279" s="16" t="n"/>
      <c r="AC279" s="20">
        <f>IF(COUNT(S279:AB279)&lt;10,"",(S279*W_FEMININE+T279*W_TREND+U279*W_AESTHETIC+V279*W_STYLE+W279*W_LIGHT+X279*W_REELS+Y279*W_GIFT+Z279*W_PRICEFIT+AA279*W_DEMAND+AB279*W_QUALITY)/5*100)</f>
        <v/>
      </c>
      <c r="AD279" s="16">
        <f>IF(P279="","",IF(P279&gt;HARD_REJECT_PRICE,"Reject",IF(P279&gt;MAX_PRICE,"Price Review",IF(AC279="","",IF(AND(AC279&gt;=BUY_THRESHOLD,OR(AB279&lt;=2,U279&lt;=2)),"Maybe",IF(AC279&gt;=BUY_THRESHOLD,"Buy",IF(AC279&gt;=MAYBE_THRESHOLD,"Maybe","Reject")))))))</f>
        <v/>
      </c>
      <c r="AE279" s="16" t="n"/>
      <c r="AF279" s="16" t="n"/>
      <c r="AG279" s="16" t="n"/>
      <c r="AH279" s="16" t="n"/>
      <c r="AI279" s="17" t="n"/>
      <c r="AJ279">
        <f>IF(AC279="",-9999-ROW()*0.0000001,AC279-ROW()*0.0000001)</f>
        <v/>
      </c>
      <c r="AK279">
        <f>IF(OR(AC279="",P279="",P279&gt;MAX_PRICE),-9999-ROW()*0.0000001,AC279-ROW()*0.0000001)</f>
        <v/>
      </c>
      <c r="AL279">
        <f>IF(AC279="",-9999-ROW()*0.0000001,X279*1000+AC279-ROW()*0.0000001)</f>
        <v/>
      </c>
      <c r="AM279">
        <f>IF(AC279="",-9999-ROW()*0.0000001,Y279*1000+AC279-ROW()*0.0000001)</f>
        <v/>
      </c>
      <c r="AN279">
        <f>IF(AND(OR(AD279="Maybe",AD279="Price Review"),AG279&lt;&gt;"Approved",AG279&lt;&gt;"Rejected"),IF(AC279="",0,AC279)-ROW()*0.0000001,-9999-ROW()*0.0000001)</f>
        <v/>
      </c>
      <c r="AO279" s="21" t="n"/>
      <c r="AP279" s="21" t="n"/>
      <c r="AQ279" s="22" t="n"/>
      <c r="AR279" s="22" t="n"/>
      <c r="AS279" s="16" t="n"/>
      <c r="AT279" s="22" t="n"/>
      <c r="AU279" s="22" t="n"/>
      <c r="AV279" s="22" t="n"/>
      <c r="AW279" s="18">
        <f>IF(OR(O279="",AV279=""),"",O279*AV279)</f>
        <v/>
      </c>
      <c r="AX279" s="16" t="n"/>
      <c r="AY279" s="16" t="n"/>
      <c r="AZ279" s="16" t="n"/>
      <c r="BA279" s="16" t="n"/>
      <c r="BB279" s="16" t="n"/>
      <c r="BC279" s="18" t="n"/>
      <c r="BD279" s="16" t="n"/>
      <c r="BE279" s="16">
        <f>IF(C279="","",IF(AND(ISNUMBER(P279),P279&gt;MAX_PRICE),"Price too high",IF(AND(ISNUMBER(AB279),AB279&lt;=2),"Quality risk",IF(AND(ISNUMBER(U279),U279&lt;=2),"Aesthetic mismatch",IF(AY279="High","Too fragile",IF(AND(ISNUMBER(R279),R279&lt;LOW_PROFIT_PCT),"Low profit",IF(AND(ISNUMBER(AT279),AT279&gt;MOQ_WARNING),"MOQ too high",IF(OR(AD279="Maybe",AD279="Price Review"),"Needs partner review",IF(AD279="Buy","Good candidate","")))))))))</f>
        <v/>
      </c>
      <c r="BF279" s="16" t="n"/>
      <c r="BG279" s="16" t="n"/>
      <c r="BH279" s="16" t="n"/>
      <c r="BI279" s="16" t="n"/>
      <c r="BJ279" s="16" t="n"/>
      <c r="BK279" s="16" t="n"/>
      <c r="BL279" s="16">
        <f>IF(C279="","",IF(AND(BG279="Yes",BH279="Yes",BI279="Yes",BJ279="Yes",BK279="Yes"),"Yes","No"))</f>
        <v/>
      </c>
      <c r="BM279" s="18" t="n"/>
      <c r="BN279" s="18" t="n"/>
      <c r="BO279" s="18">
        <f>IF(OR(BM279="",BN279=""),"",BM279+BN279)</f>
        <v/>
      </c>
      <c r="BP279" s="18" t="n"/>
      <c r="BQ279" s="18">
        <f>IF(OR(BP279="",BO279=""),"",BP279-BO279)</f>
        <v/>
      </c>
      <c r="BR279" s="19">
        <f>IF(OR(BP279="",BP279=0,BQ279=""),"",BQ279/BP279)</f>
        <v/>
      </c>
      <c r="BS279" s="17" t="n"/>
      <c r="BT279" s="22" t="n"/>
      <c r="BU279" s="22" t="n"/>
      <c r="BV279" s="16" t="n"/>
      <c r="BW279" s="16" t="n"/>
      <c r="BX279" s="22">
        <f>IF(OR(BT279="",BU279=""),"",BT279-BU279)</f>
        <v/>
      </c>
      <c r="BY279" s="16" t="n"/>
      <c r="BZ279" s="17" t="n"/>
      <c r="CA279" s="16" t="n"/>
      <c r="CB279" s="16" t="n"/>
    </row>
    <row r="280">
      <c r="A280" s="23">
        <f>IF(C280="","","AYN-"&amp;IFERROR(VLOOKUP(E280,CATEGORY_PREFIX_TABLE,2,FALSE),"OTH")&amp;"-"&amp;TEXT(ROW()-2,"0000"))</f>
        <v/>
      </c>
      <c r="B280" s="24" t="n"/>
      <c r="C280" s="23" t="n"/>
      <c r="D280" s="23" t="n"/>
      <c r="E280" s="23" t="n"/>
      <c r="F280" s="23" t="n"/>
      <c r="G280" s="23" t="n"/>
      <c r="H280" s="23" t="n"/>
      <c r="I280" s="23" t="n"/>
      <c r="J280" s="23" t="n"/>
      <c r="K280" s="25">
        <f>IF(I280="","",IF(J280="BDT",I280,IF(J280="USD",I280*USD_BDT,IF(J280="RMB",I280*RMB_BDT,""))))</f>
        <v/>
      </c>
      <c r="L280" s="25" t="n"/>
      <c r="M280" s="26" t="n"/>
      <c r="N280" s="25" t="n"/>
      <c r="O280" s="25">
        <f>IF(K280="","",K280+IFERROR(L280,0)+(K280*IF(M280="",CUSTOMS_PCT,M280))+IF(N280="",MISC_FEE,N280))</f>
        <v/>
      </c>
      <c r="P280" s="25">
        <f>IF(O280="","",ROUND(O280*(1+MARKUP_PCT),-1)-1)</f>
        <v/>
      </c>
      <c r="Q280" s="25">
        <f>IF(P280="","",P280-O280)</f>
        <v/>
      </c>
      <c r="R280" s="26">
        <f>IF(OR(P280="",P280=0),"",Q280/P280)</f>
        <v/>
      </c>
      <c r="S280" s="23" t="n"/>
      <c r="T280" s="23" t="n"/>
      <c r="U280" s="23" t="n"/>
      <c r="V280" s="23" t="n"/>
      <c r="W280" s="23" t="n"/>
      <c r="X280" s="23" t="n"/>
      <c r="Y280" s="23" t="n"/>
      <c r="Z280" s="23" t="n"/>
      <c r="AA280" s="23" t="n"/>
      <c r="AB280" s="23" t="n"/>
      <c r="AC280" s="27">
        <f>IF(COUNT(S280:AB280)&lt;10,"",(S280*W_FEMININE+T280*W_TREND+U280*W_AESTHETIC+V280*W_STYLE+W280*W_LIGHT+X280*W_REELS+Y280*W_GIFT+Z280*W_PRICEFIT+AA280*W_DEMAND+AB280*W_QUALITY)/5*100)</f>
        <v/>
      </c>
      <c r="AD280" s="23">
        <f>IF(P280="","",IF(P280&gt;HARD_REJECT_PRICE,"Reject",IF(P280&gt;MAX_PRICE,"Price Review",IF(AC280="","",IF(AND(AC280&gt;=BUY_THRESHOLD,OR(AB280&lt;=2,U280&lt;=2)),"Maybe",IF(AC280&gt;=BUY_THRESHOLD,"Buy",IF(AC280&gt;=MAYBE_THRESHOLD,"Maybe","Reject")))))))</f>
        <v/>
      </c>
      <c r="AE280" s="23" t="n"/>
      <c r="AF280" s="23" t="n"/>
      <c r="AG280" s="23" t="n"/>
      <c r="AH280" s="23" t="n"/>
      <c r="AI280" s="24" t="n"/>
      <c r="AJ280">
        <f>IF(AC280="",-9999-ROW()*0.0000001,AC280-ROW()*0.0000001)</f>
        <v/>
      </c>
      <c r="AK280">
        <f>IF(OR(AC280="",P280="",P280&gt;MAX_PRICE),-9999-ROW()*0.0000001,AC280-ROW()*0.0000001)</f>
        <v/>
      </c>
      <c r="AL280">
        <f>IF(AC280="",-9999-ROW()*0.0000001,X280*1000+AC280-ROW()*0.0000001)</f>
        <v/>
      </c>
      <c r="AM280">
        <f>IF(AC280="",-9999-ROW()*0.0000001,Y280*1000+AC280-ROW()*0.0000001)</f>
        <v/>
      </c>
      <c r="AN280">
        <f>IF(AND(OR(AD280="Maybe",AD280="Price Review"),AG280&lt;&gt;"Approved",AG280&lt;&gt;"Rejected"),IF(AC280="",0,AC280)-ROW()*0.0000001,-9999-ROW()*0.0000001)</f>
        <v/>
      </c>
      <c r="AO280" s="28" t="n"/>
      <c r="AP280" s="28" t="n"/>
      <c r="AQ280" s="29" t="n"/>
      <c r="AR280" s="29" t="n"/>
      <c r="AS280" s="23" t="n"/>
      <c r="AT280" s="29" t="n"/>
      <c r="AU280" s="29" t="n"/>
      <c r="AV280" s="29" t="n"/>
      <c r="AW280" s="25">
        <f>IF(OR(O280="",AV280=""),"",O280*AV280)</f>
        <v/>
      </c>
      <c r="AX280" s="23" t="n"/>
      <c r="AY280" s="23" t="n"/>
      <c r="AZ280" s="23" t="n"/>
      <c r="BA280" s="23" t="n"/>
      <c r="BB280" s="23" t="n"/>
      <c r="BC280" s="25" t="n"/>
      <c r="BD280" s="23" t="n"/>
      <c r="BE280" s="23">
        <f>IF(C280="","",IF(AND(ISNUMBER(P280),P280&gt;MAX_PRICE),"Price too high",IF(AND(ISNUMBER(AB280),AB280&lt;=2),"Quality risk",IF(AND(ISNUMBER(U280),U280&lt;=2),"Aesthetic mismatch",IF(AY280="High","Too fragile",IF(AND(ISNUMBER(R280),R280&lt;LOW_PROFIT_PCT),"Low profit",IF(AND(ISNUMBER(AT280),AT280&gt;MOQ_WARNING),"MOQ too high",IF(OR(AD280="Maybe",AD280="Price Review"),"Needs partner review",IF(AD280="Buy","Good candidate","")))))))))</f>
        <v/>
      </c>
      <c r="BF280" s="23" t="n"/>
      <c r="BG280" s="23" t="n"/>
      <c r="BH280" s="23" t="n"/>
      <c r="BI280" s="23" t="n"/>
      <c r="BJ280" s="23" t="n"/>
      <c r="BK280" s="23" t="n"/>
      <c r="BL280" s="23">
        <f>IF(C280="","",IF(AND(BG280="Yes",BH280="Yes",BI280="Yes",BJ280="Yes",BK280="Yes"),"Yes","No"))</f>
        <v/>
      </c>
      <c r="BM280" s="25" t="n"/>
      <c r="BN280" s="25" t="n"/>
      <c r="BO280" s="25">
        <f>IF(OR(BM280="",BN280=""),"",BM280+BN280)</f>
        <v/>
      </c>
      <c r="BP280" s="25" t="n"/>
      <c r="BQ280" s="25">
        <f>IF(OR(BP280="",BO280=""),"",BP280-BO280)</f>
        <v/>
      </c>
      <c r="BR280" s="26">
        <f>IF(OR(BP280="",BP280=0,BQ280=""),"",BQ280/BP280)</f>
        <v/>
      </c>
      <c r="BS280" s="24" t="n"/>
      <c r="BT280" s="29" t="n"/>
      <c r="BU280" s="29" t="n"/>
      <c r="BV280" s="23" t="n"/>
      <c r="BW280" s="23" t="n"/>
      <c r="BX280" s="29">
        <f>IF(OR(BT280="",BU280=""),"",BT280-BU280)</f>
        <v/>
      </c>
      <c r="BY280" s="23" t="n"/>
      <c r="BZ280" s="24" t="n"/>
      <c r="CA280" s="23" t="n"/>
      <c r="CB280" s="23" t="n"/>
    </row>
    <row r="281">
      <c r="A281" s="16">
        <f>IF(C281="","","AYN-"&amp;IFERROR(VLOOKUP(E281,CATEGORY_PREFIX_TABLE,2,FALSE),"OTH")&amp;"-"&amp;TEXT(ROW()-2,"0000"))</f>
        <v/>
      </c>
      <c r="B281" s="17" t="n"/>
      <c r="C281" s="16" t="n"/>
      <c r="D281" s="16" t="n"/>
      <c r="E281" s="16" t="n"/>
      <c r="F281" s="16" t="n"/>
      <c r="G281" s="16" t="n"/>
      <c r="H281" s="16" t="n"/>
      <c r="I281" s="16" t="n"/>
      <c r="J281" s="16" t="n"/>
      <c r="K281" s="18">
        <f>IF(I281="","",IF(J281="BDT",I281,IF(J281="USD",I281*USD_BDT,IF(J281="RMB",I281*RMB_BDT,""))))</f>
        <v/>
      </c>
      <c r="L281" s="18" t="n"/>
      <c r="M281" s="19" t="n"/>
      <c r="N281" s="18" t="n"/>
      <c r="O281" s="18">
        <f>IF(K281="","",K281+IFERROR(L281,0)+(K281*IF(M281="",CUSTOMS_PCT,M281))+IF(N281="",MISC_FEE,N281))</f>
        <v/>
      </c>
      <c r="P281" s="18">
        <f>IF(O281="","",ROUND(O281*(1+MARKUP_PCT),-1)-1)</f>
        <v/>
      </c>
      <c r="Q281" s="18">
        <f>IF(P281="","",P281-O281)</f>
        <v/>
      </c>
      <c r="R281" s="19">
        <f>IF(OR(P281="",P281=0),"",Q281/P281)</f>
        <v/>
      </c>
      <c r="S281" s="16" t="n"/>
      <c r="T281" s="16" t="n"/>
      <c r="U281" s="16" t="n"/>
      <c r="V281" s="16" t="n"/>
      <c r="W281" s="16" t="n"/>
      <c r="X281" s="16" t="n"/>
      <c r="Y281" s="16" t="n"/>
      <c r="Z281" s="16" t="n"/>
      <c r="AA281" s="16" t="n"/>
      <c r="AB281" s="16" t="n"/>
      <c r="AC281" s="20">
        <f>IF(COUNT(S281:AB281)&lt;10,"",(S281*W_FEMININE+T281*W_TREND+U281*W_AESTHETIC+V281*W_STYLE+W281*W_LIGHT+X281*W_REELS+Y281*W_GIFT+Z281*W_PRICEFIT+AA281*W_DEMAND+AB281*W_QUALITY)/5*100)</f>
        <v/>
      </c>
      <c r="AD281" s="16">
        <f>IF(P281="","",IF(P281&gt;HARD_REJECT_PRICE,"Reject",IF(P281&gt;MAX_PRICE,"Price Review",IF(AC281="","",IF(AND(AC281&gt;=BUY_THRESHOLD,OR(AB281&lt;=2,U281&lt;=2)),"Maybe",IF(AC281&gt;=BUY_THRESHOLD,"Buy",IF(AC281&gt;=MAYBE_THRESHOLD,"Maybe","Reject")))))))</f>
        <v/>
      </c>
      <c r="AE281" s="16" t="n"/>
      <c r="AF281" s="16" t="n"/>
      <c r="AG281" s="16" t="n"/>
      <c r="AH281" s="16" t="n"/>
      <c r="AI281" s="17" t="n"/>
      <c r="AJ281">
        <f>IF(AC281="",-9999-ROW()*0.0000001,AC281-ROW()*0.0000001)</f>
        <v/>
      </c>
      <c r="AK281">
        <f>IF(OR(AC281="",P281="",P281&gt;MAX_PRICE),-9999-ROW()*0.0000001,AC281-ROW()*0.0000001)</f>
        <v/>
      </c>
      <c r="AL281">
        <f>IF(AC281="",-9999-ROW()*0.0000001,X281*1000+AC281-ROW()*0.0000001)</f>
        <v/>
      </c>
      <c r="AM281">
        <f>IF(AC281="",-9999-ROW()*0.0000001,Y281*1000+AC281-ROW()*0.0000001)</f>
        <v/>
      </c>
      <c r="AN281">
        <f>IF(AND(OR(AD281="Maybe",AD281="Price Review"),AG281&lt;&gt;"Approved",AG281&lt;&gt;"Rejected"),IF(AC281="",0,AC281)-ROW()*0.0000001,-9999-ROW()*0.0000001)</f>
        <v/>
      </c>
      <c r="AO281" s="21" t="n"/>
      <c r="AP281" s="21" t="n"/>
      <c r="AQ281" s="22" t="n"/>
      <c r="AR281" s="22" t="n"/>
      <c r="AS281" s="16" t="n"/>
      <c r="AT281" s="22" t="n"/>
      <c r="AU281" s="22" t="n"/>
      <c r="AV281" s="22" t="n"/>
      <c r="AW281" s="18">
        <f>IF(OR(O281="",AV281=""),"",O281*AV281)</f>
        <v/>
      </c>
      <c r="AX281" s="16" t="n"/>
      <c r="AY281" s="16" t="n"/>
      <c r="AZ281" s="16" t="n"/>
      <c r="BA281" s="16" t="n"/>
      <c r="BB281" s="16" t="n"/>
      <c r="BC281" s="18" t="n"/>
      <c r="BD281" s="16" t="n"/>
      <c r="BE281" s="16">
        <f>IF(C281="","",IF(AND(ISNUMBER(P281),P281&gt;MAX_PRICE),"Price too high",IF(AND(ISNUMBER(AB281),AB281&lt;=2),"Quality risk",IF(AND(ISNUMBER(U281),U281&lt;=2),"Aesthetic mismatch",IF(AY281="High","Too fragile",IF(AND(ISNUMBER(R281),R281&lt;LOW_PROFIT_PCT),"Low profit",IF(AND(ISNUMBER(AT281),AT281&gt;MOQ_WARNING),"MOQ too high",IF(OR(AD281="Maybe",AD281="Price Review"),"Needs partner review",IF(AD281="Buy","Good candidate","")))))))))</f>
        <v/>
      </c>
      <c r="BF281" s="16" t="n"/>
      <c r="BG281" s="16" t="n"/>
      <c r="BH281" s="16" t="n"/>
      <c r="BI281" s="16" t="n"/>
      <c r="BJ281" s="16" t="n"/>
      <c r="BK281" s="16" t="n"/>
      <c r="BL281" s="16">
        <f>IF(C281="","",IF(AND(BG281="Yes",BH281="Yes",BI281="Yes",BJ281="Yes",BK281="Yes"),"Yes","No"))</f>
        <v/>
      </c>
      <c r="BM281" s="18" t="n"/>
      <c r="BN281" s="18" t="n"/>
      <c r="BO281" s="18">
        <f>IF(OR(BM281="",BN281=""),"",BM281+BN281)</f>
        <v/>
      </c>
      <c r="BP281" s="18" t="n"/>
      <c r="BQ281" s="18">
        <f>IF(OR(BP281="",BO281=""),"",BP281-BO281)</f>
        <v/>
      </c>
      <c r="BR281" s="19">
        <f>IF(OR(BP281="",BP281=0,BQ281=""),"",BQ281/BP281)</f>
        <v/>
      </c>
      <c r="BS281" s="17" t="n"/>
      <c r="BT281" s="22" t="n"/>
      <c r="BU281" s="22" t="n"/>
      <c r="BV281" s="16" t="n"/>
      <c r="BW281" s="16" t="n"/>
      <c r="BX281" s="22">
        <f>IF(OR(BT281="",BU281=""),"",BT281-BU281)</f>
        <v/>
      </c>
      <c r="BY281" s="16" t="n"/>
      <c r="BZ281" s="17" t="n"/>
      <c r="CA281" s="16" t="n"/>
      <c r="CB281" s="16" t="n"/>
    </row>
    <row r="282">
      <c r="A282" s="23">
        <f>IF(C282="","","AYN-"&amp;IFERROR(VLOOKUP(E282,CATEGORY_PREFIX_TABLE,2,FALSE),"OTH")&amp;"-"&amp;TEXT(ROW()-2,"0000"))</f>
        <v/>
      </c>
      <c r="B282" s="24" t="n"/>
      <c r="C282" s="23" t="n"/>
      <c r="D282" s="23" t="n"/>
      <c r="E282" s="23" t="n"/>
      <c r="F282" s="23" t="n"/>
      <c r="G282" s="23" t="n"/>
      <c r="H282" s="23" t="n"/>
      <c r="I282" s="23" t="n"/>
      <c r="J282" s="23" t="n"/>
      <c r="K282" s="25">
        <f>IF(I282="","",IF(J282="BDT",I282,IF(J282="USD",I282*USD_BDT,IF(J282="RMB",I282*RMB_BDT,""))))</f>
        <v/>
      </c>
      <c r="L282" s="25" t="n"/>
      <c r="M282" s="26" t="n"/>
      <c r="N282" s="25" t="n"/>
      <c r="O282" s="25">
        <f>IF(K282="","",K282+IFERROR(L282,0)+(K282*IF(M282="",CUSTOMS_PCT,M282))+IF(N282="",MISC_FEE,N282))</f>
        <v/>
      </c>
      <c r="P282" s="25">
        <f>IF(O282="","",ROUND(O282*(1+MARKUP_PCT),-1)-1)</f>
        <v/>
      </c>
      <c r="Q282" s="25">
        <f>IF(P282="","",P282-O282)</f>
        <v/>
      </c>
      <c r="R282" s="26">
        <f>IF(OR(P282="",P282=0),"",Q282/P282)</f>
        <v/>
      </c>
      <c r="S282" s="23" t="n"/>
      <c r="T282" s="23" t="n"/>
      <c r="U282" s="23" t="n"/>
      <c r="V282" s="23" t="n"/>
      <c r="W282" s="23" t="n"/>
      <c r="X282" s="23" t="n"/>
      <c r="Y282" s="23" t="n"/>
      <c r="Z282" s="23" t="n"/>
      <c r="AA282" s="23" t="n"/>
      <c r="AB282" s="23" t="n"/>
      <c r="AC282" s="27">
        <f>IF(COUNT(S282:AB282)&lt;10,"",(S282*W_FEMININE+T282*W_TREND+U282*W_AESTHETIC+V282*W_STYLE+W282*W_LIGHT+X282*W_REELS+Y282*W_GIFT+Z282*W_PRICEFIT+AA282*W_DEMAND+AB282*W_QUALITY)/5*100)</f>
        <v/>
      </c>
      <c r="AD282" s="23">
        <f>IF(P282="","",IF(P282&gt;HARD_REJECT_PRICE,"Reject",IF(P282&gt;MAX_PRICE,"Price Review",IF(AC282="","",IF(AND(AC282&gt;=BUY_THRESHOLD,OR(AB282&lt;=2,U282&lt;=2)),"Maybe",IF(AC282&gt;=BUY_THRESHOLD,"Buy",IF(AC282&gt;=MAYBE_THRESHOLD,"Maybe","Reject")))))))</f>
        <v/>
      </c>
      <c r="AE282" s="23" t="n"/>
      <c r="AF282" s="23" t="n"/>
      <c r="AG282" s="23" t="n"/>
      <c r="AH282" s="23" t="n"/>
      <c r="AI282" s="24" t="n"/>
      <c r="AJ282">
        <f>IF(AC282="",-9999-ROW()*0.0000001,AC282-ROW()*0.0000001)</f>
        <v/>
      </c>
      <c r="AK282">
        <f>IF(OR(AC282="",P282="",P282&gt;MAX_PRICE),-9999-ROW()*0.0000001,AC282-ROW()*0.0000001)</f>
        <v/>
      </c>
      <c r="AL282">
        <f>IF(AC282="",-9999-ROW()*0.0000001,X282*1000+AC282-ROW()*0.0000001)</f>
        <v/>
      </c>
      <c r="AM282">
        <f>IF(AC282="",-9999-ROW()*0.0000001,Y282*1000+AC282-ROW()*0.0000001)</f>
        <v/>
      </c>
      <c r="AN282">
        <f>IF(AND(OR(AD282="Maybe",AD282="Price Review"),AG282&lt;&gt;"Approved",AG282&lt;&gt;"Rejected"),IF(AC282="",0,AC282)-ROW()*0.0000001,-9999-ROW()*0.0000001)</f>
        <v/>
      </c>
      <c r="AO282" s="28" t="n"/>
      <c r="AP282" s="28" t="n"/>
      <c r="AQ282" s="29" t="n"/>
      <c r="AR282" s="29" t="n"/>
      <c r="AS282" s="23" t="n"/>
      <c r="AT282" s="29" t="n"/>
      <c r="AU282" s="29" t="n"/>
      <c r="AV282" s="29" t="n"/>
      <c r="AW282" s="25">
        <f>IF(OR(O282="",AV282=""),"",O282*AV282)</f>
        <v/>
      </c>
      <c r="AX282" s="23" t="n"/>
      <c r="AY282" s="23" t="n"/>
      <c r="AZ282" s="23" t="n"/>
      <c r="BA282" s="23" t="n"/>
      <c r="BB282" s="23" t="n"/>
      <c r="BC282" s="25" t="n"/>
      <c r="BD282" s="23" t="n"/>
      <c r="BE282" s="23">
        <f>IF(C282="","",IF(AND(ISNUMBER(P282),P282&gt;MAX_PRICE),"Price too high",IF(AND(ISNUMBER(AB282),AB282&lt;=2),"Quality risk",IF(AND(ISNUMBER(U282),U282&lt;=2),"Aesthetic mismatch",IF(AY282="High","Too fragile",IF(AND(ISNUMBER(R282),R282&lt;LOW_PROFIT_PCT),"Low profit",IF(AND(ISNUMBER(AT282),AT282&gt;MOQ_WARNING),"MOQ too high",IF(OR(AD282="Maybe",AD282="Price Review"),"Needs partner review",IF(AD282="Buy","Good candidate","")))))))))</f>
        <v/>
      </c>
      <c r="BF282" s="23" t="n"/>
      <c r="BG282" s="23" t="n"/>
      <c r="BH282" s="23" t="n"/>
      <c r="BI282" s="23" t="n"/>
      <c r="BJ282" s="23" t="n"/>
      <c r="BK282" s="23" t="n"/>
      <c r="BL282" s="23">
        <f>IF(C282="","",IF(AND(BG282="Yes",BH282="Yes",BI282="Yes",BJ282="Yes",BK282="Yes"),"Yes","No"))</f>
        <v/>
      </c>
      <c r="BM282" s="25" t="n"/>
      <c r="BN282" s="25" t="n"/>
      <c r="BO282" s="25">
        <f>IF(OR(BM282="",BN282=""),"",BM282+BN282)</f>
        <v/>
      </c>
      <c r="BP282" s="25" t="n"/>
      <c r="BQ282" s="25">
        <f>IF(OR(BP282="",BO282=""),"",BP282-BO282)</f>
        <v/>
      </c>
      <c r="BR282" s="26">
        <f>IF(OR(BP282="",BP282=0,BQ282=""),"",BQ282/BP282)</f>
        <v/>
      </c>
      <c r="BS282" s="24" t="n"/>
      <c r="BT282" s="29" t="n"/>
      <c r="BU282" s="29" t="n"/>
      <c r="BV282" s="23" t="n"/>
      <c r="BW282" s="23" t="n"/>
      <c r="BX282" s="29">
        <f>IF(OR(BT282="",BU282=""),"",BT282-BU282)</f>
        <v/>
      </c>
      <c r="BY282" s="23" t="n"/>
      <c r="BZ282" s="24" t="n"/>
      <c r="CA282" s="23" t="n"/>
      <c r="CB282" s="23" t="n"/>
    </row>
    <row r="283">
      <c r="A283" s="16">
        <f>IF(C283="","","AYN-"&amp;IFERROR(VLOOKUP(E283,CATEGORY_PREFIX_TABLE,2,FALSE),"OTH")&amp;"-"&amp;TEXT(ROW()-2,"0000"))</f>
        <v/>
      </c>
      <c r="B283" s="17" t="n"/>
      <c r="C283" s="16" t="n"/>
      <c r="D283" s="16" t="n"/>
      <c r="E283" s="16" t="n"/>
      <c r="F283" s="16" t="n"/>
      <c r="G283" s="16" t="n"/>
      <c r="H283" s="16" t="n"/>
      <c r="I283" s="16" t="n"/>
      <c r="J283" s="16" t="n"/>
      <c r="K283" s="18">
        <f>IF(I283="","",IF(J283="BDT",I283,IF(J283="USD",I283*USD_BDT,IF(J283="RMB",I283*RMB_BDT,""))))</f>
        <v/>
      </c>
      <c r="L283" s="18" t="n"/>
      <c r="M283" s="19" t="n"/>
      <c r="N283" s="18" t="n"/>
      <c r="O283" s="18">
        <f>IF(K283="","",K283+IFERROR(L283,0)+(K283*IF(M283="",CUSTOMS_PCT,M283))+IF(N283="",MISC_FEE,N283))</f>
        <v/>
      </c>
      <c r="P283" s="18">
        <f>IF(O283="","",ROUND(O283*(1+MARKUP_PCT),-1)-1)</f>
        <v/>
      </c>
      <c r="Q283" s="18">
        <f>IF(P283="","",P283-O283)</f>
        <v/>
      </c>
      <c r="R283" s="19">
        <f>IF(OR(P283="",P283=0),"",Q283/P283)</f>
        <v/>
      </c>
      <c r="S283" s="16" t="n"/>
      <c r="T283" s="16" t="n"/>
      <c r="U283" s="16" t="n"/>
      <c r="V283" s="16" t="n"/>
      <c r="W283" s="16" t="n"/>
      <c r="X283" s="16" t="n"/>
      <c r="Y283" s="16" t="n"/>
      <c r="Z283" s="16" t="n"/>
      <c r="AA283" s="16" t="n"/>
      <c r="AB283" s="16" t="n"/>
      <c r="AC283" s="20">
        <f>IF(COUNT(S283:AB283)&lt;10,"",(S283*W_FEMININE+T283*W_TREND+U283*W_AESTHETIC+V283*W_STYLE+W283*W_LIGHT+X283*W_REELS+Y283*W_GIFT+Z283*W_PRICEFIT+AA283*W_DEMAND+AB283*W_QUALITY)/5*100)</f>
        <v/>
      </c>
      <c r="AD283" s="16">
        <f>IF(P283="","",IF(P283&gt;HARD_REJECT_PRICE,"Reject",IF(P283&gt;MAX_PRICE,"Price Review",IF(AC283="","",IF(AND(AC283&gt;=BUY_THRESHOLD,OR(AB283&lt;=2,U283&lt;=2)),"Maybe",IF(AC283&gt;=BUY_THRESHOLD,"Buy",IF(AC283&gt;=MAYBE_THRESHOLD,"Maybe","Reject")))))))</f>
        <v/>
      </c>
      <c r="AE283" s="16" t="n"/>
      <c r="AF283" s="16" t="n"/>
      <c r="AG283" s="16" t="n"/>
      <c r="AH283" s="16" t="n"/>
      <c r="AI283" s="17" t="n"/>
      <c r="AJ283">
        <f>IF(AC283="",-9999-ROW()*0.0000001,AC283-ROW()*0.0000001)</f>
        <v/>
      </c>
      <c r="AK283">
        <f>IF(OR(AC283="",P283="",P283&gt;MAX_PRICE),-9999-ROW()*0.0000001,AC283-ROW()*0.0000001)</f>
        <v/>
      </c>
      <c r="AL283">
        <f>IF(AC283="",-9999-ROW()*0.0000001,X283*1000+AC283-ROW()*0.0000001)</f>
        <v/>
      </c>
      <c r="AM283">
        <f>IF(AC283="",-9999-ROW()*0.0000001,Y283*1000+AC283-ROW()*0.0000001)</f>
        <v/>
      </c>
      <c r="AN283">
        <f>IF(AND(OR(AD283="Maybe",AD283="Price Review"),AG283&lt;&gt;"Approved",AG283&lt;&gt;"Rejected"),IF(AC283="",0,AC283)-ROW()*0.0000001,-9999-ROW()*0.0000001)</f>
        <v/>
      </c>
      <c r="AO283" s="21" t="n"/>
      <c r="AP283" s="21" t="n"/>
      <c r="AQ283" s="22" t="n"/>
      <c r="AR283" s="22" t="n"/>
      <c r="AS283" s="16" t="n"/>
      <c r="AT283" s="22" t="n"/>
      <c r="AU283" s="22" t="n"/>
      <c r="AV283" s="22" t="n"/>
      <c r="AW283" s="18">
        <f>IF(OR(O283="",AV283=""),"",O283*AV283)</f>
        <v/>
      </c>
      <c r="AX283" s="16" t="n"/>
      <c r="AY283" s="16" t="n"/>
      <c r="AZ283" s="16" t="n"/>
      <c r="BA283" s="16" t="n"/>
      <c r="BB283" s="16" t="n"/>
      <c r="BC283" s="18" t="n"/>
      <c r="BD283" s="16" t="n"/>
      <c r="BE283" s="16">
        <f>IF(C283="","",IF(AND(ISNUMBER(P283),P283&gt;MAX_PRICE),"Price too high",IF(AND(ISNUMBER(AB283),AB283&lt;=2),"Quality risk",IF(AND(ISNUMBER(U283),U283&lt;=2),"Aesthetic mismatch",IF(AY283="High","Too fragile",IF(AND(ISNUMBER(R283),R283&lt;LOW_PROFIT_PCT),"Low profit",IF(AND(ISNUMBER(AT283),AT283&gt;MOQ_WARNING),"MOQ too high",IF(OR(AD283="Maybe",AD283="Price Review"),"Needs partner review",IF(AD283="Buy","Good candidate","")))))))))</f>
        <v/>
      </c>
      <c r="BF283" s="16" t="n"/>
      <c r="BG283" s="16" t="n"/>
      <c r="BH283" s="16" t="n"/>
      <c r="BI283" s="16" t="n"/>
      <c r="BJ283" s="16" t="n"/>
      <c r="BK283" s="16" t="n"/>
      <c r="BL283" s="16">
        <f>IF(C283="","",IF(AND(BG283="Yes",BH283="Yes",BI283="Yes",BJ283="Yes",BK283="Yes"),"Yes","No"))</f>
        <v/>
      </c>
      <c r="BM283" s="18" t="n"/>
      <c r="BN283" s="18" t="n"/>
      <c r="BO283" s="18">
        <f>IF(OR(BM283="",BN283=""),"",BM283+BN283)</f>
        <v/>
      </c>
      <c r="BP283" s="18" t="n"/>
      <c r="BQ283" s="18">
        <f>IF(OR(BP283="",BO283=""),"",BP283-BO283)</f>
        <v/>
      </c>
      <c r="BR283" s="19">
        <f>IF(OR(BP283="",BP283=0,BQ283=""),"",BQ283/BP283)</f>
        <v/>
      </c>
      <c r="BS283" s="17" t="n"/>
      <c r="BT283" s="22" t="n"/>
      <c r="BU283" s="22" t="n"/>
      <c r="BV283" s="16" t="n"/>
      <c r="BW283" s="16" t="n"/>
      <c r="BX283" s="22">
        <f>IF(OR(BT283="",BU283=""),"",BT283-BU283)</f>
        <v/>
      </c>
      <c r="BY283" s="16" t="n"/>
      <c r="BZ283" s="17" t="n"/>
      <c r="CA283" s="16" t="n"/>
      <c r="CB283" s="16" t="n"/>
    </row>
    <row r="284">
      <c r="A284" s="23">
        <f>IF(C284="","","AYN-"&amp;IFERROR(VLOOKUP(E284,CATEGORY_PREFIX_TABLE,2,FALSE),"OTH")&amp;"-"&amp;TEXT(ROW()-2,"0000"))</f>
        <v/>
      </c>
      <c r="B284" s="24" t="n"/>
      <c r="C284" s="23" t="n"/>
      <c r="D284" s="23" t="n"/>
      <c r="E284" s="23" t="n"/>
      <c r="F284" s="23" t="n"/>
      <c r="G284" s="23" t="n"/>
      <c r="H284" s="23" t="n"/>
      <c r="I284" s="23" t="n"/>
      <c r="J284" s="23" t="n"/>
      <c r="K284" s="25">
        <f>IF(I284="","",IF(J284="BDT",I284,IF(J284="USD",I284*USD_BDT,IF(J284="RMB",I284*RMB_BDT,""))))</f>
        <v/>
      </c>
      <c r="L284" s="25" t="n"/>
      <c r="M284" s="26" t="n"/>
      <c r="N284" s="25" t="n"/>
      <c r="O284" s="25">
        <f>IF(K284="","",K284+IFERROR(L284,0)+(K284*IF(M284="",CUSTOMS_PCT,M284))+IF(N284="",MISC_FEE,N284))</f>
        <v/>
      </c>
      <c r="P284" s="25">
        <f>IF(O284="","",ROUND(O284*(1+MARKUP_PCT),-1)-1)</f>
        <v/>
      </c>
      <c r="Q284" s="25">
        <f>IF(P284="","",P284-O284)</f>
        <v/>
      </c>
      <c r="R284" s="26">
        <f>IF(OR(P284="",P284=0),"",Q284/P284)</f>
        <v/>
      </c>
      <c r="S284" s="23" t="n"/>
      <c r="T284" s="23" t="n"/>
      <c r="U284" s="23" t="n"/>
      <c r="V284" s="23" t="n"/>
      <c r="W284" s="23" t="n"/>
      <c r="X284" s="23" t="n"/>
      <c r="Y284" s="23" t="n"/>
      <c r="Z284" s="23" t="n"/>
      <c r="AA284" s="23" t="n"/>
      <c r="AB284" s="23" t="n"/>
      <c r="AC284" s="27">
        <f>IF(COUNT(S284:AB284)&lt;10,"",(S284*W_FEMININE+T284*W_TREND+U284*W_AESTHETIC+V284*W_STYLE+W284*W_LIGHT+X284*W_REELS+Y284*W_GIFT+Z284*W_PRICEFIT+AA284*W_DEMAND+AB284*W_QUALITY)/5*100)</f>
        <v/>
      </c>
      <c r="AD284" s="23">
        <f>IF(P284="","",IF(P284&gt;HARD_REJECT_PRICE,"Reject",IF(P284&gt;MAX_PRICE,"Price Review",IF(AC284="","",IF(AND(AC284&gt;=BUY_THRESHOLD,OR(AB284&lt;=2,U284&lt;=2)),"Maybe",IF(AC284&gt;=BUY_THRESHOLD,"Buy",IF(AC284&gt;=MAYBE_THRESHOLD,"Maybe","Reject")))))))</f>
        <v/>
      </c>
      <c r="AE284" s="23" t="n"/>
      <c r="AF284" s="23" t="n"/>
      <c r="AG284" s="23" t="n"/>
      <c r="AH284" s="23" t="n"/>
      <c r="AI284" s="24" t="n"/>
      <c r="AJ284">
        <f>IF(AC284="",-9999-ROW()*0.0000001,AC284-ROW()*0.0000001)</f>
        <v/>
      </c>
      <c r="AK284">
        <f>IF(OR(AC284="",P284="",P284&gt;MAX_PRICE),-9999-ROW()*0.0000001,AC284-ROW()*0.0000001)</f>
        <v/>
      </c>
      <c r="AL284">
        <f>IF(AC284="",-9999-ROW()*0.0000001,X284*1000+AC284-ROW()*0.0000001)</f>
        <v/>
      </c>
      <c r="AM284">
        <f>IF(AC284="",-9999-ROW()*0.0000001,Y284*1000+AC284-ROW()*0.0000001)</f>
        <v/>
      </c>
      <c r="AN284">
        <f>IF(AND(OR(AD284="Maybe",AD284="Price Review"),AG284&lt;&gt;"Approved",AG284&lt;&gt;"Rejected"),IF(AC284="",0,AC284)-ROW()*0.0000001,-9999-ROW()*0.0000001)</f>
        <v/>
      </c>
      <c r="AO284" s="28" t="n"/>
      <c r="AP284" s="28" t="n"/>
      <c r="AQ284" s="29" t="n"/>
      <c r="AR284" s="29" t="n"/>
      <c r="AS284" s="23" t="n"/>
      <c r="AT284" s="29" t="n"/>
      <c r="AU284" s="29" t="n"/>
      <c r="AV284" s="29" t="n"/>
      <c r="AW284" s="25">
        <f>IF(OR(O284="",AV284=""),"",O284*AV284)</f>
        <v/>
      </c>
      <c r="AX284" s="23" t="n"/>
      <c r="AY284" s="23" t="n"/>
      <c r="AZ284" s="23" t="n"/>
      <c r="BA284" s="23" t="n"/>
      <c r="BB284" s="23" t="n"/>
      <c r="BC284" s="25" t="n"/>
      <c r="BD284" s="23" t="n"/>
      <c r="BE284" s="23">
        <f>IF(C284="","",IF(AND(ISNUMBER(P284),P284&gt;MAX_PRICE),"Price too high",IF(AND(ISNUMBER(AB284),AB284&lt;=2),"Quality risk",IF(AND(ISNUMBER(U284),U284&lt;=2),"Aesthetic mismatch",IF(AY284="High","Too fragile",IF(AND(ISNUMBER(R284),R284&lt;LOW_PROFIT_PCT),"Low profit",IF(AND(ISNUMBER(AT284),AT284&gt;MOQ_WARNING),"MOQ too high",IF(OR(AD284="Maybe",AD284="Price Review"),"Needs partner review",IF(AD284="Buy","Good candidate","")))))))))</f>
        <v/>
      </c>
      <c r="BF284" s="23" t="n"/>
      <c r="BG284" s="23" t="n"/>
      <c r="BH284" s="23" t="n"/>
      <c r="BI284" s="23" t="n"/>
      <c r="BJ284" s="23" t="n"/>
      <c r="BK284" s="23" t="n"/>
      <c r="BL284" s="23">
        <f>IF(C284="","",IF(AND(BG284="Yes",BH284="Yes",BI284="Yes",BJ284="Yes",BK284="Yes"),"Yes","No"))</f>
        <v/>
      </c>
      <c r="BM284" s="25" t="n"/>
      <c r="BN284" s="25" t="n"/>
      <c r="BO284" s="25">
        <f>IF(OR(BM284="",BN284=""),"",BM284+BN284)</f>
        <v/>
      </c>
      <c r="BP284" s="25" t="n"/>
      <c r="BQ284" s="25">
        <f>IF(OR(BP284="",BO284=""),"",BP284-BO284)</f>
        <v/>
      </c>
      <c r="BR284" s="26">
        <f>IF(OR(BP284="",BP284=0,BQ284=""),"",BQ284/BP284)</f>
        <v/>
      </c>
      <c r="BS284" s="24" t="n"/>
      <c r="BT284" s="29" t="n"/>
      <c r="BU284" s="29" t="n"/>
      <c r="BV284" s="23" t="n"/>
      <c r="BW284" s="23" t="n"/>
      <c r="BX284" s="29">
        <f>IF(OR(BT284="",BU284=""),"",BT284-BU284)</f>
        <v/>
      </c>
      <c r="BY284" s="23" t="n"/>
      <c r="BZ284" s="24" t="n"/>
      <c r="CA284" s="23" t="n"/>
      <c r="CB284" s="23" t="n"/>
    </row>
    <row r="285">
      <c r="A285" s="16">
        <f>IF(C285="","","AYN-"&amp;IFERROR(VLOOKUP(E285,CATEGORY_PREFIX_TABLE,2,FALSE),"OTH")&amp;"-"&amp;TEXT(ROW()-2,"0000"))</f>
        <v/>
      </c>
      <c r="B285" s="17" t="n"/>
      <c r="C285" s="16" t="n"/>
      <c r="D285" s="16" t="n"/>
      <c r="E285" s="16" t="n"/>
      <c r="F285" s="16" t="n"/>
      <c r="G285" s="16" t="n"/>
      <c r="H285" s="16" t="n"/>
      <c r="I285" s="16" t="n"/>
      <c r="J285" s="16" t="n"/>
      <c r="K285" s="18">
        <f>IF(I285="","",IF(J285="BDT",I285,IF(J285="USD",I285*USD_BDT,IF(J285="RMB",I285*RMB_BDT,""))))</f>
        <v/>
      </c>
      <c r="L285" s="18" t="n"/>
      <c r="M285" s="19" t="n"/>
      <c r="N285" s="18" t="n"/>
      <c r="O285" s="18">
        <f>IF(K285="","",K285+IFERROR(L285,0)+(K285*IF(M285="",CUSTOMS_PCT,M285))+IF(N285="",MISC_FEE,N285))</f>
        <v/>
      </c>
      <c r="P285" s="18">
        <f>IF(O285="","",ROUND(O285*(1+MARKUP_PCT),-1)-1)</f>
        <v/>
      </c>
      <c r="Q285" s="18">
        <f>IF(P285="","",P285-O285)</f>
        <v/>
      </c>
      <c r="R285" s="19">
        <f>IF(OR(P285="",P285=0),"",Q285/P285)</f>
        <v/>
      </c>
      <c r="S285" s="16" t="n"/>
      <c r="T285" s="16" t="n"/>
      <c r="U285" s="16" t="n"/>
      <c r="V285" s="16" t="n"/>
      <c r="W285" s="16" t="n"/>
      <c r="X285" s="16" t="n"/>
      <c r="Y285" s="16" t="n"/>
      <c r="Z285" s="16" t="n"/>
      <c r="AA285" s="16" t="n"/>
      <c r="AB285" s="16" t="n"/>
      <c r="AC285" s="20">
        <f>IF(COUNT(S285:AB285)&lt;10,"",(S285*W_FEMININE+T285*W_TREND+U285*W_AESTHETIC+V285*W_STYLE+W285*W_LIGHT+X285*W_REELS+Y285*W_GIFT+Z285*W_PRICEFIT+AA285*W_DEMAND+AB285*W_QUALITY)/5*100)</f>
        <v/>
      </c>
      <c r="AD285" s="16">
        <f>IF(P285="","",IF(P285&gt;HARD_REJECT_PRICE,"Reject",IF(P285&gt;MAX_PRICE,"Price Review",IF(AC285="","",IF(AND(AC285&gt;=BUY_THRESHOLD,OR(AB285&lt;=2,U285&lt;=2)),"Maybe",IF(AC285&gt;=BUY_THRESHOLD,"Buy",IF(AC285&gt;=MAYBE_THRESHOLD,"Maybe","Reject")))))))</f>
        <v/>
      </c>
      <c r="AE285" s="16" t="n"/>
      <c r="AF285" s="16" t="n"/>
      <c r="AG285" s="16" t="n"/>
      <c r="AH285" s="16" t="n"/>
      <c r="AI285" s="17" t="n"/>
      <c r="AJ285">
        <f>IF(AC285="",-9999-ROW()*0.0000001,AC285-ROW()*0.0000001)</f>
        <v/>
      </c>
      <c r="AK285">
        <f>IF(OR(AC285="",P285="",P285&gt;MAX_PRICE),-9999-ROW()*0.0000001,AC285-ROW()*0.0000001)</f>
        <v/>
      </c>
      <c r="AL285">
        <f>IF(AC285="",-9999-ROW()*0.0000001,X285*1000+AC285-ROW()*0.0000001)</f>
        <v/>
      </c>
      <c r="AM285">
        <f>IF(AC285="",-9999-ROW()*0.0000001,Y285*1000+AC285-ROW()*0.0000001)</f>
        <v/>
      </c>
      <c r="AN285">
        <f>IF(AND(OR(AD285="Maybe",AD285="Price Review"),AG285&lt;&gt;"Approved",AG285&lt;&gt;"Rejected"),IF(AC285="",0,AC285)-ROW()*0.0000001,-9999-ROW()*0.0000001)</f>
        <v/>
      </c>
      <c r="AO285" s="21" t="n"/>
      <c r="AP285" s="21" t="n"/>
      <c r="AQ285" s="22" t="n"/>
      <c r="AR285" s="22" t="n"/>
      <c r="AS285" s="16" t="n"/>
      <c r="AT285" s="22" t="n"/>
      <c r="AU285" s="22" t="n"/>
      <c r="AV285" s="22" t="n"/>
      <c r="AW285" s="18">
        <f>IF(OR(O285="",AV285=""),"",O285*AV285)</f>
        <v/>
      </c>
      <c r="AX285" s="16" t="n"/>
      <c r="AY285" s="16" t="n"/>
      <c r="AZ285" s="16" t="n"/>
      <c r="BA285" s="16" t="n"/>
      <c r="BB285" s="16" t="n"/>
      <c r="BC285" s="18" t="n"/>
      <c r="BD285" s="16" t="n"/>
      <c r="BE285" s="16">
        <f>IF(C285="","",IF(AND(ISNUMBER(P285),P285&gt;MAX_PRICE),"Price too high",IF(AND(ISNUMBER(AB285),AB285&lt;=2),"Quality risk",IF(AND(ISNUMBER(U285),U285&lt;=2),"Aesthetic mismatch",IF(AY285="High","Too fragile",IF(AND(ISNUMBER(R285),R285&lt;LOW_PROFIT_PCT),"Low profit",IF(AND(ISNUMBER(AT285),AT285&gt;MOQ_WARNING),"MOQ too high",IF(OR(AD285="Maybe",AD285="Price Review"),"Needs partner review",IF(AD285="Buy","Good candidate","")))))))))</f>
        <v/>
      </c>
      <c r="BF285" s="16" t="n"/>
      <c r="BG285" s="16" t="n"/>
      <c r="BH285" s="16" t="n"/>
      <c r="BI285" s="16" t="n"/>
      <c r="BJ285" s="16" t="n"/>
      <c r="BK285" s="16" t="n"/>
      <c r="BL285" s="16">
        <f>IF(C285="","",IF(AND(BG285="Yes",BH285="Yes",BI285="Yes",BJ285="Yes",BK285="Yes"),"Yes","No"))</f>
        <v/>
      </c>
      <c r="BM285" s="18" t="n"/>
      <c r="BN285" s="18" t="n"/>
      <c r="BO285" s="18">
        <f>IF(OR(BM285="",BN285=""),"",BM285+BN285)</f>
        <v/>
      </c>
      <c r="BP285" s="18" t="n"/>
      <c r="BQ285" s="18">
        <f>IF(OR(BP285="",BO285=""),"",BP285-BO285)</f>
        <v/>
      </c>
      <c r="BR285" s="19">
        <f>IF(OR(BP285="",BP285=0,BQ285=""),"",BQ285/BP285)</f>
        <v/>
      </c>
      <c r="BS285" s="17" t="n"/>
      <c r="BT285" s="22" t="n"/>
      <c r="BU285" s="22" t="n"/>
      <c r="BV285" s="16" t="n"/>
      <c r="BW285" s="16" t="n"/>
      <c r="BX285" s="22">
        <f>IF(OR(BT285="",BU285=""),"",BT285-BU285)</f>
        <v/>
      </c>
      <c r="BY285" s="16" t="n"/>
      <c r="BZ285" s="17" t="n"/>
      <c r="CA285" s="16" t="n"/>
      <c r="CB285" s="16" t="n"/>
    </row>
    <row r="286">
      <c r="A286" s="23">
        <f>IF(C286="","","AYN-"&amp;IFERROR(VLOOKUP(E286,CATEGORY_PREFIX_TABLE,2,FALSE),"OTH")&amp;"-"&amp;TEXT(ROW()-2,"0000"))</f>
        <v/>
      </c>
      <c r="B286" s="24" t="n"/>
      <c r="C286" s="23" t="n"/>
      <c r="D286" s="23" t="n"/>
      <c r="E286" s="23" t="n"/>
      <c r="F286" s="23" t="n"/>
      <c r="G286" s="23" t="n"/>
      <c r="H286" s="23" t="n"/>
      <c r="I286" s="23" t="n"/>
      <c r="J286" s="23" t="n"/>
      <c r="K286" s="25">
        <f>IF(I286="","",IF(J286="BDT",I286,IF(J286="USD",I286*USD_BDT,IF(J286="RMB",I286*RMB_BDT,""))))</f>
        <v/>
      </c>
      <c r="L286" s="25" t="n"/>
      <c r="M286" s="26" t="n"/>
      <c r="N286" s="25" t="n"/>
      <c r="O286" s="25">
        <f>IF(K286="","",K286+IFERROR(L286,0)+(K286*IF(M286="",CUSTOMS_PCT,M286))+IF(N286="",MISC_FEE,N286))</f>
        <v/>
      </c>
      <c r="P286" s="25">
        <f>IF(O286="","",ROUND(O286*(1+MARKUP_PCT),-1)-1)</f>
        <v/>
      </c>
      <c r="Q286" s="25">
        <f>IF(P286="","",P286-O286)</f>
        <v/>
      </c>
      <c r="R286" s="26">
        <f>IF(OR(P286="",P286=0),"",Q286/P286)</f>
        <v/>
      </c>
      <c r="S286" s="23" t="n"/>
      <c r="T286" s="23" t="n"/>
      <c r="U286" s="23" t="n"/>
      <c r="V286" s="23" t="n"/>
      <c r="W286" s="23" t="n"/>
      <c r="X286" s="23" t="n"/>
      <c r="Y286" s="23" t="n"/>
      <c r="Z286" s="23" t="n"/>
      <c r="AA286" s="23" t="n"/>
      <c r="AB286" s="23" t="n"/>
      <c r="AC286" s="27">
        <f>IF(COUNT(S286:AB286)&lt;10,"",(S286*W_FEMININE+T286*W_TREND+U286*W_AESTHETIC+V286*W_STYLE+W286*W_LIGHT+X286*W_REELS+Y286*W_GIFT+Z286*W_PRICEFIT+AA286*W_DEMAND+AB286*W_QUALITY)/5*100)</f>
        <v/>
      </c>
      <c r="AD286" s="23">
        <f>IF(P286="","",IF(P286&gt;HARD_REJECT_PRICE,"Reject",IF(P286&gt;MAX_PRICE,"Price Review",IF(AC286="","",IF(AND(AC286&gt;=BUY_THRESHOLD,OR(AB286&lt;=2,U286&lt;=2)),"Maybe",IF(AC286&gt;=BUY_THRESHOLD,"Buy",IF(AC286&gt;=MAYBE_THRESHOLD,"Maybe","Reject")))))))</f>
        <v/>
      </c>
      <c r="AE286" s="23" t="n"/>
      <c r="AF286" s="23" t="n"/>
      <c r="AG286" s="23" t="n"/>
      <c r="AH286" s="23" t="n"/>
      <c r="AI286" s="24" t="n"/>
      <c r="AJ286">
        <f>IF(AC286="",-9999-ROW()*0.0000001,AC286-ROW()*0.0000001)</f>
        <v/>
      </c>
      <c r="AK286">
        <f>IF(OR(AC286="",P286="",P286&gt;MAX_PRICE),-9999-ROW()*0.0000001,AC286-ROW()*0.0000001)</f>
        <v/>
      </c>
      <c r="AL286">
        <f>IF(AC286="",-9999-ROW()*0.0000001,X286*1000+AC286-ROW()*0.0000001)</f>
        <v/>
      </c>
      <c r="AM286">
        <f>IF(AC286="",-9999-ROW()*0.0000001,Y286*1000+AC286-ROW()*0.0000001)</f>
        <v/>
      </c>
      <c r="AN286">
        <f>IF(AND(OR(AD286="Maybe",AD286="Price Review"),AG286&lt;&gt;"Approved",AG286&lt;&gt;"Rejected"),IF(AC286="",0,AC286)-ROW()*0.0000001,-9999-ROW()*0.0000001)</f>
        <v/>
      </c>
      <c r="AO286" s="28" t="n"/>
      <c r="AP286" s="28" t="n"/>
      <c r="AQ286" s="29" t="n"/>
      <c r="AR286" s="29" t="n"/>
      <c r="AS286" s="23" t="n"/>
      <c r="AT286" s="29" t="n"/>
      <c r="AU286" s="29" t="n"/>
      <c r="AV286" s="29" t="n"/>
      <c r="AW286" s="25">
        <f>IF(OR(O286="",AV286=""),"",O286*AV286)</f>
        <v/>
      </c>
      <c r="AX286" s="23" t="n"/>
      <c r="AY286" s="23" t="n"/>
      <c r="AZ286" s="23" t="n"/>
      <c r="BA286" s="23" t="n"/>
      <c r="BB286" s="23" t="n"/>
      <c r="BC286" s="25" t="n"/>
      <c r="BD286" s="23" t="n"/>
      <c r="BE286" s="23">
        <f>IF(C286="","",IF(AND(ISNUMBER(P286),P286&gt;MAX_PRICE),"Price too high",IF(AND(ISNUMBER(AB286),AB286&lt;=2),"Quality risk",IF(AND(ISNUMBER(U286),U286&lt;=2),"Aesthetic mismatch",IF(AY286="High","Too fragile",IF(AND(ISNUMBER(R286),R286&lt;LOW_PROFIT_PCT),"Low profit",IF(AND(ISNUMBER(AT286),AT286&gt;MOQ_WARNING),"MOQ too high",IF(OR(AD286="Maybe",AD286="Price Review"),"Needs partner review",IF(AD286="Buy","Good candidate","")))))))))</f>
        <v/>
      </c>
      <c r="BF286" s="23" t="n"/>
      <c r="BG286" s="23" t="n"/>
      <c r="BH286" s="23" t="n"/>
      <c r="BI286" s="23" t="n"/>
      <c r="BJ286" s="23" t="n"/>
      <c r="BK286" s="23" t="n"/>
      <c r="BL286" s="23">
        <f>IF(C286="","",IF(AND(BG286="Yes",BH286="Yes",BI286="Yes",BJ286="Yes",BK286="Yes"),"Yes","No"))</f>
        <v/>
      </c>
      <c r="BM286" s="25" t="n"/>
      <c r="BN286" s="25" t="n"/>
      <c r="BO286" s="25">
        <f>IF(OR(BM286="",BN286=""),"",BM286+BN286)</f>
        <v/>
      </c>
      <c r="BP286" s="25" t="n"/>
      <c r="BQ286" s="25">
        <f>IF(OR(BP286="",BO286=""),"",BP286-BO286)</f>
        <v/>
      </c>
      <c r="BR286" s="26">
        <f>IF(OR(BP286="",BP286=0,BQ286=""),"",BQ286/BP286)</f>
        <v/>
      </c>
      <c r="BS286" s="24" t="n"/>
      <c r="BT286" s="29" t="n"/>
      <c r="BU286" s="29" t="n"/>
      <c r="BV286" s="23" t="n"/>
      <c r="BW286" s="23" t="n"/>
      <c r="BX286" s="29">
        <f>IF(OR(BT286="",BU286=""),"",BT286-BU286)</f>
        <v/>
      </c>
      <c r="BY286" s="23" t="n"/>
      <c r="BZ286" s="24" t="n"/>
      <c r="CA286" s="23" t="n"/>
      <c r="CB286" s="23" t="n"/>
    </row>
    <row r="287">
      <c r="A287" s="16">
        <f>IF(C287="","","AYN-"&amp;IFERROR(VLOOKUP(E287,CATEGORY_PREFIX_TABLE,2,FALSE),"OTH")&amp;"-"&amp;TEXT(ROW()-2,"0000"))</f>
        <v/>
      </c>
      <c r="B287" s="17" t="n"/>
      <c r="C287" s="16" t="n"/>
      <c r="D287" s="16" t="n"/>
      <c r="E287" s="16" t="n"/>
      <c r="F287" s="16" t="n"/>
      <c r="G287" s="16" t="n"/>
      <c r="H287" s="16" t="n"/>
      <c r="I287" s="16" t="n"/>
      <c r="J287" s="16" t="n"/>
      <c r="K287" s="18">
        <f>IF(I287="","",IF(J287="BDT",I287,IF(J287="USD",I287*USD_BDT,IF(J287="RMB",I287*RMB_BDT,""))))</f>
        <v/>
      </c>
      <c r="L287" s="18" t="n"/>
      <c r="M287" s="19" t="n"/>
      <c r="N287" s="18" t="n"/>
      <c r="O287" s="18">
        <f>IF(K287="","",K287+IFERROR(L287,0)+(K287*IF(M287="",CUSTOMS_PCT,M287))+IF(N287="",MISC_FEE,N287))</f>
        <v/>
      </c>
      <c r="P287" s="18">
        <f>IF(O287="","",ROUND(O287*(1+MARKUP_PCT),-1)-1)</f>
        <v/>
      </c>
      <c r="Q287" s="18">
        <f>IF(P287="","",P287-O287)</f>
        <v/>
      </c>
      <c r="R287" s="19">
        <f>IF(OR(P287="",P287=0),"",Q287/P287)</f>
        <v/>
      </c>
      <c r="S287" s="16" t="n"/>
      <c r="T287" s="16" t="n"/>
      <c r="U287" s="16" t="n"/>
      <c r="V287" s="16" t="n"/>
      <c r="W287" s="16" t="n"/>
      <c r="X287" s="16" t="n"/>
      <c r="Y287" s="16" t="n"/>
      <c r="Z287" s="16" t="n"/>
      <c r="AA287" s="16" t="n"/>
      <c r="AB287" s="16" t="n"/>
      <c r="AC287" s="20">
        <f>IF(COUNT(S287:AB287)&lt;10,"",(S287*W_FEMININE+T287*W_TREND+U287*W_AESTHETIC+V287*W_STYLE+W287*W_LIGHT+X287*W_REELS+Y287*W_GIFT+Z287*W_PRICEFIT+AA287*W_DEMAND+AB287*W_QUALITY)/5*100)</f>
        <v/>
      </c>
      <c r="AD287" s="16">
        <f>IF(P287="","",IF(P287&gt;HARD_REJECT_PRICE,"Reject",IF(P287&gt;MAX_PRICE,"Price Review",IF(AC287="","",IF(AND(AC287&gt;=BUY_THRESHOLD,OR(AB287&lt;=2,U287&lt;=2)),"Maybe",IF(AC287&gt;=BUY_THRESHOLD,"Buy",IF(AC287&gt;=MAYBE_THRESHOLD,"Maybe","Reject")))))))</f>
        <v/>
      </c>
      <c r="AE287" s="16" t="n"/>
      <c r="AF287" s="16" t="n"/>
      <c r="AG287" s="16" t="n"/>
      <c r="AH287" s="16" t="n"/>
      <c r="AI287" s="17" t="n"/>
      <c r="AJ287">
        <f>IF(AC287="",-9999-ROW()*0.0000001,AC287-ROW()*0.0000001)</f>
        <v/>
      </c>
      <c r="AK287">
        <f>IF(OR(AC287="",P287="",P287&gt;MAX_PRICE),-9999-ROW()*0.0000001,AC287-ROW()*0.0000001)</f>
        <v/>
      </c>
      <c r="AL287">
        <f>IF(AC287="",-9999-ROW()*0.0000001,X287*1000+AC287-ROW()*0.0000001)</f>
        <v/>
      </c>
      <c r="AM287">
        <f>IF(AC287="",-9999-ROW()*0.0000001,Y287*1000+AC287-ROW()*0.0000001)</f>
        <v/>
      </c>
      <c r="AN287">
        <f>IF(AND(OR(AD287="Maybe",AD287="Price Review"),AG287&lt;&gt;"Approved",AG287&lt;&gt;"Rejected"),IF(AC287="",0,AC287)-ROW()*0.0000001,-9999-ROW()*0.0000001)</f>
        <v/>
      </c>
      <c r="AO287" s="21" t="n"/>
      <c r="AP287" s="21" t="n"/>
      <c r="AQ287" s="22" t="n"/>
      <c r="AR287" s="22" t="n"/>
      <c r="AS287" s="16" t="n"/>
      <c r="AT287" s="22" t="n"/>
      <c r="AU287" s="22" t="n"/>
      <c r="AV287" s="22" t="n"/>
      <c r="AW287" s="18">
        <f>IF(OR(O287="",AV287=""),"",O287*AV287)</f>
        <v/>
      </c>
      <c r="AX287" s="16" t="n"/>
      <c r="AY287" s="16" t="n"/>
      <c r="AZ287" s="16" t="n"/>
      <c r="BA287" s="16" t="n"/>
      <c r="BB287" s="16" t="n"/>
      <c r="BC287" s="18" t="n"/>
      <c r="BD287" s="16" t="n"/>
      <c r="BE287" s="16">
        <f>IF(C287="","",IF(AND(ISNUMBER(P287),P287&gt;MAX_PRICE),"Price too high",IF(AND(ISNUMBER(AB287),AB287&lt;=2),"Quality risk",IF(AND(ISNUMBER(U287),U287&lt;=2),"Aesthetic mismatch",IF(AY287="High","Too fragile",IF(AND(ISNUMBER(R287),R287&lt;LOW_PROFIT_PCT),"Low profit",IF(AND(ISNUMBER(AT287),AT287&gt;MOQ_WARNING),"MOQ too high",IF(OR(AD287="Maybe",AD287="Price Review"),"Needs partner review",IF(AD287="Buy","Good candidate","")))))))))</f>
        <v/>
      </c>
      <c r="BF287" s="16" t="n"/>
      <c r="BG287" s="16" t="n"/>
      <c r="BH287" s="16" t="n"/>
      <c r="BI287" s="16" t="n"/>
      <c r="BJ287" s="16" t="n"/>
      <c r="BK287" s="16" t="n"/>
      <c r="BL287" s="16">
        <f>IF(C287="","",IF(AND(BG287="Yes",BH287="Yes",BI287="Yes",BJ287="Yes",BK287="Yes"),"Yes","No"))</f>
        <v/>
      </c>
      <c r="BM287" s="18" t="n"/>
      <c r="BN287" s="18" t="n"/>
      <c r="BO287" s="18">
        <f>IF(OR(BM287="",BN287=""),"",BM287+BN287)</f>
        <v/>
      </c>
      <c r="BP287" s="18" t="n"/>
      <c r="BQ287" s="18">
        <f>IF(OR(BP287="",BO287=""),"",BP287-BO287)</f>
        <v/>
      </c>
      <c r="BR287" s="19">
        <f>IF(OR(BP287="",BP287=0,BQ287=""),"",BQ287/BP287)</f>
        <v/>
      </c>
      <c r="BS287" s="17" t="n"/>
      <c r="BT287" s="22" t="n"/>
      <c r="BU287" s="22" t="n"/>
      <c r="BV287" s="16" t="n"/>
      <c r="BW287" s="16" t="n"/>
      <c r="BX287" s="22">
        <f>IF(OR(BT287="",BU287=""),"",BT287-BU287)</f>
        <v/>
      </c>
      <c r="BY287" s="16" t="n"/>
      <c r="BZ287" s="17" t="n"/>
      <c r="CA287" s="16" t="n"/>
      <c r="CB287" s="16" t="n"/>
    </row>
    <row r="288">
      <c r="A288" s="23">
        <f>IF(C288="","","AYN-"&amp;IFERROR(VLOOKUP(E288,CATEGORY_PREFIX_TABLE,2,FALSE),"OTH")&amp;"-"&amp;TEXT(ROW()-2,"0000"))</f>
        <v/>
      </c>
      <c r="B288" s="24" t="n"/>
      <c r="C288" s="23" t="n"/>
      <c r="D288" s="23" t="n"/>
      <c r="E288" s="23" t="n"/>
      <c r="F288" s="23" t="n"/>
      <c r="G288" s="23" t="n"/>
      <c r="H288" s="23" t="n"/>
      <c r="I288" s="23" t="n"/>
      <c r="J288" s="23" t="n"/>
      <c r="K288" s="25">
        <f>IF(I288="","",IF(J288="BDT",I288,IF(J288="USD",I288*USD_BDT,IF(J288="RMB",I288*RMB_BDT,""))))</f>
        <v/>
      </c>
      <c r="L288" s="25" t="n"/>
      <c r="M288" s="26" t="n"/>
      <c r="N288" s="25" t="n"/>
      <c r="O288" s="25">
        <f>IF(K288="","",K288+IFERROR(L288,0)+(K288*IF(M288="",CUSTOMS_PCT,M288))+IF(N288="",MISC_FEE,N288))</f>
        <v/>
      </c>
      <c r="P288" s="25">
        <f>IF(O288="","",ROUND(O288*(1+MARKUP_PCT),-1)-1)</f>
        <v/>
      </c>
      <c r="Q288" s="25">
        <f>IF(P288="","",P288-O288)</f>
        <v/>
      </c>
      <c r="R288" s="26">
        <f>IF(OR(P288="",P288=0),"",Q288/P288)</f>
        <v/>
      </c>
      <c r="S288" s="23" t="n"/>
      <c r="T288" s="23" t="n"/>
      <c r="U288" s="23" t="n"/>
      <c r="V288" s="23" t="n"/>
      <c r="W288" s="23" t="n"/>
      <c r="X288" s="23" t="n"/>
      <c r="Y288" s="23" t="n"/>
      <c r="Z288" s="23" t="n"/>
      <c r="AA288" s="23" t="n"/>
      <c r="AB288" s="23" t="n"/>
      <c r="AC288" s="27">
        <f>IF(COUNT(S288:AB288)&lt;10,"",(S288*W_FEMININE+T288*W_TREND+U288*W_AESTHETIC+V288*W_STYLE+W288*W_LIGHT+X288*W_REELS+Y288*W_GIFT+Z288*W_PRICEFIT+AA288*W_DEMAND+AB288*W_QUALITY)/5*100)</f>
        <v/>
      </c>
      <c r="AD288" s="23">
        <f>IF(P288="","",IF(P288&gt;HARD_REJECT_PRICE,"Reject",IF(P288&gt;MAX_PRICE,"Price Review",IF(AC288="","",IF(AND(AC288&gt;=BUY_THRESHOLD,OR(AB288&lt;=2,U288&lt;=2)),"Maybe",IF(AC288&gt;=BUY_THRESHOLD,"Buy",IF(AC288&gt;=MAYBE_THRESHOLD,"Maybe","Reject")))))))</f>
        <v/>
      </c>
      <c r="AE288" s="23" t="n"/>
      <c r="AF288" s="23" t="n"/>
      <c r="AG288" s="23" t="n"/>
      <c r="AH288" s="23" t="n"/>
      <c r="AI288" s="24" t="n"/>
      <c r="AJ288">
        <f>IF(AC288="",-9999-ROW()*0.0000001,AC288-ROW()*0.0000001)</f>
        <v/>
      </c>
      <c r="AK288">
        <f>IF(OR(AC288="",P288="",P288&gt;MAX_PRICE),-9999-ROW()*0.0000001,AC288-ROW()*0.0000001)</f>
        <v/>
      </c>
      <c r="AL288">
        <f>IF(AC288="",-9999-ROW()*0.0000001,X288*1000+AC288-ROW()*0.0000001)</f>
        <v/>
      </c>
      <c r="AM288">
        <f>IF(AC288="",-9999-ROW()*0.0000001,Y288*1000+AC288-ROW()*0.0000001)</f>
        <v/>
      </c>
      <c r="AN288">
        <f>IF(AND(OR(AD288="Maybe",AD288="Price Review"),AG288&lt;&gt;"Approved",AG288&lt;&gt;"Rejected"),IF(AC288="",0,AC288)-ROW()*0.0000001,-9999-ROW()*0.0000001)</f>
        <v/>
      </c>
      <c r="AO288" s="28" t="n"/>
      <c r="AP288" s="28" t="n"/>
      <c r="AQ288" s="29" t="n"/>
      <c r="AR288" s="29" t="n"/>
      <c r="AS288" s="23" t="n"/>
      <c r="AT288" s="29" t="n"/>
      <c r="AU288" s="29" t="n"/>
      <c r="AV288" s="29" t="n"/>
      <c r="AW288" s="25">
        <f>IF(OR(O288="",AV288=""),"",O288*AV288)</f>
        <v/>
      </c>
      <c r="AX288" s="23" t="n"/>
      <c r="AY288" s="23" t="n"/>
      <c r="AZ288" s="23" t="n"/>
      <c r="BA288" s="23" t="n"/>
      <c r="BB288" s="23" t="n"/>
      <c r="BC288" s="25" t="n"/>
      <c r="BD288" s="23" t="n"/>
      <c r="BE288" s="23">
        <f>IF(C288="","",IF(AND(ISNUMBER(P288),P288&gt;MAX_PRICE),"Price too high",IF(AND(ISNUMBER(AB288),AB288&lt;=2),"Quality risk",IF(AND(ISNUMBER(U288),U288&lt;=2),"Aesthetic mismatch",IF(AY288="High","Too fragile",IF(AND(ISNUMBER(R288),R288&lt;LOW_PROFIT_PCT),"Low profit",IF(AND(ISNUMBER(AT288),AT288&gt;MOQ_WARNING),"MOQ too high",IF(OR(AD288="Maybe",AD288="Price Review"),"Needs partner review",IF(AD288="Buy","Good candidate","")))))))))</f>
        <v/>
      </c>
      <c r="BF288" s="23" t="n"/>
      <c r="BG288" s="23" t="n"/>
      <c r="BH288" s="23" t="n"/>
      <c r="BI288" s="23" t="n"/>
      <c r="BJ288" s="23" t="n"/>
      <c r="BK288" s="23" t="n"/>
      <c r="BL288" s="23">
        <f>IF(C288="","",IF(AND(BG288="Yes",BH288="Yes",BI288="Yes",BJ288="Yes",BK288="Yes"),"Yes","No"))</f>
        <v/>
      </c>
      <c r="BM288" s="25" t="n"/>
      <c r="BN288" s="25" t="n"/>
      <c r="BO288" s="25">
        <f>IF(OR(BM288="",BN288=""),"",BM288+BN288)</f>
        <v/>
      </c>
      <c r="BP288" s="25" t="n"/>
      <c r="BQ288" s="25">
        <f>IF(OR(BP288="",BO288=""),"",BP288-BO288)</f>
        <v/>
      </c>
      <c r="BR288" s="26">
        <f>IF(OR(BP288="",BP288=0,BQ288=""),"",BQ288/BP288)</f>
        <v/>
      </c>
      <c r="BS288" s="24" t="n"/>
      <c r="BT288" s="29" t="n"/>
      <c r="BU288" s="29" t="n"/>
      <c r="BV288" s="23" t="n"/>
      <c r="BW288" s="23" t="n"/>
      <c r="BX288" s="29">
        <f>IF(OR(BT288="",BU288=""),"",BT288-BU288)</f>
        <v/>
      </c>
      <c r="BY288" s="23" t="n"/>
      <c r="BZ288" s="24" t="n"/>
      <c r="CA288" s="23" t="n"/>
      <c r="CB288" s="23" t="n"/>
    </row>
    <row r="289">
      <c r="A289" s="16">
        <f>IF(C289="","","AYN-"&amp;IFERROR(VLOOKUP(E289,CATEGORY_PREFIX_TABLE,2,FALSE),"OTH")&amp;"-"&amp;TEXT(ROW()-2,"0000"))</f>
        <v/>
      </c>
      <c r="B289" s="17" t="n"/>
      <c r="C289" s="16" t="n"/>
      <c r="D289" s="16" t="n"/>
      <c r="E289" s="16" t="n"/>
      <c r="F289" s="16" t="n"/>
      <c r="G289" s="16" t="n"/>
      <c r="H289" s="16" t="n"/>
      <c r="I289" s="16" t="n"/>
      <c r="J289" s="16" t="n"/>
      <c r="K289" s="18">
        <f>IF(I289="","",IF(J289="BDT",I289,IF(J289="USD",I289*USD_BDT,IF(J289="RMB",I289*RMB_BDT,""))))</f>
        <v/>
      </c>
      <c r="L289" s="18" t="n"/>
      <c r="M289" s="19" t="n"/>
      <c r="N289" s="18" t="n"/>
      <c r="O289" s="18">
        <f>IF(K289="","",K289+IFERROR(L289,0)+(K289*IF(M289="",CUSTOMS_PCT,M289))+IF(N289="",MISC_FEE,N289))</f>
        <v/>
      </c>
      <c r="P289" s="18">
        <f>IF(O289="","",ROUND(O289*(1+MARKUP_PCT),-1)-1)</f>
        <v/>
      </c>
      <c r="Q289" s="18">
        <f>IF(P289="","",P289-O289)</f>
        <v/>
      </c>
      <c r="R289" s="19">
        <f>IF(OR(P289="",P289=0),"",Q289/P289)</f>
        <v/>
      </c>
      <c r="S289" s="16" t="n"/>
      <c r="T289" s="16" t="n"/>
      <c r="U289" s="16" t="n"/>
      <c r="V289" s="16" t="n"/>
      <c r="W289" s="16" t="n"/>
      <c r="X289" s="16" t="n"/>
      <c r="Y289" s="16" t="n"/>
      <c r="Z289" s="16" t="n"/>
      <c r="AA289" s="16" t="n"/>
      <c r="AB289" s="16" t="n"/>
      <c r="AC289" s="20">
        <f>IF(COUNT(S289:AB289)&lt;10,"",(S289*W_FEMININE+T289*W_TREND+U289*W_AESTHETIC+V289*W_STYLE+W289*W_LIGHT+X289*W_REELS+Y289*W_GIFT+Z289*W_PRICEFIT+AA289*W_DEMAND+AB289*W_QUALITY)/5*100)</f>
        <v/>
      </c>
      <c r="AD289" s="16">
        <f>IF(P289="","",IF(P289&gt;HARD_REJECT_PRICE,"Reject",IF(P289&gt;MAX_PRICE,"Price Review",IF(AC289="","",IF(AND(AC289&gt;=BUY_THRESHOLD,OR(AB289&lt;=2,U289&lt;=2)),"Maybe",IF(AC289&gt;=BUY_THRESHOLD,"Buy",IF(AC289&gt;=MAYBE_THRESHOLD,"Maybe","Reject")))))))</f>
        <v/>
      </c>
      <c r="AE289" s="16" t="n"/>
      <c r="AF289" s="16" t="n"/>
      <c r="AG289" s="16" t="n"/>
      <c r="AH289" s="16" t="n"/>
      <c r="AI289" s="17" t="n"/>
      <c r="AJ289">
        <f>IF(AC289="",-9999-ROW()*0.0000001,AC289-ROW()*0.0000001)</f>
        <v/>
      </c>
      <c r="AK289">
        <f>IF(OR(AC289="",P289="",P289&gt;MAX_PRICE),-9999-ROW()*0.0000001,AC289-ROW()*0.0000001)</f>
        <v/>
      </c>
      <c r="AL289">
        <f>IF(AC289="",-9999-ROW()*0.0000001,X289*1000+AC289-ROW()*0.0000001)</f>
        <v/>
      </c>
      <c r="AM289">
        <f>IF(AC289="",-9999-ROW()*0.0000001,Y289*1000+AC289-ROW()*0.0000001)</f>
        <v/>
      </c>
      <c r="AN289">
        <f>IF(AND(OR(AD289="Maybe",AD289="Price Review"),AG289&lt;&gt;"Approved",AG289&lt;&gt;"Rejected"),IF(AC289="",0,AC289)-ROW()*0.0000001,-9999-ROW()*0.0000001)</f>
        <v/>
      </c>
      <c r="AO289" s="21" t="n"/>
      <c r="AP289" s="21" t="n"/>
      <c r="AQ289" s="22" t="n"/>
      <c r="AR289" s="22" t="n"/>
      <c r="AS289" s="16" t="n"/>
      <c r="AT289" s="22" t="n"/>
      <c r="AU289" s="22" t="n"/>
      <c r="AV289" s="22" t="n"/>
      <c r="AW289" s="18">
        <f>IF(OR(O289="",AV289=""),"",O289*AV289)</f>
        <v/>
      </c>
      <c r="AX289" s="16" t="n"/>
      <c r="AY289" s="16" t="n"/>
      <c r="AZ289" s="16" t="n"/>
      <c r="BA289" s="16" t="n"/>
      <c r="BB289" s="16" t="n"/>
      <c r="BC289" s="18" t="n"/>
      <c r="BD289" s="16" t="n"/>
      <c r="BE289" s="16">
        <f>IF(C289="","",IF(AND(ISNUMBER(P289),P289&gt;MAX_PRICE),"Price too high",IF(AND(ISNUMBER(AB289),AB289&lt;=2),"Quality risk",IF(AND(ISNUMBER(U289),U289&lt;=2),"Aesthetic mismatch",IF(AY289="High","Too fragile",IF(AND(ISNUMBER(R289),R289&lt;LOW_PROFIT_PCT),"Low profit",IF(AND(ISNUMBER(AT289),AT289&gt;MOQ_WARNING),"MOQ too high",IF(OR(AD289="Maybe",AD289="Price Review"),"Needs partner review",IF(AD289="Buy","Good candidate","")))))))))</f>
        <v/>
      </c>
      <c r="BF289" s="16" t="n"/>
      <c r="BG289" s="16" t="n"/>
      <c r="BH289" s="16" t="n"/>
      <c r="BI289" s="16" t="n"/>
      <c r="BJ289" s="16" t="n"/>
      <c r="BK289" s="16" t="n"/>
      <c r="BL289" s="16">
        <f>IF(C289="","",IF(AND(BG289="Yes",BH289="Yes",BI289="Yes",BJ289="Yes",BK289="Yes"),"Yes","No"))</f>
        <v/>
      </c>
      <c r="BM289" s="18" t="n"/>
      <c r="BN289" s="18" t="n"/>
      <c r="BO289" s="18">
        <f>IF(OR(BM289="",BN289=""),"",BM289+BN289)</f>
        <v/>
      </c>
      <c r="BP289" s="18" t="n"/>
      <c r="BQ289" s="18">
        <f>IF(OR(BP289="",BO289=""),"",BP289-BO289)</f>
        <v/>
      </c>
      <c r="BR289" s="19">
        <f>IF(OR(BP289="",BP289=0,BQ289=""),"",BQ289/BP289)</f>
        <v/>
      </c>
      <c r="BS289" s="17" t="n"/>
      <c r="BT289" s="22" t="n"/>
      <c r="BU289" s="22" t="n"/>
      <c r="BV289" s="16" t="n"/>
      <c r="BW289" s="16" t="n"/>
      <c r="BX289" s="22">
        <f>IF(OR(BT289="",BU289=""),"",BT289-BU289)</f>
        <v/>
      </c>
      <c r="BY289" s="16" t="n"/>
      <c r="BZ289" s="17" t="n"/>
      <c r="CA289" s="16" t="n"/>
      <c r="CB289" s="16" t="n"/>
    </row>
    <row r="290">
      <c r="A290" s="23">
        <f>IF(C290="","","AYN-"&amp;IFERROR(VLOOKUP(E290,CATEGORY_PREFIX_TABLE,2,FALSE),"OTH")&amp;"-"&amp;TEXT(ROW()-2,"0000"))</f>
        <v/>
      </c>
      <c r="B290" s="24" t="n"/>
      <c r="C290" s="23" t="n"/>
      <c r="D290" s="23" t="n"/>
      <c r="E290" s="23" t="n"/>
      <c r="F290" s="23" t="n"/>
      <c r="G290" s="23" t="n"/>
      <c r="H290" s="23" t="n"/>
      <c r="I290" s="23" t="n"/>
      <c r="J290" s="23" t="n"/>
      <c r="K290" s="25">
        <f>IF(I290="","",IF(J290="BDT",I290,IF(J290="USD",I290*USD_BDT,IF(J290="RMB",I290*RMB_BDT,""))))</f>
        <v/>
      </c>
      <c r="L290" s="25" t="n"/>
      <c r="M290" s="26" t="n"/>
      <c r="N290" s="25" t="n"/>
      <c r="O290" s="25">
        <f>IF(K290="","",K290+IFERROR(L290,0)+(K290*IF(M290="",CUSTOMS_PCT,M290))+IF(N290="",MISC_FEE,N290))</f>
        <v/>
      </c>
      <c r="P290" s="25">
        <f>IF(O290="","",ROUND(O290*(1+MARKUP_PCT),-1)-1)</f>
        <v/>
      </c>
      <c r="Q290" s="25">
        <f>IF(P290="","",P290-O290)</f>
        <v/>
      </c>
      <c r="R290" s="26">
        <f>IF(OR(P290="",P290=0),"",Q290/P290)</f>
        <v/>
      </c>
      <c r="S290" s="23" t="n"/>
      <c r="T290" s="23" t="n"/>
      <c r="U290" s="23" t="n"/>
      <c r="V290" s="23" t="n"/>
      <c r="W290" s="23" t="n"/>
      <c r="X290" s="23" t="n"/>
      <c r="Y290" s="23" t="n"/>
      <c r="Z290" s="23" t="n"/>
      <c r="AA290" s="23" t="n"/>
      <c r="AB290" s="23" t="n"/>
      <c r="AC290" s="27">
        <f>IF(COUNT(S290:AB290)&lt;10,"",(S290*W_FEMININE+T290*W_TREND+U290*W_AESTHETIC+V290*W_STYLE+W290*W_LIGHT+X290*W_REELS+Y290*W_GIFT+Z290*W_PRICEFIT+AA290*W_DEMAND+AB290*W_QUALITY)/5*100)</f>
        <v/>
      </c>
      <c r="AD290" s="23">
        <f>IF(P290="","",IF(P290&gt;HARD_REJECT_PRICE,"Reject",IF(P290&gt;MAX_PRICE,"Price Review",IF(AC290="","",IF(AND(AC290&gt;=BUY_THRESHOLD,OR(AB290&lt;=2,U290&lt;=2)),"Maybe",IF(AC290&gt;=BUY_THRESHOLD,"Buy",IF(AC290&gt;=MAYBE_THRESHOLD,"Maybe","Reject")))))))</f>
        <v/>
      </c>
      <c r="AE290" s="23" t="n"/>
      <c r="AF290" s="23" t="n"/>
      <c r="AG290" s="23" t="n"/>
      <c r="AH290" s="23" t="n"/>
      <c r="AI290" s="24" t="n"/>
      <c r="AJ290">
        <f>IF(AC290="",-9999-ROW()*0.0000001,AC290-ROW()*0.0000001)</f>
        <v/>
      </c>
      <c r="AK290">
        <f>IF(OR(AC290="",P290="",P290&gt;MAX_PRICE),-9999-ROW()*0.0000001,AC290-ROW()*0.0000001)</f>
        <v/>
      </c>
      <c r="AL290">
        <f>IF(AC290="",-9999-ROW()*0.0000001,X290*1000+AC290-ROW()*0.0000001)</f>
        <v/>
      </c>
      <c r="AM290">
        <f>IF(AC290="",-9999-ROW()*0.0000001,Y290*1000+AC290-ROW()*0.0000001)</f>
        <v/>
      </c>
      <c r="AN290">
        <f>IF(AND(OR(AD290="Maybe",AD290="Price Review"),AG290&lt;&gt;"Approved",AG290&lt;&gt;"Rejected"),IF(AC290="",0,AC290)-ROW()*0.0000001,-9999-ROW()*0.0000001)</f>
        <v/>
      </c>
      <c r="AO290" s="28" t="n"/>
      <c r="AP290" s="28" t="n"/>
      <c r="AQ290" s="29" t="n"/>
      <c r="AR290" s="29" t="n"/>
      <c r="AS290" s="23" t="n"/>
      <c r="AT290" s="29" t="n"/>
      <c r="AU290" s="29" t="n"/>
      <c r="AV290" s="29" t="n"/>
      <c r="AW290" s="25">
        <f>IF(OR(O290="",AV290=""),"",O290*AV290)</f>
        <v/>
      </c>
      <c r="AX290" s="23" t="n"/>
      <c r="AY290" s="23" t="n"/>
      <c r="AZ290" s="23" t="n"/>
      <c r="BA290" s="23" t="n"/>
      <c r="BB290" s="23" t="n"/>
      <c r="BC290" s="25" t="n"/>
      <c r="BD290" s="23" t="n"/>
      <c r="BE290" s="23">
        <f>IF(C290="","",IF(AND(ISNUMBER(P290),P290&gt;MAX_PRICE),"Price too high",IF(AND(ISNUMBER(AB290),AB290&lt;=2),"Quality risk",IF(AND(ISNUMBER(U290),U290&lt;=2),"Aesthetic mismatch",IF(AY290="High","Too fragile",IF(AND(ISNUMBER(R290),R290&lt;LOW_PROFIT_PCT),"Low profit",IF(AND(ISNUMBER(AT290),AT290&gt;MOQ_WARNING),"MOQ too high",IF(OR(AD290="Maybe",AD290="Price Review"),"Needs partner review",IF(AD290="Buy","Good candidate","")))))))))</f>
        <v/>
      </c>
      <c r="BF290" s="23" t="n"/>
      <c r="BG290" s="23" t="n"/>
      <c r="BH290" s="23" t="n"/>
      <c r="BI290" s="23" t="n"/>
      <c r="BJ290" s="23" t="n"/>
      <c r="BK290" s="23" t="n"/>
      <c r="BL290" s="23">
        <f>IF(C290="","",IF(AND(BG290="Yes",BH290="Yes",BI290="Yes",BJ290="Yes",BK290="Yes"),"Yes","No"))</f>
        <v/>
      </c>
      <c r="BM290" s="25" t="n"/>
      <c r="BN290" s="25" t="n"/>
      <c r="BO290" s="25">
        <f>IF(OR(BM290="",BN290=""),"",BM290+BN290)</f>
        <v/>
      </c>
      <c r="BP290" s="25" t="n"/>
      <c r="BQ290" s="25">
        <f>IF(OR(BP290="",BO290=""),"",BP290-BO290)</f>
        <v/>
      </c>
      <c r="BR290" s="26">
        <f>IF(OR(BP290="",BP290=0,BQ290=""),"",BQ290/BP290)</f>
        <v/>
      </c>
      <c r="BS290" s="24" t="n"/>
      <c r="BT290" s="29" t="n"/>
      <c r="BU290" s="29" t="n"/>
      <c r="BV290" s="23" t="n"/>
      <c r="BW290" s="23" t="n"/>
      <c r="BX290" s="29">
        <f>IF(OR(BT290="",BU290=""),"",BT290-BU290)</f>
        <v/>
      </c>
      <c r="BY290" s="23" t="n"/>
      <c r="BZ290" s="24" t="n"/>
      <c r="CA290" s="23" t="n"/>
      <c r="CB290" s="23" t="n"/>
    </row>
    <row r="291">
      <c r="A291" s="16">
        <f>IF(C291="","","AYN-"&amp;IFERROR(VLOOKUP(E291,CATEGORY_PREFIX_TABLE,2,FALSE),"OTH")&amp;"-"&amp;TEXT(ROW()-2,"0000"))</f>
        <v/>
      </c>
      <c r="B291" s="17" t="n"/>
      <c r="C291" s="16" t="n"/>
      <c r="D291" s="16" t="n"/>
      <c r="E291" s="16" t="n"/>
      <c r="F291" s="16" t="n"/>
      <c r="G291" s="16" t="n"/>
      <c r="H291" s="16" t="n"/>
      <c r="I291" s="16" t="n"/>
      <c r="J291" s="16" t="n"/>
      <c r="K291" s="18">
        <f>IF(I291="","",IF(J291="BDT",I291,IF(J291="USD",I291*USD_BDT,IF(J291="RMB",I291*RMB_BDT,""))))</f>
        <v/>
      </c>
      <c r="L291" s="18" t="n"/>
      <c r="M291" s="19" t="n"/>
      <c r="N291" s="18" t="n"/>
      <c r="O291" s="18">
        <f>IF(K291="","",K291+IFERROR(L291,0)+(K291*IF(M291="",CUSTOMS_PCT,M291))+IF(N291="",MISC_FEE,N291))</f>
        <v/>
      </c>
      <c r="P291" s="18">
        <f>IF(O291="","",ROUND(O291*(1+MARKUP_PCT),-1)-1)</f>
        <v/>
      </c>
      <c r="Q291" s="18">
        <f>IF(P291="","",P291-O291)</f>
        <v/>
      </c>
      <c r="R291" s="19">
        <f>IF(OR(P291="",P291=0),"",Q291/P291)</f>
        <v/>
      </c>
      <c r="S291" s="16" t="n"/>
      <c r="T291" s="16" t="n"/>
      <c r="U291" s="16" t="n"/>
      <c r="V291" s="16" t="n"/>
      <c r="W291" s="16" t="n"/>
      <c r="X291" s="16" t="n"/>
      <c r="Y291" s="16" t="n"/>
      <c r="Z291" s="16" t="n"/>
      <c r="AA291" s="16" t="n"/>
      <c r="AB291" s="16" t="n"/>
      <c r="AC291" s="20">
        <f>IF(COUNT(S291:AB291)&lt;10,"",(S291*W_FEMININE+T291*W_TREND+U291*W_AESTHETIC+V291*W_STYLE+W291*W_LIGHT+X291*W_REELS+Y291*W_GIFT+Z291*W_PRICEFIT+AA291*W_DEMAND+AB291*W_QUALITY)/5*100)</f>
        <v/>
      </c>
      <c r="AD291" s="16">
        <f>IF(P291="","",IF(P291&gt;HARD_REJECT_PRICE,"Reject",IF(P291&gt;MAX_PRICE,"Price Review",IF(AC291="","",IF(AND(AC291&gt;=BUY_THRESHOLD,OR(AB291&lt;=2,U291&lt;=2)),"Maybe",IF(AC291&gt;=BUY_THRESHOLD,"Buy",IF(AC291&gt;=MAYBE_THRESHOLD,"Maybe","Reject")))))))</f>
        <v/>
      </c>
      <c r="AE291" s="16" t="n"/>
      <c r="AF291" s="16" t="n"/>
      <c r="AG291" s="16" t="n"/>
      <c r="AH291" s="16" t="n"/>
      <c r="AI291" s="17" t="n"/>
      <c r="AJ291">
        <f>IF(AC291="",-9999-ROW()*0.0000001,AC291-ROW()*0.0000001)</f>
        <v/>
      </c>
      <c r="AK291">
        <f>IF(OR(AC291="",P291="",P291&gt;MAX_PRICE),-9999-ROW()*0.0000001,AC291-ROW()*0.0000001)</f>
        <v/>
      </c>
      <c r="AL291">
        <f>IF(AC291="",-9999-ROW()*0.0000001,X291*1000+AC291-ROW()*0.0000001)</f>
        <v/>
      </c>
      <c r="AM291">
        <f>IF(AC291="",-9999-ROW()*0.0000001,Y291*1000+AC291-ROW()*0.0000001)</f>
        <v/>
      </c>
      <c r="AN291">
        <f>IF(AND(OR(AD291="Maybe",AD291="Price Review"),AG291&lt;&gt;"Approved",AG291&lt;&gt;"Rejected"),IF(AC291="",0,AC291)-ROW()*0.0000001,-9999-ROW()*0.0000001)</f>
        <v/>
      </c>
      <c r="AO291" s="21" t="n"/>
      <c r="AP291" s="21" t="n"/>
      <c r="AQ291" s="22" t="n"/>
      <c r="AR291" s="22" t="n"/>
      <c r="AS291" s="16" t="n"/>
      <c r="AT291" s="22" t="n"/>
      <c r="AU291" s="22" t="n"/>
      <c r="AV291" s="22" t="n"/>
      <c r="AW291" s="18">
        <f>IF(OR(O291="",AV291=""),"",O291*AV291)</f>
        <v/>
      </c>
      <c r="AX291" s="16" t="n"/>
      <c r="AY291" s="16" t="n"/>
      <c r="AZ291" s="16" t="n"/>
      <c r="BA291" s="16" t="n"/>
      <c r="BB291" s="16" t="n"/>
      <c r="BC291" s="18" t="n"/>
      <c r="BD291" s="16" t="n"/>
      <c r="BE291" s="16">
        <f>IF(C291="","",IF(AND(ISNUMBER(P291),P291&gt;MAX_PRICE),"Price too high",IF(AND(ISNUMBER(AB291),AB291&lt;=2),"Quality risk",IF(AND(ISNUMBER(U291),U291&lt;=2),"Aesthetic mismatch",IF(AY291="High","Too fragile",IF(AND(ISNUMBER(R291),R291&lt;LOW_PROFIT_PCT),"Low profit",IF(AND(ISNUMBER(AT291),AT291&gt;MOQ_WARNING),"MOQ too high",IF(OR(AD291="Maybe",AD291="Price Review"),"Needs partner review",IF(AD291="Buy","Good candidate","")))))))))</f>
        <v/>
      </c>
      <c r="BF291" s="16" t="n"/>
      <c r="BG291" s="16" t="n"/>
      <c r="BH291" s="16" t="n"/>
      <c r="BI291" s="16" t="n"/>
      <c r="BJ291" s="16" t="n"/>
      <c r="BK291" s="16" t="n"/>
      <c r="BL291" s="16">
        <f>IF(C291="","",IF(AND(BG291="Yes",BH291="Yes",BI291="Yes",BJ291="Yes",BK291="Yes"),"Yes","No"))</f>
        <v/>
      </c>
      <c r="BM291" s="18" t="n"/>
      <c r="BN291" s="18" t="n"/>
      <c r="BO291" s="18">
        <f>IF(OR(BM291="",BN291=""),"",BM291+BN291)</f>
        <v/>
      </c>
      <c r="BP291" s="18" t="n"/>
      <c r="BQ291" s="18">
        <f>IF(OR(BP291="",BO291=""),"",BP291-BO291)</f>
        <v/>
      </c>
      <c r="BR291" s="19">
        <f>IF(OR(BP291="",BP291=0,BQ291=""),"",BQ291/BP291)</f>
        <v/>
      </c>
      <c r="BS291" s="17" t="n"/>
      <c r="BT291" s="22" t="n"/>
      <c r="BU291" s="22" t="n"/>
      <c r="BV291" s="16" t="n"/>
      <c r="BW291" s="16" t="n"/>
      <c r="BX291" s="22">
        <f>IF(OR(BT291="",BU291=""),"",BT291-BU291)</f>
        <v/>
      </c>
      <c r="BY291" s="16" t="n"/>
      <c r="BZ291" s="17" t="n"/>
      <c r="CA291" s="16" t="n"/>
      <c r="CB291" s="16" t="n"/>
    </row>
    <row r="292">
      <c r="A292" s="23">
        <f>IF(C292="","","AYN-"&amp;IFERROR(VLOOKUP(E292,CATEGORY_PREFIX_TABLE,2,FALSE),"OTH")&amp;"-"&amp;TEXT(ROW()-2,"0000"))</f>
        <v/>
      </c>
      <c r="B292" s="24" t="n"/>
      <c r="C292" s="23" t="n"/>
      <c r="D292" s="23" t="n"/>
      <c r="E292" s="23" t="n"/>
      <c r="F292" s="23" t="n"/>
      <c r="G292" s="23" t="n"/>
      <c r="H292" s="23" t="n"/>
      <c r="I292" s="23" t="n"/>
      <c r="J292" s="23" t="n"/>
      <c r="K292" s="25">
        <f>IF(I292="","",IF(J292="BDT",I292,IF(J292="USD",I292*USD_BDT,IF(J292="RMB",I292*RMB_BDT,""))))</f>
        <v/>
      </c>
      <c r="L292" s="25" t="n"/>
      <c r="M292" s="26" t="n"/>
      <c r="N292" s="25" t="n"/>
      <c r="O292" s="25">
        <f>IF(K292="","",K292+IFERROR(L292,0)+(K292*IF(M292="",CUSTOMS_PCT,M292))+IF(N292="",MISC_FEE,N292))</f>
        <v/>
      </c>
      <c r="P292" s="25">
        <f>IF(O292="","",ROUND(O292*(1+MARKUP_PCT),-1)-1)</f>
        <v/>
      </c>
      <c r="Q292" s="25">
        <f>IF(P292="","",P292-O292)</f>
        <v/>
      </c>
      <c r="R292" s="26">
        <f>IF(OR(P292="",P292=0),"",Q292/P292)</f>
        <v/>
      </c>
      <c r="S292" s="23" t="n"/>
      <c r="T292" s="23" t="n"/>
      <c r="U292" s="23" t="n"/>
      <c r="V292" s="23" t="n"/>
      <c r="W292" s="23" t="n"/>
      <c r="X292" s="23" t="n"/>
      <c r="Y292" s="23" t="n"/>
      <c r="Z292" s="23" t="n"/>
      <c r="AA292" s="23" t="n"/>
      <c r="AB292" s="23" t="n"/>
      <c r="AC292" s="27">
        <f>IF(COUNT(S292:AB292)&lt;10,"",(S292*W_FEMININE+T292*W_TREND+U292*W_AESTHETIC+V292*W_STYLE+W292*W_LIGHT+X292*W_REELS+Y292*W_GIFT+Z292*W_PRICEFIT+AA292*W_DEMAND+AB292*W_QUALITY)/5*100)</f>
        <v/>
      </c>
      <c r="AD292" s="23">
        <f>IF(P292="","",IF(P292&gt;HARD_REJECT_PRICE,"Reject",IF(P292&gt;MAX_PRICE,"Price Review",IF(AC292="","",IF(AND(AC292&gt;=BUY_THRESHOLD,OR(AB292&lt;=2,U292&lt;=2)),"Maybe",IF(AC292&gt;=BUY_THRESHOLD,"Buy",IF(AC292&gt;=MAYBE_THRESHOLD,"Maybe","Reject")))))))</f>
        <v/>
      </c>
      <c r="AE292" s="23" t="n"/>
      <c r="AF292" s="23" t="n"/>
      <c r="AG292" s="23" t="n"/>
      <c r="AH292" s="23" t="n"/>
      <c r="AI292" s="24" t="n"/>
      <c r="AJ292">
        <f>IF(AC292="",-9999-ROW()*0.0000001,AC292-ROW()*0.0000001)</f>
        <v/>
      </c>
      <c r="AK292">
        <f>IF(OR(AC292="",P292="",P292&gt;MAX_PRICE),-9999-ROW()*0.0000001,AC292-ROW()*0.0000001)</f>
        <v/>
      </c>
      <c r="AL292">
        <f>IF(AC292="",-9999-ROW()*0.0000001,X292*1000+AC292-ROW()*0.0000001)</f>
        <v/>
      </c>
      <c r="AM292">
        <f>IF(AC292="",-9999-ROW()*0.0000001,Y292*1000+AC292-ROW()*0.0000001)</f>
        <v/>
      </c>
      <c r="AN292">
        <f>IF(AND(OR(AD292="Maybe",AD292="Price Review"),AG292&lt;&gt;"Approved",AG292&lt;&gt;"Rejected"),IF(AC292="",0,AC292)-ROW()*0.0000001,-9999-ROW()*0.0000001)</f>
        <v/>
      </c>
      <c r="AO292" s="28" t="n"/>
      <c r="AP292" s="28" t="n"/>
      <c r="AQ292" s="29" t="n"/>
      <c r="AR292" s="29" t="n"/>
      <c r="AS292" s="23" t="n"/>
      <c r="AT292" s="29" t="n"/>
      <c r="AU292" s="29" t="n"/>
      <c r="AV292" s="29" t="n"/>
      <c r="AW292" s="25">
        <f>IF(OR(O292="",AV292=""),"",O292*AV292)</f>
        <v/>
      </c>
      <c r="AX292" s="23" t="n"/>
      <c r="AY292" s="23" t="n"/>
      <c r="AZ292" s="23" t="n"/>
      <c r="BA292" s="23" t="n"/>
      <c r="BB292" s="23" t="n"/>
      <c r="BC292" s="25" t="n"/>
      <c r="BD292" s="23" t="n"/>
      <c r="BE292" s="23">
        <f>IF(C292="","",IF(AND(ISNUMBER(P292),P292&gt;MAX_PRICE),"Price too high",IF(AND(ISNUMBER(AB292),AB292&lt;=2),"Quality risk",IF(AND(ISNUMBER(U292),U292&lt;=2),"Aesthetic mismatch",IF(AY292="High","Too fragile",IF(AND(ISNUMBER(R292),R292&lt;LOW_PROFIT_PCT),"Low profit",IF(AND(ISNUMBER(AT292),AT292&gt;MOQ_WARNING),"MOQ too high",IF(OR(AD292="Maybe",AD292="Price Review"),"Needs partner review",IF(AD292="Buy","Good candidate","")))))))))</f>
        <v/>
      </c>
      <c r="BF292" s="23" t="n"/>
      <c r="BG292" s="23" t="n"/>
      <c r="BH292" s="23" t="n"/>
      <c r="BI292" s="23" t="n"/>
      <c r="BJ292" s="23" t="n"/>
      <c r="BK292" s="23" t="n"/>
      <c r="BL292" s="23">
        <f>IF(C292="","",IF(AND(BG292="Yes",BH292="Yes",BI292="Yes",BJ292="Yes",BK292="Yes"),"Yes","No"))</f>
        <v/>
      </c>
      <c r="BM292" s="25" t="n"/>
      <c r="BN292" s="25" t="n"/>
      <c r="BO292" s="25">
        <f>IF(OR(BM292="",BN292=""),"",BM292+BN292)</f>
        <v/>
      </c>
      <c r="BP292" s="25" t="n"/>
      <c r="BQ292" s="25">
        <f>IF(OR(BP292="",BO292=""),"",BP292-BO292)</f>
        <v/>
      </c>
      <c r="BR292" s="26">
        <f>IF(OR(BP292="",BP292=0,BQ292=""),"",BQ292/BP292)</f>
        <v/>
      </c>
      <c r="BS292" s="24" t="n"/>
      <c r="BT292" s="29" t="n"/>
      <c r="BU292" s="29" t="n"/>
      <c r="BV292" s="23" t="n"/>
      <c r="BW292" s="23" t="n"/>
      <c r="BX292" s="29">
        <f>IF(OR(BT292="",BU292=""),"",BT292-BU292)</f>
        <v/>
      </c>
      <c r="BY292" s="23" t="n"/>
      <c r="BZ292" s="24" t="n"/>
      <c r="CA292" s="23" t="n"/>
      <c r="CB292" s="23" t="n"/>
    </row>
    <row r="293">
      <c r="A293" s="16">
        <f>IF(C293="","","AYN-"&amp;IFERROR(VLOOKUP(E293,CATEGORY_PREFIX_TABLE,2,FALSE),"OTH")&amp;"-"&amp;TEXT(ROW()-2,"0000"))</f>
        <v/>
      </c>
      <c r="B293" s="17" t="n"/>
      <c r="C293" s="16" t="n"/>
      <c r="D293" s="16" t="n"/>
      <c r="E293" s="16" t="n"/>
      <c r="F293" s="16" t="n"/>
      <c r="G293" s="16" t="n"/>
      <c r="H293" s="16" t="n"/>
      <c r="I293" s="16" t="n"/>
      <c r="J293" s="16" t="n"/>
      <c r="K293" s="18">
        <f>IF(I293="","",IF(J293="BDT",I293,IF(J293="USD",I293*USD_BDT,IF(J293="RMB",I293*RMB_BDT,""))))</f>
        <v/>
      </c>
      <c r="L293" s="18" t="n"/>
      <c r="M293" s="19" t="n"/>
      <c r="N293" s="18" t="n"/>
      <c r="O293" s="18">
        <f>IF(K293="","",K293+IFERROR(L293,0)+(K293*IF(M293="",CUSTOMS_PCT,M293))+IF(N293="",MISC_FEE,N293))</f>
        <v/>
      </c>
      <c r="P293" s="18">
        <f>IF(O293="","",ROUND(O293*(1+MARKUP_PCT),-1)-1)</f>
        <v/>
      </c>
      <c r="Q293" s="18">
        <f>IF(P293="","",P293-O293)</f>
        <v/>
      </c>
      <c r="R293" s="19">
        <f>IF(OR(P293="",P293=0),"",Q293/P293)</f>
        <v/>
      </c>
      <c r="S293" s="16" t="n"/>
      <c r="T293" s="16" t="n"/>
      <c r="U293" s="16" t="n"/>
      <c r="V293" s="16" t="n"/>
      <c r="W293" s="16" t="n"/>
      <c r="X293" s="16" t="n"/>
      <c r="Y293" s="16" t="n"/>
      <c r="Z293" s="16" t="n"/>
      <c r="AA293" s="16" t="n"/>
      <c r="AB293" s="16" t="n"/>
      <c r="AC293" s="20">
        <f>IF(COUNT(S293:AB293)&lt;10,"",(S293*W_FEMININE+T293*W_TREND+U293*W_AESTHETIC+V293*W_STYLE+W293*W_LIGHT+X293*W_REELS+Y293*W_GIFT+Z293*W_PRICEFIT+AA293*W_DEMAND+AB293*W_QUALITY)/5*100)</f>
        <v/>
      </c>
      <c r="AD293" s="16">
        <f>IF(P293="","",IF(P293&gt;HARD_REJECT_PRICE,"Reject",IF(P293&gt;MAX_PRICE,"Price Review",IF(AC293="","",IF(AND(AC293&gt;=BUY_THRESHOLD,OR(AB293&lt;=2,U293&lt;=2)),"Maybe",IF(AC293&gt;=BUY_THRESHOLD,"Buy",IF(AC293&gt;=MAYBE_THRESHOLD,"Maybe","Reject")))))))</f>
        <v/>
      </c>
      <c r="AE293" s="16" t="n"/>
      <c r="AF293" s="16" t="n"/>
      <c r="AG293" s="16" t="n"/>
      <c r="AH293" s="16" t="n"/>
      <c r="AI293" s="17" t="n"/>
      <c r="AJ293">
        <f>IF(AC293="",-9999-ROW()*0.0000001,AC293-ROW()*0.0000001)</f>
        <v/>
      </c>
      <c r="AK293">
        <f>IF(OR(AC293="",P293="",P293&gt;MAX_PRICE),-9999-ROW()*0.0000001,AC293-ROW()*0.0000001)</f>
        <v/>
      </c>
      <c r="AL293">
        <f>IF(AC293="",-9999-ROW()*0.0000001,X293*1000+AC293-ROW()*0.0000001)</f>
        <v/>
      </c>
      <c r="AM293">
        <f>IF(AC293="",-9999-ROW()*0.0000001,Y293*1000+AC293-ROW()*0.0000001)</f>
        <v/>
      </c>
      <c r="AN293">
        <f>IF(AND(OR(AD293="Maybe",AD293="Price Review"),AG293&lt;&gt;"Approved",AG293&lt;&gt;"Rejected"),IF(AC293="",0,AC293)-ROW()*0.0000001,-9999-ROW()*0.0000001)</f>
        <v/>
      </c>
      <c r="AO293" s="21" t="n"/>
      <c r="AP293" s="21" t="n"/>
      <c r="AQ293" s="22" t="n"/>
      <c r="AR293" s="22" t="n"/>
      <c r="AS293" s="16" t="n"/>
      <c r="AT293" s="22" t="n"/>
      <c r="AU293" s="22" t="n"/>
      <c r="AV293" s="22" t="n"/>
      <c r="AW293" s="18">
        <f>IF(OR(O293="",AV293=""),"",O293*AV293)</f>
        <v/>
      </c>
      <c r="AX293" s="16" t="n"/>
      <c r="AY293" s="16" t="n"/>
      <c r="AZ293" s="16" t="n"/>
      <c r="BA293" s="16" t="n"/>
      <c r="BB293" s="16" t="n"/>
      <c r="BC293" s="18" t="n"/>
      <c r="BD293" s="16" t="n"/>
      <c r="BE293" s="16">
        <f>IF(C293="","",IF(AND(ISNUMBER(P293),P293&gt;MAX_PRICE),"Price too high",IF(AND(ISNUMBER(AB293),AB293&lt;=2),"Quality risk",IF(AND(ISNUMBER(U293),U293&lt;=2),"Aesthetic mismatch",IF(AY293="High","Too fragile",IF(AND(ISNUMBER(R293),R293&lt;LOW_PROFIT_PCT),"Low profit",IF(AND(ISNUMBER(AT293),AT293&gt;MOQ_WARNING),"MOQ too high",IF(OR(AD293="Maybe",AD293="Price Review"),"Needs partner review",IF(AD293="Buy","Good candidate","")))))))))</f>
        <v/>
      </c>
      <c r="BF293" s="16" t="n"/>
      <c r="BG293" s="16" t="n"/>
      <c r="BH293" s="16" t="n"/>
      <c r="BI293" s="16" t="n"/>
      <c r="BJ293" s="16" t="n"/>
      <c r="BK293" s="16" t="n"/>
      <c r="BL293" s="16">
        <f>IF(C293="","",IF(AND(BG293="Yes",BH293="Yes",BI293="Yes",BJ293="Yes",BK293="Yes"),"Yes","No"))</f>
        <v/>
      </c>
      <c r="BM293" s="18" t="n"/>
      <c r="BN293" s="18" t="n"/>
      <c r="BO293" s="18">
        <f>IF(OR(BM293="",BN293=""),"",BM293+BN293)</f>
        <v/>
      </c>
      <c r="BP293" s="18" t="n"/>
      <c r="BQ293" s="18">
        <f>IF(OR(BP293="",BO293=""),"",BP293-BO293)</f>
        <v/>
      </c>
      <c r="BR293" s="19">
        <f>IF(OR(BP293="",BP293=0,BQ293=""),"",BQ293/BP293)</f>
        <v/>
      </c>
      <c r="BS293" s="17" t="n"/>
      <c r="BT293" s="22" t="n"/>
      <c r="BU293" s="22" t="n"/>
      <c r="BV293" s="16" t="n"/>
      <c r="BW293" s="16" t="n"/>
      <c r="BX293" s="22">
        <f>IF(OR(BT293="",BU293=""),"",BT293-BU293)</f>
        <v/>
      </c>
      <c r="BY293" s="16" t="n"/>
      <c r="BZ293" s="17" t="n"/>
      <c r="CA293" s="16" t="n"/>
      <c r="CB293" s="16" t="n"/>
    </row>
    <row r="294">
      <c r="A294" s="23">
        <f>IF(C294="","","AYN-"&amp;IFERROR(VLOOKUP(E294,CATEGORY_PREFIX_TABLE,2,FALSE),"OTH")&amp;"-"&amp;TEXT(ROW()-2,"0000"))</f>
        <v/>
      </c>
      <c r="B294" s="24" t="n"/>
      <c r="C294" s="23" t="n"/>
      <c r="D294" s="23" t="n"/>
      <c r="E294" s="23" t="n"/>
      <c r="F294" s="23" t="n"/>
      <c r="G294" s="23" t="n"/>
      <c r="H294" s="23" t="n"/>
      <c r="I294" s="23" t="n"/>
      <c r="J294" s="23" t="n"/>
      <c r="K294" s="25">
        <f>IF(I294="","",IF(J294="BDT",I294,IF(J294="USD",I294*USD_BDT,IF(J294="RMB",I294*RMB_BDT,""))))</f>
        <v/>
      </c>
      <c r="L294" s="25" t="n"/>
      <c r="M294" s="26" t="n"/>
      <c r="N294" s="25" t="n"/>
      <c r="O294" s="25">
        <f>IF(K294="","",K294+IFERROR(L294,0)+(K294*IF(M294="",CUSTOMS_PCT,M294))+IF(N294="",MISC_FEE,N294))</f>
        <v/>
      </c>
      <c r="P294" s="25">
        <f>IF(O294="","",ROUND(O294*(1+MARKUP_PCT),-1)-1)</f>
        <v/>
      </c>
      <c r="Q294" s="25">
        <f>IF(P294="","",P294-O294)</f>
        <v/>
      </c>
      <c r="R294" s="26">
        <f>IF(OR(P294="",P294=0),"",Q294/P294)</f>
        <v/>
      </c>
      <c r="S294" s="23" t="n"/>
      <c r="T294" s="23" t="n"/>
      <c r="U294" s="23" t="n"/>
      <c r="V294" s="23" t="n"/>
      <c r="W294" s="23" t="n"/>
      <c r="X294" s="23" t="n"/>
      <c r="Y294" s="23" t="n"/>
      <c r="Z294" s="23" t="n"/>
      <c r="AA294" s="23" t="n"/>
      <c r="AB294" s="23" t="n"/>
      <c r="AC294" s="27">
        <f>IF(COUNT(S294:AB294)&lt;10,"",(S294*W_FEMININE+T294*W_TREND+U294*W_AESTHETIC+V294*W_STYLE+W294*W_LIGHT+X294*W_REELS+Y294*W_GIFT+Z294*W_PRICEFIT+AA294*W_DEMAND+AB294*W_QUALITY)/5*100)</f>
        <v/>
      </c>
      <c r="AD294" s="23">
        <f>IF(P294="","",IF(P294&gt;HARD_REJECT_PRICE,"Reject",IF(P294&gt;MAX_PRICE,"Price Review",IF(AC294="","",IF(AND(AC294&gt;=BUY_THRESHOLD,OR(AB294&lt;=2,U294&lt;=2)),"Maybe",IF(AC294&gt;=BUY_THRESHOLD,"Buy",IF(AC294&gt;=MAYBE_THRESHOLD,"Maybe","Reject")))))))</f>
        <v/>
      </c>
      <c r="AE294" s="23" t="n"/>
      <c r="AF294" s="23" t="n"/>
      <c r="AG294" s="23" t="n"/>
      <c r="AH294" s="23" t="n"/>
      <c r="AI294" s="24" t="n"/>
      <c r="AJ294">
        <f>IF(AC294="",-9999-ROW()*0.0000001,AC294-ROW()*0.0000001)</f>
        <v/>
      </c>
      <c r="AK294">
        <f>IF(OR(AC294="",P294="",P294&gt;MAX_PRICE),-9999-ROW()*0.0000001,AC294-ROW()*0.0000001)</f>
        <v/>
      </c>
      <c r="AL294">
        <f>IF(AC294="",-9999-ROW()*0.0000001,X294*1000+AC294-ROW()*0.0000001)</f>
        <v/>
      </c>
      <c r="AM294">
        <f>IF(AC294="",-9999-ROW()*0.0000001,Y294*1000+AC294-ROW()*0.0000001)</f>
        <v/>
      </c>
      <c r="AN294">
        <f>IF(AND(OR(AD294="Maybe",AD294="Price Review"),AG294&lt;&gt;"Approved",AG294&lt;&gt;"Rejected"),IF(AC294="",0,AC294)-ROW()*0.0000001,-9999-ROW()*0.0000001)</f>
        <v/>
      </c>
      <c r="AO294" s="28" t="n"/>
      <c r="AP294" s="28" t="n"/>
      <c r="AQ294" s="29" t="n"/>
      <c r="AR294" s="29" t="n"/>
      <c r="AS294" s="23" t="n"/>
      <c r="AT294" s="29" t="n"/>
      <c r="AU294" s="29" t="n"/>
      <c r="AV294" s="29" t="n"/>
      <c r="AW294" s="25">
        <f>IF(OR(O294="",AV294=""),"",O294*AV294)</f>
        <v/>
      </c>
      <c r="AX294" s="23" t="n"/>
      <c r="AY294" s="23" t="n"/>
      <c r="AZ294" s="23" t="n"/>
      <c r="BA294" s="23" t="n"/>
      <c r="BB294" s="23" t="n"/>
      <c r="BC294" s="25" t="n"/>
      <c r="BD294" s="23" t="n"/>
      <c r="BE294" s="23">
        <f>IF(C294="","",IF(AND(ISNUMBER(P294),P294&gt;MAX_PRICE),"Price too high",IF(AND(ISNUMBER(AB294),AB294&lt;=2),"Quality risk",IF(AND(ISNUMBER(U294),U294&lt;=2),"Aesthetic mismatch",IF(AY294="High","Too fragile",IF(AND(ISNUMBER(R294),R294&lt;LOW_PROFIT_PCT),"Low profit",IF(AND(ISNUMBER(AT294),AT294&gt;MOQ_WARNING),"MOQ too high",IF(OR(AD294="Maybe",AD294="Price Review"),"Needs partner review",IF(AD294="Buy","Good candidate","")))))))))</f>
        <v/>
      </c>
      <c r="BF294" s="23" t="n"/>
      <c r="BG294" s="23" t="n"/>
      <c r="BH294" s="23" t="n"/>
      <c r="BI294" s="23" t="n"/>
      <c r="BJ294" s="23" t="n"/>
      <c r="BK294" s="23" t="n"/>
      <c r="BL294" s="23">
        <f>IF(C294="","",IF(AND(BG294="Yes",BH294="Yes",BI294="Yes",BJ294="Yes",BK294="Yes"),"Yes","No"))</f>
        <v/>
      </c>
      <c r="BM294" s="25" t="n"/>
      <c r="BN294" s="25" t="n"/>
      <c r="BO294" s="25">
        <f>IF(OR(BM294="",BN294=""),"",BM294+BN294)</f>
        <v/>
      </c>
      <c r="BP294" s="25" t="n"/>
      <c r="BQ294" s="25">
        <f>IF(OR(BP294="",BO294=""),"",BP294-BO294)</f>
        <v/>
      </c>
      <c r="BR294" s="26">
        <f>IF(OR(BP294="",BP294=0,BQ294=""),"",BQ294/BP294)</f>
        <v/>
      </c>
      <c r="BS294" s="24" t="n"/>
      <c r="BT294" s="29" t="n"/>
      <c r="BU294" s="29" t="n"/>
      <c r="BV294" s="23" t="n"/>
      <c r="BW294" s="23" t="n"/>
      <c r="BX294" s="29">
        <f>IF(OR(BT294="",BU294=""),"",BT294-BU294)</f>
        <v/>
      </c>
      <c r="BY294" s="23" t="n"/>
      <c r="BZ294" s="24" t="n"/>
      <c r="CA294" s="23" t="n"/>
      <c r="CB294" s="23" t="n"/>
    </row>
    <row r="295">
      <c r="A295" s="16">
        <f>IF(C295="","","AYN-"&amp;IFERROR(VLOOKUP(E295,CATEGORY_PREFIX_TABLE,2,FALSE),"OTH")&amp;"-"&amp;TEXT(ROW()-2,"0000"))</f>
        <v/>
      </c>
      <c r="B295" s="17" t="n"/>
      <c r="C295" s="16" t="n"/>
      <c r="D295" s="16" t="n"/>
      <c r="E295" s="16" t="n"/>
      <c r="F295" s="16" t="n"/>
      <c r="G295" s="16" t="n"/>
      <c r="H295" s="16" t="n"/>
      <c r="I295" s="16" t="n"/>
      <c r="J295" s="16" t="n"/>
      <c r="K295" s="18">
        <f>IF(I295="","",IF(J295="BDT",I295,IF(J295="USD",I295*USD_BDT,IF(J295="RMB",I295*RMB_BDT,""))))</f>
        <v/>
      </c>
      <c r="L295" s="18" t="n"/>
      <c r="M295" s="19" t="n"/>
      <c r="N295" s="18" t="n"/>
      <c r="O295" s="18">
        <f>IF(K295="","",K295+IFERROR(L295,0)+(K295*IF(M295="",CUSTOMS_PCT,M295))+IF(N295="",MISC_FEE,N295))</f>
        <v/>
      </c>
      <c r="P295" s="18">
        <f>IF(O295="","",ROUND(O295*(1+MARKUP_PCT),-1)-1)</f>
        <v/>
      </c>
      <c r="Q295" s="18">
        <f>IF(P295="","",P295-O295)</f>
        <v/>
      </c>
      <c r="R295" s="19">
        <f>IF(OR(P295="",P295=0),"",Q295/P295)</f>
        <v/>
      </c>
      <c r="S295" s="16" t="n"/>
      <c r="T295" s="16" t="n"/>
      <c r="U295" s="16" t="n"/>
      <c r="V295" s="16" t="n"/>
      <c r="W295" s="16" t="n"/>
      <c r="X295" s="16" t="n"/>
      <c r="Y295" s="16" t="n"/>
      <c r="Z295" s="16" t="n"/>
      <c r="AA295" s="16" t="n"/>
      <c r="AB295" s="16" t="n"/>
      <c r="AC295" s="20">
        <f>IF(COUNT(S295:AB295)&lt;10,"",(S295*W_FEMININE+T295*W_TREND+U295*W_AESTHETIC+V295*W_STYLE+W295*W_LIGHT+X295*W_REELS+Y295*W_GIFT+Z295*W_PRICEFIT+AA295*W_DEMAND+AB295*W_QUALITY)/5*100)</f>
        <v/>
      </c>
      <c r="AD295" s="16">
        <f>IF(P295="","",IF(P295&gt;HARD_REJECT_PRICE,"Reject",IF(P295&gt;MAX_PRICE,"Price Review",IF(AC295="","",IF(AND(AC295&gt;=BUY_THRESHOLD,OR(AB295&lt;=2,U295&lt;=2)),"Maybe",IF(AC295&gt;=BUY_THRESHOLD,"Buy",IF(AC295&gt;=MAYBE_THRESHOLD,"Maybe","Reject")))))))</f>
        <v/>
      </c>
      <c r="AE295" s="16" t="n"/>
      <c r="AF295" s="16" t="n"/>
      <c r="AG295" s="16" t="n"/>
      <c r="AH295" s="16" t="n"/>
      <c r="AI295" s="17" t="n"/>
      <c r="AJ295">
        <f>IF(AC295="",-9999-ROW()*0.0000001,AC295-ROW()*0.0000001)</f>
        <v/>
      </c>
      <c r="AK295">
        <f>IF(OR(AC295="",P295="",P295&gt;MAX_PRICE),-9999-ROW()*0.0000001,AC295-ROW()*0.0000001)</f>
        <v/>
      </c>
      <c r="AL295">
        <f>IF(AC295="",-9999-ROW()*0.0000001,X295*1000+AC295-ROW()*0.0000001)</f>
        <v/>
      </c>
      <c r="AM295">
        <f>IF(AC295="",-9999-ROW()*0.0000001,Y295*1000+AC295-ROW()*0.0000001)</f>
        <v/>
      </c>
      <c r="AN295">
        <f>IF(AND(OR(AD295="Maybe",AD295="Price Review"),AG295&lt;&gt;"Approved",AG295&lt;&gt;"Rejected"),IF(AC295="",0,AC295)-ROW()*0.0000001,-9999-ROW()*0.0000001)</f>
        <v/>
      </c>
      <c r="AO295" s="21" t="n"/>
      <c r="AP295" s="21" t="n"/>
      <c r="AQ295" s="22" t="n"/>
      <c r="AR295" s="22" t="n"/>
      <c r="AS295" s="16" t="n"/>
      <c r="AT295" s="22" t="n"/>
      <c r="AU295" s="22" t="n"/>
      <c r="AV295" s="22" t="n"/>
      <c r="AW295" s="18">
        <f>IF(OR(O295="",AV295=""),"",O295*AV295)</f>
        <v/>
      </c>
      <c r="AX295" s="16" t="n"/>
      <c r="AY295" s="16" t="n"/>
      <c r="AZ295" s="16" t="n"/>
      <c r="BA295" s="16" t="n"/>
      <c r="BB295" s="16" t="n"/>
      <c r="BC295" s="18" t="n"/>
      <c r="BD295" s="16" t="n"/>
      <c r="BE295" s="16">
        <f>IF(C295="","",IF(AND(ISNUMBER(P295),P295&gt;MAX_PRICE),"Price too high",IF(AND(ISNUMBER(AB295),AB295&lt;=2),"Quality risk",IF(AND(ISNUMBER(U295),U295&lt;=2),"Aesthetic mismatch",IF(AY295="High","Too fragile",IF(AND(ISNUMBER(R295),R295&lt;LOW_PROFIT_PCT),"Low profit",IF(AND(ISNUMBER(AT295),AT295&gt;MOQ_WARNING),"MOQ too high",IF(OR(AD295="Maybe",AD295="Price Review"),"Needs partner review",IF(AD295="Buy","Good candidate","")))))))))</f>
        <v/>
      </c>
      <c r="BF295" s="16" t="n"/>
      <c r="BG295" s="16" t="n"/>
      <c r="BH295" s="16" t="n"/>
      <c r="BI295" s="16" t="n"/>
      <c r="BJ295" s="16" t="n"/>
      <c r="BK295" s="16" t="n"/>
      <c r="BL295" s="16">
        <f>IF(C295="","",IF(AND(BG295="Yes",BH295="Yes",BI295="Yes",BJ295="Yes",BK295="Yes"),"Yes","No"))</f>
        <v/>
      </c>
      <c r="BM295" s="18" t="n"/>
      <c r="BN295" s="18" t="n"/>
      <c r="BO295" s="18">
        <f>IF(OR(BM295="",BN295=""),"",BM295+BN295)</f>
        <v/>
      </c>
      <c r="BP295" s="18" t="n"/>
      <c r="BQ295" s="18">
        <f>IF(OR(BP295="",BO295=""),"",BP295-BO295)</f>
        <v/>
      </c>
      <c r="BR295" s="19">
        <f>IF(OR(BP295="",BP295=0,BQ295=""),"",BQ295/BP295)</f>
        <v/>
      </c>
      <c r="BS295" s="17" t="n"/>
      <c r="BT295" s="22" t="n"/>
      <c r="BU295" s="22" t="n"/>
      <c r="BV295" s="16" t="n"/>
      <c r="BW295" s="16" t="n"/>
      <c r="BX295" s="22">
        <f>IF(OR(BT295="",BU295=""),"",BT295-BU295)</f>
        <v/>
      </c>
      <c r="BY295" s="16" t="n"/>
      <c r="BZ295" s="17" t="n"/>
      <c r="CA295" s="16" t="n"/>
      <c r="CB295" s="16" t="n"/>
    </row>
    <row r="296">
      <c r="A296" s="23">
        <f>IF(C296="","","AYN-"&amp;IFERROR(VLOOKUP(E296,CATEGORY_PREFIX_TABLE,2,FALSE),"OTH")&amp;"-"&amp;TEXT(ROW()-2,"0000"))</f>
        <v/>
      </c>
      <c r="B296" s="24" t="n"/>
      <c r="C296" s="23" t="n"/>
      <c r="D296" s="23" t="n"/>
      <c r="E296" s="23" t="n"/>
      <c r="F296" s="23" t="n"/>
      <c r="G296" s="23" t="n"/>
      <c r="H296" s="23" t="n"/>
      <c r="I296" s="23" t="n"/>
      <c r="J296" s="23" t="n"/>
      <c r="K296" s="25">
        <f>IF(I296="","",IF(J296="BDT",I296,IF(J296="USD",I296*USD_BDT,IF(J296="RMB",I296*RMB_BDT,""))))</f>
        <v/>
      </c>
      <c r="L296" s="25" t="n"/>
      <c r="M296" s="26" t="n"/>
      <c r="N296" s="25" t="n"/>
      <c r="O296" s="25">
        <f>IF(K296="","",K296+IFERROR(L296,0)+(K296*IF(M296="",CUSTOMS_PCT,M296))+IF(N296="",MISC_FEE,N296))</f>
        <v/>
      </c>
      <c r="P296" s="25">
        <f>IF(O296="","",ROUND(O296*(1+MARKUP_PCT),-1)-1)</f>
        <v/>
      </c>
      <c r="Q296" s="25">
        <f>IF(P296="","",P296-O296)</f>
        <v/>
      </c>
      <c r="R296" s="26">
        <f>IF(OR(P296="",P296=0),"",Q296/P296)</f>
        <v/>
      </c>
      <c r="S296" s="23" t="n"/>
      <c r="T296" s="23" t="n"/>
      <c r="U296" s="23" t="n"/>
      <c r="V296" s="23" t="n"/>
      <c r="W296" s="23" t="n"/>
      <c r="X296" s="23" t="n"/>
      <c r="Y296" s="23" t="n"/>
      <c r="Z296" s="23" t="n"/>
      <c r="AA296" s="23" t="n"/>
      <c r="AB296" s="23" t="n"/>
      <c r="AC296" s="27">
        <f>IF(COUNT(S296:AB296)&lt;10,"",(S296*W_FEMININE+T296*W_TREND+U296*W_AESTHETIC+V296*W_STYLE+W296*W_LIGHT+X296*W_REELS+Y296*W_GIFT+Z296*W_PRICEFIT+AA296*W_DEMAND+AB296*W_QUALITY)/5*100)</f>
        <v/>
      </c>
      <c r="AD296" s="23">
        <f>IF(P296="","",IF(P296&gt;HARD_REJECT_PRICE,"Reject",IF(P296&gt;MAX_PRICE,"Price Review",IF(AC296="","",IF(AND(AC296&gt;=BUY_THRESHOLD,OR(AB296&lt;=2,U296&lt;=2)),"Maybe",IF(AC296&gt;=BUY_THRESHOLD,"Buy",IF(AC296&gt;=MAYBE_THRESHOLD,"Maybe","Reject")))))))</f>
        <v/>
      </c>
      <c r="AE296" s="23" t="n"/>
      <c r="AF296" s="23" t="n"/>
      <c r="AG296" s="23" t="n"/>
      <c r="AH296" s="23" t="n"/>
      <c r="AI296" s="24" t="n"/>
      <c r="AJ296">
        <f>IF(AC296="",-9999-ROW()*0.0000001,AC296-ROW()*0.0000001)</f>
        <v/>
      </c>
      <c r="AK296">
        <f>IF(OR(AC296="",P296="",P296&gt;MAX_PRICE),-9999-ROW()*0.0000001,AC296-ROW()*0.0000001)</f>
        <v/>
      </c>
      <c r="AL296">
        <f>IF(AC296="",-9999-ROW()*0.0000001,X296*1000+AC296-ROW()*0.0000001)</f>
        <v/>
      </c>
      <c r="AM296">
        <f>IF(AC296="",-9999-ROW()*0.0000001,Y296*1000+AC296-ROW()*0.0000001)</f>
        <v/>
      </c>
      <c r="AN296">
        <f>IF(AND(OR(AD296="Maybe",AD296="Price Review"),AG296&lt;&gt;"Approved",AG296&lt;&gt;"Rejected"),IF(AC296="",0,AC296)-ROW()*0.0000001,-9999-ROW()*0.0000001)</f>
        <v/>
      </c>
      <c r="AO296" s="28" t="n"/>
      <c r="AP296" s="28" t="n"/>
      <c r="AQ296" s="29" t="n"/>
      <c r="AR296" s="29" t="n"/>
      <c r="AS296" s="23" t="n"/>
      <c r="AT296" s="29" t="n"/>
      <c r="AU296" s="29" t="n"/>
      <c r="AV296" s="29" t="n"/>
      <c r="AW296" s="25">
        <f>IF(OR(O296="",AV296=""),"",O296*AV296)</f>
        <v/>
      </c>
      <c r="AX296" s="23" t="n"/>
      <c r="AY296" s="23" t="n"/>
      <c r="AZ296" s="23" t="n"/>
      <c r="BA296" s="23" t="n"/>
      <c r="BB296" s="23" t="n"/>
      <c r="BC296" s="25" t="n"/>
      <c r="BD296" s="23" t="n"/>
      <c r="BE296" s="23">
        <f>IF(C296="","",IF(AND(ISNUMBER(P296),P296&gt;MAX_PRICE),"Price too high",IF(AND(ISNUMBER(AB296),AB296&lt;=2),"Quality risk",IF(AND(ISNUMBER(U296),U296&lt;=2),"Aesthetic mismatch",IF(AY296="High","Too fragile",IF(AND(ISNUMBER(R296),R296&lt;LOW_PROFIT_PCT),"Low profit",IF(AND(ISNUMBER(AT296),AT296&gt;MOQ_WARNING),"MOQ too high",IF(OR(AD296="Maybe",AD296="Price Review"),"Needs partner review",IF(AD296="Buy","Good candidate","")))))))))</f>
        <v/>
      </c>
      <c r="BF296" s="23" t="n"/>
      <c r="BG296" s="23" t="n"/>
      <c r="BH296" s="23" t="n"/>
      <c r="BI296" s="23" t="n"/>
      <c r="BJ296" s="23" t="n"/>
      <c r="BK296" s="23" t="n"/>
      <c r="BL296" s="23">
        <f>IF(C296="","",IF(AND(BG296="Yes",BH296="Yes",BI296="Yes",BJ296="Yes",BK296="Yes"),"Yes","No"))</f>
        <v/>
      </c>
      <c r="BM296" s="25" t="n"/>
      <c r="BN296" s="25" t="n"/>
      <c r="BO296" s="25">
        <f>IF(OR(BM296="",BN296=""),"",BM296+BN296)</f>
        <v/>
      </c>
      <c r="BP296" s="25" t="n"/>
      <c r="BQ296" s="25">
        <f>IF(OR(BP296="",BO296=""),"",BP296-BO296)</f>
        <v/>
      </c>
      <c r="BR296" s="26">
        <f>IF(OR(BP296="",BP296=0,BQ296=""),"",BQ296/BP296)</f>
        <v/>
      </c>
      <c r="BS296" s="24" t="n"/>
      <c r="BT296" s="29" t="n"/>
      <c r="BU296" s="29" t="n"/>
      <c r="BV296" s="23" t="n"/>
      <c r="BW296" s="23" t="n"/>
      <c r="BX296" s="29">
        <f>IF(OR(BT296="",BU296=""),"",BT296-BU296)</f>
        <v/>
      </c>
      <c r="BY296" s="23" t="n"/>
      <c r="BZ296" s="24" t="n"/>
      <c r="CA296" s="23" t="n"/>
      <c r="CB296" s="23" t="n"/>
    </row>
    <row r="297">
      <c r="A297" s="16">
        <f>IF(C297="","","AYN-"&amp;IFERROR(VLOOKUP(E297,CATEGORY_PREFIX_TABLE,2,FALSE),"OTH")&amp;"-"&amp;TEXT(ROW()-2,"0000"))</f>
        <v/>
      </c>
      <c r="B297" s="17" t="n"/>
      <c r="C297" s="16" t="n"/>
      <c r="D297" s="16" t="n"/>
      <c r="E297" s="16" t="n"/>
      <c r="F297" s="16" t="n"/>
      <c r="G297" s="16" t="n"/>
      <c r="H297" s="16" t="n"/>
      <c r="I297" s="16" t="n"/>
      <c r="J297" s="16" t="n"/>
      <c r="K297" s="18">
        <f>IF(I297="","",IF(J297="BDT",I297,IF(J297="USD",I297*USD_BDT,IF(J297="RMB",I297*RMB_BDT,""))))</f>
        <v/>
      </c>
      <c r="L297" s="18" t="n"/>
      <c r="M297" s="19" t="n"/>
      <c r="N297" s="18" t="n"/>
      <c r="O297" s="18">
        <f>IF(K297="","",K297+IFERROR(L297,0)+(K297*IF(M297="",CUSTOMS_PCT,M297))+IF(N297="",MISC_FEE,N297))</f>
        <v/>
      </c>
      <c r="P297" s="18">
        <f>IF(O297="","",ROUND(O297*(1+MARKUP_PCT),-1)-1)</f>
        <v/>
      </c>
      <c r="Q297" s="18">
        <f>IF(P297="","",P297-O297)</f>
        <v/>
      </c>
      <c r="R297" s="19">
        <f>IF(OR(P297="",P297=0),"",Q297/P297)</f>
        <v/>
      </c>
      <c r="S297" s="16" t="n"/>
      <c r="T297" s="16" t="n"/>
      <c r="U297" s="16" t="n"/>
      <c r="V297" s="16" t="n"/>
      <c r="W297" s="16" t="n"/>
      <c r="X297" s="16" t="n"/>
      <c r="Y297" s="16" t="n"/>
      <c r="Z297" s="16" t="n"/>
      <c r="AA297" s="16" t="n"/>
      <c r="AB297" s="16" t="n"/>
      <c r="AC297" s="20">
        <f>IF(COUNT(S297:AB297)&lt;10,"",(S297*W_FEMININE+T297*W_TREND+U297*W_AESTHETIC+V297*W_STYLE+W297*W_LIGHT+X297*W_REELS+Y297*W_GIFT+Z297*W_PRICEFIT+AA297*W_DEMAND+AB297*W_QUALITY)/5*100)</f>
        <v/>
      </c>
      <c r="AD297" s="16">
        <f>IF(P297="","",IF(P297&gt;HARD_REJECT_PRICE,"Reject",IF(P297&gt;MAX_PRICE,"Price Review",IF(AC297="","",IF(AND(AC297&gt;=BUY_THRESHOLD,OR(AB297&lt;=2,U297&lt;=2)),"Maybe",IF(AC297&gt;=BUY_THRESHOLD,"Buy",IF(AC297&gt;=MAYBE_THRESHOLD,"Maybe","Reject")))))))</f>
        <v/>
      </c>
      <c r="AE297" s="16" t="n"/>
      <c r="AF297" s="16" t="n"/>
      <c r="AG297" s="16" t="n"/>
      <c r="AH297" s="16" t="n"/>
      <c r="AI297" s="17" t="n"/>
      <c r="AJ297">
        <f>IF(AC297="",-9999-ROW()*0.0000001,AC297-ROW()*0.0000001)</f>
        <v/>
      </c>
      <c r="AK297">
        <f>IF(OR(AC297="",P297="",P297&gt;MAX_PRICE),-9999-ROW()*0.0000001,AC297-ROW()*0.0000001)</f>
        <v/>
      </c>
      <c r="AL297">
        <f>IF(AC297="",-9999-ROW()*0.0000001,X297*1000+AC297-ROW()*0.0000001)</f>
        <v/>
      </c>
      <c r="AM297">
        <f>IF(AC297="",-9999-ROW()*0.0000001,Y297*1000+AC297-ROW()*0.0000001)</f>
        <v/>
      </c>
      <c r="AN297">
        <f>IF(AND(OR(AD297="Maybe",AD297="Price Review"),AG297&lt;&gt;"Approved",AG297&lt;&gt;"Rejected"),IF(AC297="",0,AC297)-ROW()*0.0000001,-9999-ROW()*0.0000001)</f>
        <v/>
      </c>
      <c r="AO297" s="21" t="n"/>
      <c r="AP297" s="21" t="n"/>
      <c r="AQ297" s="22" t="n"/>
      <c r="AR297" s="22" t="n"/>
      <c r="AS297" s="16" t="n"/>
      <c r="AT297" s="22" t="n"/>
      <c r="AU297" s="22" t="n"/>
      <c r="AV297" s="22" t="n"/>
      <c r="AW297" s="18">
        <f>IF(OR(O297="",AV297=""),"",O297*AV297)</f>
        <v/>
      </c>
      <c r="AX297" s="16" t="n"/>
      <c r="AY297" s="16" t="n"/>
      <c r="AZ297" s="16" t="n"/>
      <c r="BA297" s="16" t="n"/>
      <c r="BB297" s="16" t="n"/>
      <c r="BC297" s="18" t="n"/>
      <c r="BD297" s="16" t="n"/>
      <c r="BE297" s="16">
        <f>IF(C297="","",IF(AND(ISNUMBER(P297),P297&gt;MAX_PRICE),"Price too high",IF(AND(ISNUMBER(AB297),AB297&lt;=2),"Quality risk",IF(AND(ISNUMBER(U297),U297&lt;=2),"Aesthetic mismatch",IF(AY297="High","Too fragile",IF(AND(ISNUMBER(R297),R297&lt;LOW_PROFIT_PCT),"Low profit",IF(AND(ISNUMBER(AT297),AT297&gt;MOQ_WARNING),"MOQ too high",IF(OR(AD297="Maybe",AD297="Price Review"),"Needs partner review",IF(AD297="Buy","Good candidate","")))))))))</f>
        <v/>
      </c>
      <c r="BF297" s="16" t="n"/>
      <c r="BG297" s="16" t="n"/>
      <c r="BH297" s="16" t="n"/>
      <c r="BI297" s="16" t="n"/>
      <c r="BJ297" s="16" t="n"/>
      <c r="BK297" s="16" t="n"/>
      <c r="BL297" s="16">
        <f>IF(C297="","",IF(AND(BG297="Yes",BH297="Yes",BI297="Yes",BJ297="Yes",BK297="Yes"),"Yes","No"))</f>
        <v/>
      </c>
      <c r="BM297" s="18" t="n"/>
      <c r="BN297" s="18" t="n"/>
      <c r="BO297" s="18">
        <f>IF(OR(BM297="",BN297=""),"",BM297+BN297)</f>
        <v/>
      </c>
      <c r="BP297" s="18" t="n"/>
      <c r="BQ297" s="18">
        <f>IF(OR(BP297="",BO297=""),"",BP297-BO297)</f>
        <v/>
      </c>
      <c r="BR297" s="19">
        <f>IF(OR(BP297="",BP297=0,BQ297=""),"",BQ297/BP297)</f>
        <v/>
      </c>
      <c r="BS297" s="17" t="n"/>
      <c r="BT297" s="22" t="n"/>
      <c r="BU297" s="22" t="n"/>
      <c r="BV297" s="16" t="n"/>
      <c r="BW297" s="16" t="n"/>
      <c r="BX297" s="22">
        <f>IF(OR(BT297="",BU297=""),"",BT297-BU297)</f>
        <v/>
      </c>
      <c r="BY297" s="16" t="n"/>
      <c r="BZ297" s="17" t="n"/>
      <c r="CA297" s="16" t="n"/>
      <c r="CB297" s="16" t="n"/>
    </row>
    <row r="298">
      <c r="A298" s="23">
        <f>IF(C298="","","AYN-"&amp;IFERROR(VLOOKUP(E298,CATEGORY_PREFIX_TABLE,2,FALSE),"OTH")&amp;"-"&amp;TEXT(ROW()-2,"0000"))</f>
        <v/>
      </c>
      <c r="B298" s="24" t="n"/>
      <c r="C298" s="23" t="n"/>
      <c r="D298" s="23" t="n"/>
      <c r="E298" s="23" t="n"/>
      <c r="F298" s="23" t="n"/>
      <c r="G298" s="23" t="n"/>
      <c r="H298" s="23" t="n"/>
      <c r="I298" s="23" t="n"/>
      <c r="J298" s="23" t="n"/>
      <c r="K298" s="25">
        <f>IF(I298="","",IF(J298="BDT",I298,IF(J298="USD",I298*USD_BDT,IF(J298="RMB",I298*RMB_BDT,""))))</f>
        <v/>
      </c>
      <c r="L298" s="25" t="n"/>
      <c r="M298" s="26" t="n"/>
      <c r="N298" s="25" t="n"/>
      <c r="O298" s="25">
        <f>IF(K298="","",K298+IFERROR(L298,0)+(K298*IF(M298="",CUSTOMS_PCT,M298))+IF(N298="",MISC_FEE,N298))</f>
        <v/>
      </c>
      <c r="P298" s="25">
        <f>IF(O298="","",ROUND(O298*(1+MARKUP_PCT),-1)-1)</f>
        <v/>
      </c>
      <c r="Q298" s="25">
        <f>IF(P298="","",P298-O298)</f>
        <v/>
      </c>
      <c r="R298" s="26">
        <f>IF(OR(P298="",P298=0),"",Q298/P298)</f>
        <v/>
      </c>
      <c r="S298" s="23" t="n"/>
      <c r="T298" s="23" t="n"/>
      <c r="U298" s="23" t="n"/>
      <c r="V298" s="23" t="n"/>
      <c r="W298" s="23" t="n"/>
      <c r="X298" s="23" t="n"/>
      <c r="Y298" s="23" t="n"/>
      <c r="Z298" s="23" t="n"/>
      <c r="AA298" s="23" t="n"/>
      <c r="AB298" s="23" t="n"/>
      <c r="AC298" s="27">
        <f>IF(COUNT(S298:AB298)&lt;10,"",(S298*W_FEMININE+T298*W_TREND+U298*W_AESTHETIC+V298*W_STYLE+W298*W_LIGHT+X298*W_REELS+Y298*W_GIFT+Z298*W_PRICEFIT+AA298*W_DEMAND+AB298*W_QUALITY)/5*100)</f>
        <v/>
      </c>
      <c r="AD298" s="23">
        <f>IF(P298="","",IF(P298&gt;HARD_REJECT_PRICE,"Reject",IF(P298&gt;MAX_PRICE,"Price Review",IF(AC298="","",IF(AND(AC298&gt;=BUY_THRESHOLD,OR(AB298&lt;=2,U298&lt;=2)),"Maybe",IF(AC298&gt;=BUY_THRESHOLD,"Buy",IF(AC298&gt;=MAYBE_THRESHOLD,"Maybe","Reject")))))))</f>
        <v/>
      </c>
      <c r="AE298" s="23" t="n"/>
      <c r="AF298" s="23" t="n"/>
      <c r="AG298" s="23" t="n"/>
      <c r="AH298" s="23" t="n"/>
      <c r="AI298" s="24" t="n"/>
      <c r="AJ298">
        <f>IF(AC298="",-9999-ROW()*0.0000001,AC298-ROW()*0.0000001)</f>
        <v/>
      </c>
      <c r="AK298">
        <f>IF(OR(AC298="",P298="",P298&gt;MAX_PRICE),-9999-ROW()*0.0000001,AC298-ROW()*0.0000001)</f>
        <v/>
      </c>
      <c r="AL298">
        <f>IF(AC298="",-9999-ROW()*0.0000001,X298*1000+AC298-ROW()*0.0000001)</f>
        <v/>
      </c>
      <c r="AM298">
        <f>IF(AC298="",-9999-ROW()*0.0000001,Y298*1000+AC298-ROW()*0.0000001)</f>
        <v/>
      </c>
      <c r="AN298">
        <f>IF(AND(OR(AD298="Maybe",AD298="Price Review"),AG298&lt;&gt;"Approved",AG298&lt;&gt;"Rejected"),IF(AC298="",0,AC298)-ROW()*0.0000001,-9999-ROW()*0.0000001)</f>
        <v/>
      </c>
      <c r="AO298" s="28" t="n"/>
      <c r="AP298" s="28" t="n"/>
      <c r="AQ298" s="29" t="n"/>
      <c r="AR298" s="29" t="n"/>
      <c r="AS298" s="23" t="n"/>
      <c r="AT298" s="29" t="n"/>
      <c r="AU298" s="29" t="n"/>
      <c r="AV298" s="29" t="n"/>
      <c r="AW298" s="25">
        <f>IF(OR(O298="",AV298=""),"",O298*AV298)</f>
        <v/>
      </c>
      <c r="AX298" s="23" t="n"/>
      <c r="AY298" s="23" t="n"/>
      <c r="AZ298" s="23" t="n"/>
      <c r="BA298" s="23" t="n"/>
      <c r="BB298" s="23" t="n"/>
      <c r="BC298" s="25" t="n"/>
      <c r="BD298" s="23" t="n"/>
      <c r="BE298" s="23">
        <f>IF(C298="","",IF(AND(ISNUMBER(P298),P298&gt;MAX_PRICE),"Price too high",IF(AND(ISNUMBER(AB298),AB298&lt;=2),"Quality risk",IF(AND(ISNUMBER(U298),U298&lt;=2),"Aesthetic mismatch",IF(AY298="High","Too fragile",IF(AND(ISNUMBER(R298),R298&lt;LOW_PROFIT_PCT),"Low profit",IF(AND(ISNUMBER(AT298),AT298&gt;MOQ_WARNING),"MOQ too high",IF(OR(AD298="Maybe",AD298="Price Review"),"Needs partner review",IF(AD298="Buy","Good candidate","")))))))))</f>
        <v/>
      </c>
      <c r="BF298" s="23" t="n"/>
      <c r="BG298" s="23" t="n"/>
      <c r="BH298" s="23" t="n"/>
      <c r="BI298" s="23" t="n"/>
      <c r="BJ298" s="23" t="n"/>
      <c r="BK298" s="23" t="n"/>
      <c r="BL298" s="23">
        <f>IF(C298="","",IF(AND(BG298="Yes",BH298="Yes",BI298="Yes",BJ298="Yes",BK298="Yes"),"Yes","No"))</f>
        <v/>
      </c>
      <c r="BM298" s="25" t="n"/>
      <c r="BN298" s="25" t="n"/>
      <c r="BO298" s="25">
        <f>IF(OR(BM298="",BN298=""),"",BM298+BN298)</f>
        <v/>
      </c>
      <c r="BP298" s="25" t="n"/>
      <c r="BQ298" s="25">
        <f>IF(OR(BP298="",BO298=""),"",BP298-BO298)</f>
        <v/>
      </c>
      <c r="BR298" s="26">
        <f>IF(OR(BP298="",BP298=0,BQ298=""),"",BQ298/BP298)</f>
        <v/>
      </c>
      <c r="BS298" s="24" t="n"/>
      <c r="BT298" s="29" t="n"/>
      <c r="BU298" s="29" t="n"/>
      <c r="BV298" s="23" t="n"/>
      <c r="BW298" s="23" t="n"/>
      <c r="BX298" s="29">
        <f>IF(OR(BT298="",BU298=""),"",BT298-BU298)</f>
        <v/>
      </c>
      <c r="BY298" s="23" t="n"/>
      <c r="BZ298" s="24" t="n"/>
      <c r="CA298" s="23" t="n"/>
      <c r="CB298" s="23" t="n"/>
    </row>
    <row r="299">
      <c r="A299" s="16">
        <f>IF(C299="","","AYN-"&amp;IFERROR(VLOOKUP(E299,CATEGORY_PREFIX_TABLE,2,FALSE),"OTH")&amp;"-"&amp;TEXT(ROW()-2,"0000"))</f>
        <v/>
      </c>
      <c r="B299" s="17" t="n"/>
      <c r="C299" s="16" t="n"/>
      <c r="D299" s="16" t="n"/>
      <c r="E299" s="16" t="n"/>
      <c r="F299" s="16" t="n"/>
      <c r="G299" s="16" t="n"/>
      <c r="H299" s="16" t="n"/>
      <c r="I299" s="16" t="n"/>
      <c r="J299" s="16" t="n"/>
      <c r="K299" s="18">
        <f>IF(I299="","",IF(J299="BDT",I299,IF(J299="USD",I299*USD_BDT,IF(J299="RMB",I299*RMB_BDT,""))))</f>
        <v/>
      </c>
      <c r="L299" s="18" t="n"/>
      <c r="M299" s="19" t="n"/>
      <c r="N299" s="18" t="n"/>
      <c r="O299" s="18">
        <f>IF(K299="","",K299+IFERROR(L299,0)+(K299*IF(M299="",CUSTOMS_PCT,M299))+IF(N299="",MISC_FEE,N299))</f>
        <v/>
      </c>
      <c r="P299" s="18">
        <f>IF(O299="","",ROUND(O299*(1+MARKUP_PCT),-1)-1)</f>
        <v/>
      </c>
      <c r="Q299" s="18">
        <f>IF(P299="","",P299-O299)</f>
        <v/>
      </c>
      <c r="R299" s="19">
        <f>IF(OR(P299="",P299=0),"",Q299/P299)</f>
        <v/>
      </c>
      <c r="S299" s="16" t="n"/>
      <c r="T299" s="16" t="n"/>
      <c r="U299" s="16" t="n"/>
      <c r="V299" s="16" t="n"/>
      <c r="W299" s="16" t="n"/>
      <c r="X299" s="16" t="n"/>
      <c r="Y299" s="16" t="n"/>
      <c r="Z299" s="16" t="n"/>
      <c r="AA299" s="16" t="n"/>
      <c r="AB299" s="16" t="n"/>
      <c r="AC299" s="20">
        <f>IF(COUNT(S299:AB299)&lt;10,"",(S299*W_FEMININE+T299*W_TREND+U299*W_AESTHETIC+V299*W_STYLE+W299*W_LIGHT+X299*W_REELS+Y299*W_GIFT+Z299*W_PRICEFIT+AA299*W_DEMAND+AB299*W_QUALITY)/5*100)</f>
        <v/>
      </c>
      <c r="AD299" s="16">
        <f>IF(P299="","",IF(P299&gt;HARD_REJECT_PRICE,"Reject",IF(P299&gt;MAX_PRICE,"Price Review",IF(AC299="","",IF(AND(AC299&gt;=BUY_THRESHOLD,OR(AB299&lt;=2,U299&lt;=2)),"Maybe",IF(AC299&gt;=BUY_THRESHOLD,"Buy",IF(AC299&gt;=MAYBE_THRESHOLD,"Maybe","Reject")))))))</f>
        <v/>
      </c>
      <c r="AE299" s="16" t="n"/>
      <c r="AF299" s="16" t="n"/>
      <c r="AG299" s="16" t="n"/>
      <c r="AH299" s="16" t="n"/>
      <c r="AI299" s="17" t="n"/>
      <c r="AJ299">
        <f>IF(AC299="",-9999-ROW()*0.0000001,AC299-ROW()*0.0000001)</f>
        <v/>
      </c>
      <c r="AK299">
        <f>IF(OR(AC299="",P299="",P299&gt;MAX_PRICE),-9999-ROW()*0.0000001,AC299-ROW()*0.0000001)</f>
        <v/>
      </c>
      <c r="AL299">
        <f>IF(AC299="",-9999-ROW()*0.0000001,X299*1000+AC299-ROW()*0.0000001)</f>
        <v/>
      </c>
      <c r="AM299">
        <f>IF(AC299="",-9999-ROW()*0.0000001,Y299*1000+AC299-ROW()*0.0000001)</f>
        <v/>
      </c>
      <c r="AN299">
        <f>IF(AND(OR(AD299="Maybe",AD299="Price Review"),AG299&lt;&gt;"Approved",AG299&lt;&gt;"Rejected"),IF(AC299="",0,AC299)-ROW()*0.0000001,-9999-ROW()*0.0000001)</f>
        <v/>
      </c>
      <c r="AO299" s="21" t="n"/>
      <c r="AP299" s="21" t="n"/>
      <c r="AQ299" s="22" t="n"/>
      <c r="AR299" s="22" t="n"/>
      <c r="AS299" s="16" t="n"/>
      <c r="AT299" s="22" t="n"/>
      <c r="AU299" s="22" t="n"/>
      <c r="AV299" s="22" t="n"/>
      <c r="AW299" s="18">
        <f>IF(OR(O299="",AV299=""),"",O299*AV299)</f>
        <v/>
      </c>
      <c r="AX299" s="16" t="n"/>
      <c r="AY299" s="16" t="n"/>
      <c r="AZ299" s="16" t="n"/>
      <c r="BA299" s="16" t="n"/>
      <c r="BB299" s="16" t="n"/>
      <c r="BC299" s="18" t="n"/>
      <c r="BD299" s="16" t="n"/>
      <c r="BE299" s="16">
        <f>IF(C299="","",IF(AND(ISNUMBER(P299),P299&gt;MAX_PRICE),"Price too high",IF(AND(ISNUMBER(AB299),AB299&lt;=2),"Quality risk",IF(AND(ISNUMBER(U299),U299&lt;=2),"Aesthetic mismatch",IF(AY299="High","Too fragile",IF(AND(ISNUMBER(R299),R299&lt;LOW_PROFIT_PCT),"Low profit",IF(AND(ISNUMBER(AT299),AT299&gt;MOQ_WARNING),"MOQ too high",IF(OR(AD299="Maybe",AD299="Price Review"),"Needs partner review",IF(AD299="Buy","Good candidate","")))))))))</f>
        <v/>
      </c>
      <c r="BF299" s="16" t="n"/>
      <c r="BG299" s="16" t="n"/>
      <c r="BH299" s="16" t="n"/>
      <c r="BI299" s="16" t="n"/>
      <c r="BJ299" s="16" t="n"/>
      <c r="BK299" s="16" t="n"/>
      <c r="BL299" s="16">
        <f>IF(C299="","",IF(AND(BG299="Yes",BH299="Yes",BI299="Yes",BJ299="Yes",BK299="Yes"),"Yes","No"))</f>
        <v/>
      </c>
      <c r="BM299" s="18" t="n"/>
      <c r="BN299" s="18" t="n"/>
      <c r="BO299" s="18">
        <f>IF(OR(BM299="",BN299=""),"",BM299+BN299)</f>
        <v/>
      </c>
      <c r="BP299" s="18" t="n"/>
      <c r="BQ299" s="18">
        <f>IF(OR(BP299="",BO299=""),"",BP299-BO299)</f>
        <v/>
      </c>
      <c r="BR299" s="19">
        <f>IF(OR(BP299="",BP299=0,BQ299=""),"",BQ299/BP299)</f>
        <v/>
      </c>
      <c r="BS299" s="17" t="n"/>
      <c r="BT299" s="22" t="n"/>
      <c r="BU299" s="22" t="n"/>
      <c r="BV299" s="16" t="n"/>
      <c r="BW299" s="16" t="n"/>
      <c r="BX299" s="22">
        <f>IF(OR(BT299="",BU299=""),"",BT299-BU299)</f>
        <v/>
      </c>
      <c r="BY299" s="16" t="n"/>
      <c r="BZ299" s="17" t="n"/>
      <c r="CA299" s="16" t="n"/>
      <c r="CB299" s="16" t="n"/>
    </row>
    <row r="300">
      <c r="A300" s="23">
        <f>IF(C300="","","AYN-"&amp;IFERROR(VLOOKUP(E300,CATEGORY_PREFIX_TABLE,2,FALSE),"OTH")&amp;"-"&amp;TEXT(ROW()-2,"0000"))</f>
        <v/>
      </c>
      <c r="B300" s="24" t="n"/>
      <c r="C300" s="23" t="n"/>
      <c r="D300" s="23" t="n"/>
      <c r="E300" s="23" t="n"/>
      <c r="F300" s="23" t="n"/>
      <c r="G300" s="23" t="n"/>
      <c r="H300" s="23" t="n"/>
      <c r="I300" s="23" t="n"/>
      <c r="J300" s="23" t="n"/>
      <c r="K300" s="25">
        <f>IF(I300="","",IF(J300="BDT",I300,IF(J300="USD",I300*USD_BDT,IF(J300="RMB",I300*RMB_BDT,""))))</f>
        <v/>
      </c>
      <c r="L300" s="25" t="n"/>
      <c r="M300" s="26" t="n"/>
      <c r="N300" s="25" t="n"/>
      <c r="O300" s="25">
        <f>IF(K300="","",K300+IFERROR(L300,0)+(K300*IF(M300="",CUSTOMS_PCT,M300))+IF(N300="",MISC_FEE,N300))</f>
        <v/>
      </c>
      <c r="P300" s="25">
        <f>IF(O300="","",ROUND(O300*(1+MARKUP_PCT),-1)-1)</f>
        <v/>
      </c>
      <c r="Q300" s="25">
        <f>IF(P300="","",P300-O300)</f>
        <v/>
      </c>
      <c r="R300" s="26">
        <f>IF(OR(P300="",P300=0),"",Q300/P300)</f>
        <v/>
      </c>
      <c r="S300" s="23" t="n"/>
      <c r="T300" s="23" t="n"/>
      <c r="U300" s="23" t="n"/>
      <c r="V300" s="23" t="n"/>
      <c r="W300" s="23" t="n"/>
      <c r="X300" s="23" t="n"/>
      <c r="Y300" s="23" t="n"/>
      <c r="Z300" s="23" t="n"/>
      <c r="AA300" s="23" t="n"/>
      <c r="AB300" s="23" t="n"/>
      <c r="AC300" s="27">
        <f>IF(COUNT(S300:AB300)&lt;10,"",(S300*W_FEMININE+T300*W_TREND+U300*W_AESTHETIC+V300*W_STYLE+W300*W_LIGHT+X300*W_REELS+Y300*W_GIFT+Z300*W_PRICEFIT+AA300*W_DEMAND+AB300*W_QUALITY)/5*100)</f>
        <v/>
      </c>
      <c r="AD300" s="23">
        <f>IF(P300="","",IF(P300&gt;HARD_REJECT_PRICE,"Reject",IF(P300&gt;MAX_PRICE,"Price Review",IF(AC300="","",IF(AND(AC300&gt;=BUY_THRESHOLD,OR(AB300&lt;=2,U300&lt;=2)),"Maybe",IF(AC300&gt;=BUY_THRESHOLD,"Buy",IF(AC300&gt;=MAYBE_THRESHOLD,"Maybe","Reject")))))))</f>
        <v/>
      </c>
      <c r="AE300" s="23" t="n"/>
      <c r="AF300" s="23" t="n"/>
      <c r="AG300" s="23" t="n"/>
      <c r="AH300" s="23" t="n"/>
      <c r="AI300" s="24" t="n"/>
      <c r="AJ300">
        <f>IF(AC300="",-9999-ROW()*0.0000001,AC300-ROW()*0.0000001)</f>
        <v/>
      </c>
      <c r="AK300">
        <f>IF(OR(AC300="",P300="",P300&gt;MAX_PRICE),-9999-ROW()*0.0000001,AC300-ROW()*0.0000001)</f>
        <v/>
      </c>
      <c r="AL300">
        <f>IF(AC300="",-9999-ROW()*0.0000001,X300*1000+AC300-ROW()*0.0000001)</f>
        <v/>
      </c>
      <c r="AM300">
        <f>IF(AC300="",-9999-ROW()*0.0000001,Y300*1000+AC300-ROW()*0.0000001)</f>
        <v/>
      </c>
      <c r="AN300">
        <f>IF(AND(OR(AD300="Maybe",AD300="Price Review"),AG300&lt;&gt;"Approved",AG300&lt;&gt;"Rejected"),IF(AC300="",0,AC300)-ROW()*0.0000001,-9999-ROW()*0.0000001)</f>
        <v/>
      </c>
      <c r="AO300" s="28" t="n"/>
      <c r="AP300" s="28" t="n"/>
      <c r="AQ300" s="29" t="n"/>
      <c r="AR300" s="29" t="n"/>
      <c r="AS300" s="23" t="n"/>
      <c r="AT300" s="29" t="n"/>
      <c r="AU300" s="29" t="n"/>
      <c r="AV300" s="29" t="n"/>
      <c r="AW300" s="25">
        <f>IF(OR(O300="",AV300=""),"",O300*AV300)</f>
        <v/>
      </c>
      <c r="AX300" s="23" t="n"/>
      <c r="AY300" s="23" t="n"/>
      <c r="AZ300" s="23" t="n"/>
      <c r="BA300" s="23" t="n"/>
      <c r="BB300" s="23" t="n"/>
      <c r="BC300" s="25" t="n"/>
      <c r="BD300" s="23" t="n"/>
      <c r="BE300" s="23">
        <f>IF(C300="","",IF(AND(ISNUMBER(P300),P300&gt;MAX_PRICE),"Price too high",IF(AND(ISNUMBER(AB300),AB300&lt;=2),"Quality risk",IF(AND(ISNUMBER(U300),U300&lt;=2),"Aesthetic mismatch",IF(AY300="High","Too fragile",IF(AND(ISNUMBER(R300),R300&lt;LOW_PROFIT_PCT),"Low profit",IF(AND(ISNUMBER(AT300),AT300&gt;MOQ_WARNING),"MOQ too high",IF(OR(AD300="Maybe",AD300="Price Review"),"Needs partner review",IF(AD300="Buy","Good candidate","")))))))))</f>
        <v/>
      </c>
      <c r="BF300" s="23" t="n"/>
      <c r="BG300" s="23" t="n"/>
      <c r="BH300" s="23" t="n"/>
      <c r="BI300" s="23" t="n"/>
      <c r="BJ300" s="23" t="n"/>
      <c r="BK300" s="23" t="n"/>
      <c r="BL300" s="23">
        <f>IF(C300="","",IF(AND(BG300="Yes",BH300="Yes",BI300="Yes",BJ300="Yes",BK300="Yes"),"Yes","No"))</f>
        <v/>
      </c>
      <c r="BM300" s="25" t="n"/>
      <c r="BN300" s="25" t="n"/>
      <c r="BO300" s="25">
        <f>IF(OR(BM300="",BN300=""),"",BM300+BN300)</f>
        <v/>
      </c>
      <c r="BP300" s="25" t="n"/>
      <c r="BQ300" s="25">
        <f>IF(OR(BP300="",BO300=""),"",BP300-BO300)</f>
        <v/>
      </c>
      <c r="BR300" s="26">
        <f>IF(OR(BP300="",BP300=0,BQ300=""),"",BQ300/BP300)</f>
        <v/>
      </c>
      <c r="BS300" s="24" t="n"/>
      <c r="BT300" s="29" t="n"/>
      <c r="BU300" s="29" t="n"/>
      <c r="BV300" s="23" t="n"/>
      <c r="BW300" s="23" t="n"/>
      <c r="BX300" s="29">
        <f>IF(OR(BT300="",BU300=""),"",BT300-BU300)</f>
        <v/>
      </c>
      <c r="BY300" s="23" t="n"/>
      <c r="BZ300" s="24" t="n"/>
      <c r="CA300" s="23" t="n"/>
      <c r="CB300" s="23" t="n"/>
    </row>
    <row r="301">
      <c r="A301" s="16">
        <f>IF(C301="","","AYN-"&amp;IFERROR(VLOOKUP(E301,CATEGORY_PREFIX_TABLE,2,FALSE),"OTH")&amp;"-"&amp;TEXT(ROW()-2,"0000"))</f>
        <v/>
      </c>
      <c r="B301" s="17" t="n"/>
      <c r="C301" s="16" t="n"/>
      <c r="D301" s="16" t="n"/>
      <c r="E301" s="16" t="n"/>
      <c r="F301" s="16" t="n"/>
      <c r="G301" s="16" t="n"/>
      <c r="H301" s="16" t="n"/>
      <c r="I301" s="16" t="n"/>
      <c r="J301" s="16" t="n"/>
      <c r="K301" s="18">
        <f>IF(I301="","",IF(J301="BDT",I301,IF(J301="USD",I301*USD_BDT,IF(J301="RMB",I301*RMB_BDT,""))))</f>
        <v/>
      </c>
      <c r="L301" s="18" t="n"/>
      <c r="M301" s="19" t="n"/>
      <c r="N301" s="18" t="n"/>
      <c r="O301" s="18">
        <f>IF(K301="","",K301+IFERROR(L301,0)+(K301*IF(M301="",CUSTOMS_PCT,M301))+IF(N301="",MISC_FEE,N301))</f>
        <v/>
      </c>
      <c r="P301" s="18">
        <f>IF(O301="","",ROUND(O301*(1+MARKUP_PCT),-1)-1)</f>
        <v/>
      </c>
      <c r="Q301" s="18">
        <f>IF(P301="","",P301-O301)</f>
        <v/>
      </c>
      <c r="R301" s="19">
        <f>IF(OR(P301="",P301=0),"",Q301/P301)</f>
        <v/>
      </c>
      <c r="S301" s="16" t="n"/>
      <c r="T301" s="16" t="n"/>
      <c r="U301" s="16" t="n"/>
      <c r="V301" s="16" t="n"/>
      <c r="W301" s="16" t="n"/>
      <c r="X301" s="16" t="n"/>
      <c r="Y301" s="16" t="n"/>
      <c r="Z301" s="16" t="n"/>
      <c r="AA301" s="16" t="n"/>
      <c r="AB301" s="16" t="n"/>
      <c r="AC301" s="20">
        <f>IF(COUNT(S301:AB301)&lt;10,"",(S301*W_FEMININE+T301*W_TREND+U301*W_AESTHETIC+V301*W_STYLE+W301*W_LIGHT+X301*W_REELS+Y301*W_GIFT+Z301*W_PRICEFIT+AA301*W_DEMAND+AB301*W_QUALITY)/5*100)</f>
        <v/>
      </c>
      <c r="AD301" s="16">
        <f>IF(P301="","",IF(P301&gt;HARD_REJECT_PRICE,"Reject",IF(P301&gt;MAX_PRICE,"Price Review",IF(AC301="","",IF(AND(AC301&gt;=BUY_THRESHOLD,OR(AB301&lt;=2,U301&lt;=2)),"Maybe",IF(AC301&gt;=BUY_THRESHOLD,"Buy",IF(AC301&gt;=MAYBE_THRESHOLD,"Maybe","Reject")))))))</f>
        <v/>
      </c>
      <c r="AE301" s="16" t="n"/>
      <c r="AF301" s="16" t="n"/>
      <c r="AG301" s="16" t="n"/>
      <c r="AH301" s="16" t="n"/>
      <c r="AI301" s="17" t="n"/>
      <c r="AJ301">
        <f>IF(AC301="",-9999-ROW()*0.0000001,AC301-ROW()*0.0000001)</f>
        <v/>
      </c>
      <c r="AK301">
        <f>IF(OR(AC301="",P301="",P301&gt;MAX_PRICE),-9999-ROW()*0.0000001,AC301-ROW()*0.0000001)</f>
        <v/>
      </c>
      <c r="AL301">
        <f>IF(AC301="",-9999-ROW()*0.0000001,X301*1000+AC301-ROW()*0.0000001)</f>
        <v/>
      </c>
      <c r="AM301">
        <f>IF(AC301="",-9999-ROW()*0.0000001,Y301*1000+AC301-ROW()*0.0000001)</f>
        <v/>
      </c>
      <c r="AN301">
        <f>IF(AND(OR(AD301="Maybe",AD301="Price Review"),AG301&lt;&gt;"Approved",AG301&lt;&gt;"Rejected"),IF(AC301="",0,AC301)-ROW()*0.0000001,-9999-ROW()*0.0000001)</f>
        <v/>
      </c>
      <c r="AO301" s="21" t="n"/>
      <c r="AP301" s="21" t="n"/>
      <c r="AQ301" s="22" t="n"/>
      <c r="AR301" s="22" t="n"/>
      <c r="AS301" s="16" t="n"/>
      <c r="AT301" s="22" t="n"/>
      <c r="AU301" s="22" t="n"/>
      <c r="AV301" s="22" t="n"/>
      <c r="AW301" s="18">
        <f>IF(OR(O301="",AV301=""),"",O301*AV301)</f>
        <v/>
      </c>
      <c r="AX301" s="16" t="n"/>
      <c r="AY301" s="16" t="n"/>
      <c r="AZ301" s="16" t="n"/>
      <c r="BA301" s="16" t="n"/>
      <c r="BB301" s="16" t="n"/>
      <c r="BC301" s="18" t="n"/>
      <c r="BD301" s="16" t="n"/>
      <c r="BE301" s="16">
        <f>IF(C301="","",IF(AND(ISNUMBER(P301),P301&gt;MAX_PRICE),"Price too high",IF(AND(ISNUMBER(AB301),AB301&lt;=2),"Quality risk",IF(AND(ISNUMBER(U301),U301&lt;=2),"Aesthetic mismatch",IF(AY301="High","Too fragile",IF(AND(ISNUMBER(R301),R301&lt;LOW_PROFIT_PCT),"Low profit",IF(AND(ISNUMBER(AT301),AT301&gt;MOQ_WARNING),"MOQ too high",IF(OR(AD301="Maybe",AD301="Price Review"),"Needs partner review",IF(AD301="Buy","Good candidate","")))))))))</f>
        <v/>
      </c>
      <c r="BF301" s="16" t="n"/>
      <c r="BG301" s="16" t="n"/>
      <c r="BH301" s="16" t="n"/>
      <c r="BI301" s="16" t="n"/>
      <c r="BJ301" s="16" t="n"/>
      <c r="BK301" s="16" t="n"/>
      <c r="BL301" s="16">
        <f>IF(C301="","",IF(AND(BG301="Yes",BH301="Yes",BI301="Yes",BJ301="Yes",BK301="Yes"),"Yes","No"))</f>
        <v/>
      </c>
      <c r="BM301" s="18" t="n"/>
      <c r="BN301" s="18" t="n"/>
      <c r="BO301" s="18">
        <f>IF(OR(BM301="",BN301=""),"",BM301+BN301)</f>
        <v/>
      </c>
      <c r="BP301" s="18" t="n"/>
      <c r="BQ301" s="18">
        <f>IF(OR(BP301="",BO301=""),"",BP301-BO301)</f>
        <v/>
      </c>
      <c r="BR301" s="19">
        <f>IF(OR(BP301="",BP301=0,BQ301=""),"",BQ301/BP301)</f>
        <v/>
      </c>
      <c r="BS301" s="17" t="n"/>
      <c r="BT301" s="22" t="n"/>
      <c r="BU301" s="22" t="n"/>
      <c r="BV301" s="16" t="n"/>
      <c r="BW301" s="16" t="n"/>
      <c r="BX301" s="22">
        <f>IF(OR(BT301="",BU301=""),"",BT301-BU301)</f>
        <v/>
      </c>
      <c r="BY301" s="16" t="n"/>
      <c r="BZ301" s="17" t="n"/>
      <c r="CA301" s="16" t="n"/>
      <c r="CB301" s="16" t="n"/>
    </row>
    <row r="302">
      <c r="A302" s="23">
        <f>IF(C302="","","AYN-"&amp;IFERROR(VLOOKUP(E302,CATEGORY_PREFIX_TABLE,2,FALSE),"OTH")&amp;"-"&amp;TEXT(ROW()-2,"0000"))</f>
        <v/>
      </c>
      <c r="B302" s="24" t="n"/>
      <c r="C302" s="23" t="n"/>
      <c r="D302" s="23" t="n"/>
      <c r="E302" s="23" t="n"/>
      <c r="F302" s="23" t="n"/>
      <c r="G302" s="23" t="n"/>
      <c r="H302" s="23" t="n"/>
      <c r="I302" s="23" t="n"/>
      <c r="J302" s="23" t="n"/>
      <c r="K302" s="25">
        <f>IF(I302="","",IF(J302="BDT",I302,IF(J302="USD",I302*USD_BDT,IF(J302="RMB",I302*RMB_BDT,""))))</f>
        <v/>
      </c>
      <c r="L302" s="25" t="n"/>
      <c r="M302" s="26" t="n"/>
      <c r="N302" s="25" t="n"/>
      <c r="O302" s="25">
        <f>IF(K302="","",K302+IFERROR(L302,0)+(K302*IF(M302="",CUSTOMS_PCT,M302))+IF(N302="",MISC_FEE,N302))</f>
        <v/>
      </c>
      <c r="P302" s="25">
        <f>IF(O302="","",ROUND(O302*(1+MARKUP_PCT),-1)-1)</f>
        <v/>
      </c>
      <c r="Q302" s="25">
        <f>IF(P302="","",P302-O302)</f>
        <v/>
      </c>
      <c r="R302" s="26">
        <f>IF(OR(P302="",P302=0),"",Q302/P302)</f>
        <v/>
      </c>
      <c r="S302" s="23" t="n"/>
      <c r="T302" s="23" t="n"/>
      <c r="U302" s="23" t="n"/>
      <c r="V302" s="23" t="n"/>
      <c r="W302" s="23" t="n"/>
      <c r="X302" s="23" t="n"/>
      <c r="Y302" s="23" t="n"/>
      <c r="Z302" s="23" t="n"/>
      <c r="AA302" s="23" t="n"/>
      <c r="AB302" s="23" t="n"/>
      <c r="AC302" s="27">
        <f>IF(COUNT(S302:AB302)&lt;10,"",(S302*W_FEMININE+T302*W_TREND+U302*W_AESTHETIC+V302*W_STYLE+W302*W_LIGHT+X302*W_REELS+Y302*W_GIFT+Z302*W_PRICEFIT+AA302*W_DEMAND+AB302*W_QUALITY)/5*100)</f>
        <v/>
      </c>
      <c r="AD302" s="23">
        <f>IF(P302="","",IF(P302&gt;HARD_REJECT_PRICE,"Reject",IF(P302&gt;MAX_PRICE,"Price Review",IF(AC302="","",IF(AND(AC302&gt;=BUY_THRESHOLD,OR(AB302&lt;=2,U302&lt;=2)),"Maybe",IF(AC302&gt;=BUY_THRESHOLD,"Buy",IF(AC302&gt;=MAYBE_THRESHOLD,"Maybe","Reject")))))))</f>
        <v/>
      </c>
      <c r="AE302" s="23" t="n"/>
      <c r="AF302" s="23" t="n"/>
      <c r="AG302" s="23" t="n"/>
      <c r="AH302" s="23" t="n"/>
      <c r="AI302" s="24" t="n"/>
      <c r="AJ302">
        <f>IF(AC302="",-9999-ROW()*0.0000001,AC302-ROW()*0.0000001)</f>
        <v/>
      </c>
      <c r="AK302">
        <f>IF(OR(AC302="",P302="",P302&gt;MAX_PRICE),-9999-ROW()*0.0000001,AC302-ROW()*0.0000001)</f>
        <v/>
      </c>
      <c r="AL302">
        <f>IF(AC302="",-9999-ROW()*0.0000001,X302*1000+AC302-ROW()*0.0000001)</f>
        <v/>
      </c>
      <c r="AM302">
        <f>IF(AC302="",-9999-ROW()*0.0000001,Y302*1000+AC302-ROW()*0.0000001)</f>
        <v/>
      </c>
      <c r="AN302">
        <f>IF(AND(OR(AD302="Maybe",AD302="Price Review"),AG302&lt;&gt;"Approved",AG302&lt;&gt;"Rejected"),IF(AC302="",0,AC302)-ROW()*0.0000001,-9999-ROW()*0.0000001)</f>
        <v/>
      </c>
      <c r="AO302" s="28" t="n"/>
      <c r="AP302" s="28" t="n"/>
      <c r="AQ302" s="29" t="n"/>
      <c r="AR302" s="29" t="n"/>
      <c r="AS302" s="23" t="n"/>
      <c r="AT302" s="29" t="n"/>
      <c r="AU302" s="29" t="n"/>
      <c r="AV302" s="29" t="n"/>
      <c r="AW302" s="25">
        <f>IF(OR(O302="",AV302=""),"",O302*AV302)</f>
        <v/>
      </c>
      <c r="AX302" s="23" t="n"/>
      <c r="AY302" s="23" t="n"/>
      <c r="AZ302" s="23" t="n"/>
      <c r="BA302" s="23" t="n"/>
      <c r="BB302" s="23" t="n"/>
      <c r="BC302" s="25" t="n"/>
      <c r="BD302" s="23" t="n"/>
      <c r="BE302" s="23">
        <f>IF(C302="","",IF(AND(ISNUMBER(P302),P302&gt;MAX_PRICE),"Price too high",IF(AND(ISNUMBER(AB302),AB302&lt;=2),"Quality risk",IF(AND(ISNUMBER(U302),U302&lt;=2),"Aesthetic mismatch",IF(AY302="High","Too fragile",IF(AND(ISNUMBER(R302),R302&lt;LOW_PROFIT_PCT),"Low profit",IF(AND(ISNUMBER(AT302),AT302&gt;MOQ_WARNING),"MOQ too high",IF(OR(AD302="Maybe",AD302="Price Review"),"Needs partner review",IF(AD302="Buy","Good candidate","")))))))))</f>
        <v/>
      </c>
      <c r="BF302" s="23" t="n"/>
      <c r="BG302" s="23" t="n"/>
      <c r="BH302" s="23" t="n"/>
      <c r="BI302" s="23" t="n"/>
      <c r="BJ302" s="23" t="n"/>
      <c r="BK302" s="23" t="n"/>
      <c r="BL302" s="23">
        <f>IF(C302="","",IF(AND(BG302="Yes",BH302="Yes",BI302="Yes",BJ302="Yes",BK302="Yes"),"Yes","No"))</f>
        <v/>
      </c>
      <c r="BM302" s="25" t="n"/>
      <c r="BN302" s="25" t="n"/>
      <c r="BO302" s="25">
        <f>IF(OR(BM302="",BN302=""),"",BM302+BN302)</f>
        <v/>
      </c>
      <c r="BP302" s="25" t="n"/>
      <c r="BQ302" s="25">
        <f>IF(OR(BP302="",BO302=""),"",BP302-BO302)</f>
        <v/>
      </c>
      <c r="BR302" s="26">
        <f>IF(OR(BP302="",BP302=0,BQ302=""),"",BQ302/BP302)</f>
        <v/>
      </c>
      <c r="BS302" s="24" t="n"/>
      <c r="BT302" s="29" t="n"/>
      <c r="BU302" s="29" t="n"/>
      <c r="BV302" s="23" t="n"/>
      <c r="BW302" s="23" t="n"/>
      <c r="BX302" s="29">
        <f>IF(OR(BT302="",BU302=""),"",BT302-BU302)</f>
        <v/>
      </c>
      <c r="BY302" s="23" t="n"/>
      <c r="BZ302" s="24" t="n"/>
      <c r="CA302" s="23" t="n"/>
      <c r="CB302" s="23" t="n"/>
    </row>
    <row r="303">
      <c r="A303" s="16">
        <f>IF(C303="","","AYN-"&amp;IFERROR(VLOOKUP(E303,CATEGORY_PREFIX_TABLE,2,FALSE),"OTH")&amp;"-"&amp;TEXT(ROW()-2,"0000"))</f>
        <v/>
      </c>
      <c r="B303" s="17" t="n"/>
      <c r="C303" s="16" t="n"/>
      <c r="D303" s="16" t="n"/>
      <c r="E303" s="16" t="n"/>
      <c r="F303" s="16" t="n"/>
      <c r="G303" s="16" t="n"/>
      <c r="H303" s="16" t="n"/>
      <c r="I303" s="16" t="n"/>
      <c r="J303" s="16" t="n"/>
      <c r="K303" s="18">
        <f>IF(I303="","",IF(J303="BDT",I303,IF(J303="USD",I303*USD_BDT,IF(J303="RMB",I303*RMB_BDT,""))))</f>
        <v/>
      </c>
      <c r="L303" s="18" t="n"/>
      <c r="M303" s="19" t="n"/>
      <c r="N303" s="18" t="n"/>
      <c r="O303" s="18">
        <f>IF(K303="","",K303+IFERROR(L303,0)+(K303*IF(M303="",CUSTOMS_PCT,M303))+IF(N303="",MISC_FEE,N303))</f>
        <v/>
      </c>
      <c r="P303" s="18">
        <f>IF(O303="","",ROUND(O303*(1+MARKUP_PCT),-1)-1)</f>
        <v/>
      </c>
      <c r="Q303" s="18">
        <f>IF(P303="","",P303-O303)</f>
        <v/>
      </c>
      <c r="R303" s="19">
        <f>IF(OR(P303="",P303=0),"",Q303/P303)</f>
        <v/>
      </c>
      <c r="S303" s="16" t="n"/>
      <c r="T303" s="16" t="n"/>
      <c r="U303" s="16" t="n"/>
      <c r="V303" s="16" t="n"/>
      <c r="W303" s="16" t="n"/>
      <c r="X303" s="16" t="n"/>
      <c r="Y303" s="16" t="n"/>
      <c r="Z303" s="16" t="n"/>
      <c r="AA303" s="16" t="n"/>
      <c r="AB303" s="16" t="n"/>
      <c r="AC303" s="20">
        <f>IF(COUNT(S303:AB303)&lt;10,"",(S303*W_FEMININE+T303*W_TREND+U303*W_AESTHETIC+V303*W_STYLE+W303*W_LIGHT+X303*W_REELS+Y303*W_GIFT+Z303*W_PRICEFIT+AA303*W_DEMAND+AB303*W_QUALITY)/5*100)</f>
        <v/>
      </c>
      <c r="AD303" s="16">
        <f>IF(P303="","",IF(P303&gt;HARD_REJECT_PRICE,"Reject",IF(P303&gt;MAX_PRICE,"Price Review",IF(AC303="","",IF(AND(AC303&gt;=BUY_THRESHOLD,OR(AB303&lt;=2,U303&lt;=2)),"Maybe",IF(AC303&gt;=BUY_THRESHOLD,"Buy",IF(AC303&gt;=MAYBE_THRESHOLD,"Maybe","Reject")))))))</f>
        <v/>
      </c>
      <c r="AE303" s="16" t="n"/>
      <c r="AF303" s="16" t="n"/>
      <c r="AG303" s="16" t="n"/>
      <c r="AH303" s="16" t="n"/>
      <c r="AI303" s="17" t="n"/>
      <c r="AJ303">
        <f>IF(AC303="",-9999-ROW()*0.0000001,AC303-ROW()*0.0000001)</f>
        <v/>
      </c>
      <c r="AK303">
        <f>IF(OR(AC303="",P303="",P303&gt;MAX_PRICE),-9999-ROW()*0.0000001,AC303-ROW()*0.0000001)</f>
        <v/>
      </c>
      <c r="AL303">
        <f>IF(AC303="",-9999-ROW()*0.0000001,X303*1000+AC303-ROW()*0.0000001)</f>
        <v/>
      </c>
      <c r="AM303">
        <f>IF(AC303="",-9999-ROW()*0.0000001,Y303*1000+AC303-ROW()*0.0000001)</f>
        <v/>
      </c>
      <c r="AN303">
        <f>IF(AND(OR(AD303="Maybe",AD303="Price Review"),AG303&lt;&gt;"Approved",AG303&lt;&gt;"Rejected"),IF(AC303="",0,AC303)-ROW()*0.0000001,-9999-ROW()*0.0000001)</f>
        <v/>
      </c>
      <c r="AO303" s="21" t="n"/>
      <c r="AP303" s="21" t="n"/>
      <c r="AQ303" s="22" t="n"/>
      <c r="AR303" s="22" t="n"/>
      <c r="AS303" s="16" t="n"/>
      <c r="AT303" s="22" t="n"/>
      <c r="AU303" s="22" t="n"/>
      <c r="AV303" s="22" t="n"/>
      <c r="AW303" s="18">
        <f>IF(OR(O303="",AV303=""),"",O303*AV303)</f>
        <v/>
      </c>
      <c r="AX303" s="16" t="n"/>
      <c r="AY303" s="16" t="n"/>
      <c r="AZ303" s="16" t="n"/>
      <c r="BA303" s="16" t="n"/>
      <c r="BB303" s="16" t="n"/>
      <c r="BC303" s="18" t="n"/>
      <c r="BD303" s="16" t="n"/>
      <c r="BE303" s="16">
        <f>IF(C303="","",IF(AND(ISNUMBER(P303),P303&gt;MAX_PRICE),"Price too high",IF(AND(ISNUMBER(AB303),AB303&lt;=2),"Quality risk",IF(AND(ISNUMBER(U303),U303&lt;=2),"Aesthetic mismatch",IF(AY303="High","Too fragile",IF(AND(ISNUMBER(R303),R303&lt;LOW_PROFIT_PCT),"Low profit",IF(AND(ISNUMBER(AT303),AT303&gt;MOQ_WARNING),"MOQ too high",IF(OR(AD303="Maybe",AD303="Price Review"),"Needs partner review",IF(AD303="Buy","Good candidate","")))))))))</f>
        <v/>
      </c>
      <c r="BF303" s="16" t="n"/>
      <c r="BG303" s="16" t="n"/>
      <c r="BH303" s="16" t="n"/>
      <c r="BI303" s="16" t="n"/>
      <c r="BJ303" s="16" t="n"/>
      <c r="BK303" s="16" t="n"/>
      <c r="BL303" s="16">
        <f>IF(C303="","",IF(AND(BG303="Yes",BH303="Yes",BI303="Yes",BJ303="Yes",BK303="Yes"),"Yes","No"))</f>
        <v/>
      </c>
      <c r="BM303" s="18" t="n"/>
      <c r="BN303" s="18" t="n"/>
      <c r="BO303" s="18">
        <f>IF(OR(BM303="",BN303=""),"",BM303+BN303)</f>
        <v/>
      </c>
      <c r="BP303" s="18" t="n"/>
      <c r="BQ303" s="18">
        <f>IF(OR(BP303="",BO303=""),"",BP303-BO303)</f>
        <v/>
      </c>
      <c r="BR303" s="19">
        <f>IF(OR(BP303="",BP303=0,BQ303=""),"",BQ303/BP303)</f>
        <v/>
      </c>
      <c r="BS303" s="17" t="n"/>
      <c r="BT303" s="22" t="n"/>
      <c r="BU303" s="22" t="n"/>
      <c r="BV303" s="16" t="n"/>
      <c r="BW303" s="16" t="n"/>
      <c r="BX303" s="22">
        <f>IF(OR(BT303="",BU303=""),"",BT303-BU303)</f>
        <v/>
      </c>
      <c r="BY303" s="16" t="n"/>
      <c r="BZ303" s="17" t="n"/>
      <c r="CA303" s="16" t="n"/>
      <c r="CB303" s="16" t="n"/>
    </row>
    <row r="304">
      <c r="A304" s="23">
        <f>IF(C304="","","AYN-"&amp;IFERROR(VLOOKUP(E304,CATEGORY_PREFIX_TABLE,2,FALSE),"OTH")&amp;"-"&amp;TEXT(ROW()-2,"0000"))</f>
        <v/>
      </c>
      <c r="B304" s="24" t="n"/>
      <c r="C304" s="23" t="n"/>
      <c r="D304" s="23" t="n"/>
      <c r="E304" s="23" t="n"/>
      <c r="F304" s="23" t="n"/>
      <c r="G304" s="23" t="n"/>
      <c r="H304" s="23" t="n"/>
      <c r="I304" s="23" t="n"/>
      <c r="J304" s="23" t="n"/>
      <c r="K304" s="25">
        <f>IF(I304="","",IF(J304="BDT",I304,IF(J304="USD",I304*USD_BDT,IF(J304="RMB",I304*RMB_BDT,""))))</f>
        <v/>
      </c>
      <c r="L304" s="25" t="n"/>
      <c r="M304" s="26" t="n"/>
      <c r="N304" s="25" t="n"/>
      <c r="O304" s="25">
        <f>IF(K304="","",K304+IFERROR(L304,0)+(K304*IF(M304="",CUSTOMS_PCT,M304))+IF(N304="",MISC_FEE,N304))</f>
        <v/>
      </c>
      <c r="P304" s="25">
        <f>IF(O304="","",ROUND(O304*(1+MARKUP_PCT),-1)-1)</f>
        <v/>
      </c>
      <c r="Q304" s="25">
        <f>IF(P304="","",P304-O304)</f>
        <v/>
      </c>
      <c r="R304" s="26">
        <f>IF(OR(P304="",P304=0),"",Q304/P304)</f>
        <v/>
      </c>
      <c r="S304" s="23" t="n"/>
      <c r="T304" s="23" t="n"/>
      <c r="U304" s="23" t="n"/>
      <c r="V304" s="23" t="n"/>
      <c r="W304" s="23" t="n"/>
      <c r="X304" s="23" t="n"/>
      <c r="Y304" s="23" t="n"/>
      <c r="Z304" s="23" t="n"/>
      <c r="AA304" s="23" t="n"/>
      <c r="AB304" s="23" t="n"/>
      <c r="AC304" s="27">
        <f>IF(COUNT(S304:AB304)&lt;10,"",(S304*W_FEMININE+T304*W_TREND+U304*W_AESTHETIC+V304*W_STYLE+W304*W_LIGHT+X304*W_REELS+Y304*W_GIFT+Z304*W_PRICEFIT+AA304*W_DEMAND+AB304*W_QUALITY)/5*100)</f>
        <v/>
      </c>
      <c r="AD304" s="23">
        <f>IF(P304="","",IF(P304&gt;HARD_REJECT_PRICE,"Reject",IF(P304&gt;MAX_PRICE,"Price Review",IF(AC304="","",IF(AND(AC304&gt;=BUY_THRESHOLD,OR(AB304&lt;=2,U304&lt;=2)),"Maybe",IF(AC304&gt;=BUY_THRESHOLD,"Buy",IF(AC304&gt;=MAYBE_THRESHOLD,"Maybe","Reject")))))))</f>
        <v/>
      </c>
      <c r="AE304" s="23" t="n"/>
      <c r="AF304" s="23" t="n"/>
      <c r="AG304" s="23" t="n"/>
      <c r="AH304" s="23" t="n"/>
      <c r="AI304" s="24" t="n"/>
      <c r="AJ304">
        <f>IF(AC304="",-9999-ROW()*0.0000001,AC304-ROW()*0.0000001)</f>
        <v/>
      </c>
      <c r="AK304">
        <f>IF(OR(AC304="",P304="",P304&gt;MAX_PRICE),-9999-ROW()*0.0000001,AC304-ROW()*0.0000001)</f>
        <v/>
      </c>
      <c r="AL304">
        <f>IF(AC304="",-9999-ROW()*0.0000001,X304*1000+AC304-ROW()*0.0000001)</f>
        <v/>
      </c>
      <c r="AM304">
        <f>IF(AC304="",-9999-ROW()*0.0000001,Y304*1000+AC304-ROW()*0.0000001)</f>
        <v/>
      </c>
      <c r="AN304">
        <f>IF(AND(OR(AD304="Maybe",AD304="Price Review"),AG304&lt;&gt;"Approved",AG304&lt;&gt;"Rejected"),IF(AC304="",0,AC304)-ROW()*0.0000001,-9999-ROW()*0.0000001)</f>
        <v/>
      </c>
      <c r="AO304" s="28" t="n"/>
      <c r="AP304" s="28" t="n"/>
      <c r="AQ304" s="29" t="n"/>
      <c r="AR304" s="29" t="n"/>
      <c r="AS304" s="23" t="n"/>
      <c r="AT304" s="29" t="n"/>
      <c r="AU304" s="29" t="n"/>
      <c r="AV304" s="29" t="n"/>
      <c r="AW304" s="25">
        <f>IF(OR(O304="",AV304=""),"",O304*AV304)</f>
        <v/>
      </c>
      <c r="AX304" s="23" t="n"/>
      <c r="AY304" s="23" t="n"/>
      <c r="AZ304" s="23" t="n"/>
      <c r="BA304" s="23" t="n"/>
      <c r="BB304" s="23" t="n"/>
      <c r="BC304" s="25" t="n"/>
      <c r="BD304" s="23" t="n"/>
      <c r="BE304" s="23">
        <f>IF(C304="","",IF(AND(ISNUMBER(P304),P304&gt;MAX_PRICE),"Price too high",IF(AND(ISNUMBER(AB304),AB304&lt;=2),"Quality risk",IF(AND(ISNUMBER(U304),U304&lt;=2),"Aesthetic mismatch",IF(AY304="High","Too fragile",IF(AND(ISNUMBER(R304),R304&lt;LOW_PROFIT_PCT),"Low profit",IF(AND(ISNUMBER(AT304),AT304&gt;MOQ_WARNING),"MOQ too high",IF(OR(AD304="Maybe",AD304="Price Review"),"Needs partner review",IF(AD304="Buy","Good candidate","")))))))))</f>
        <v/>
      </c>
      <c r="BF304" s="23" t="n"/>
      <c r="BG304" s="23" t="n"/>
      <c r="BH304" s="23" t="n"/>
      <c r="BI304" s="23" t="n"/>
      <c r="BJ304" s="23" t="n"/>
      <c r="BK304" s="23" t="n"/>
      <c r="BL304" s="23">
        <f>IF(C304="","",IF(AND(BG304="Yes",BH304="Yes",BI304="Yes",BJ304="Yes",BK304="Yes"),"Yes","No"))</f>
        <v/>
      </c>
      <c r="BM304" s="25" t="n"/>
      <c r="BN304" s="25" t="n"/>
      <c r="BO304" s="25">
        <f>IF(OR(BM304="",BN304=""),"",BM304+BN304)</f>
        <v/>
      </c>
      <c r="BP304" s="25" t="n"/>
      <c r="BQ304" s="25">
        <f>IF(OR(BP304="",BO304=""),"",BP304-BO304)</f>
        <v/>
      </c>
      <c r="BR304" s="26">
        <f>IF(OR(BP304="",BP304=0,BQ304=""),"",BQ304/BP304)</f>
        <v/>
      </c>
      <c r="BS304" s="24" t="n"/>
      <c r="BT304" s="29" t="n"/>
      <c r="BU304" s="29" t="n"/>
      <c r="BV304" s="23" t="n"/>
      <c r="BW304" s="23" t="n"/>
      <c r="BX304" s="29">
        <f>IF(OR(BT304="",BU304=""),"",BT304-BU304)</f>
        <v/>
      </c>
      <c r="BY304" s="23" t="n"/>
      <c r="BZ304" s="24" t="n"/>
      <c r="CA304" s="23" t="n"/>
      <c r="CB304" s="23" t="n"/>
    </row>
    <row r="305">
      <c r="A305" s="16">
        <f>IF(C305="","","AYN-"&amp;IFERROR(VLOOKUP(E305,CATEGORY_PREFIX_TABLE,2,FALSE),"OTH")&amp;"-"&amp;TEXT(ROW()-2,"0000"))</f>
        <v/>
      </c>
      <c r="B305" s="17" t="n"/>
      <c r="C305" s="16" t="n"/>
      <c r="D305" s="16" t="n"/>
      <c r="E305" s="16" t="n"/>
      <c r="F305" s="16" t="n"/>
      <c r="G305" s="16" t="n"/>
      <c r="H305" s="16" t="n"/>
      <c r="I305" s="16" t="n"/>
      <c r="J305" s="16" t="n"/>
      <c r="K305" s="18">
        <f>IF(I305="","",IF(J305="BDT",I305,IF(J305="USD",I305*USD_BDT,IF(J305="RMB",I305*RMB_BDT,""))))</f>
        <v/>
      </c>
      <c r="L305" s="18" t="n"/>
      <c r="M305" s="19" t="n"/>
      <c r="N305" s="18" t="n"/>
      <c r="O305" s="18">
        <f>IF(K305="","",K305+IFERROR(L305,0)+(K305*IF(M305="",CUSTOMS_PCT,M305))+IF(N305="",MISC_FEE,N305))</f>
        <v/>
      </c>
      <c r="P305" s="18">
        <f>IF(O305="","",ROUND(O305*(1+MARKUP_PCT),-1)-1)</f>
        <v/>
      </c>
      <c r="Q305" s="18">
        <f>IF(P305="","",P305-O305)</f>
        <v/>
      </c>
      <c r="R305" s="19">
        <f>IF(OR(P305="",P305=0),"",Q305/P305)</f>
        <v/>
      </c>
      <c r="S305" s="16" t="n"/>
      <c r="T305" s="16" t="n"/>
      <c r="U305" s="16" t="n"/>
      <c r="V305" s="16" t="n"/>
      <c r="W305" s="16" t="n"/>
      <c r="X305" s="16" t="n"/>
      <c r="Y305" s="16" t="n"/>
      <c r="Z305" s="16" t="n"/>
      <c r="AA305" s="16" t="n"/>
      <c r="AB305" s="16" t="n"/>
      <c r="AC305" s="20">
        <f>IF(COUNT(S305:AB305)&lt;10,"",(S305*W_FEMININE+T305*W_TREND+U305*W_AESTHETIC+V305*W_STYLE+W305*W_LIGHT+X305*W_REELS+Y305*W_GIFT+Z305*W_PRICEFIT+AA305*W_DEMAND+AB305*W_QUALITY)/5*100)</f>
        <v/>
      </c>
      <c r="AD305" s="16">
        <f>IF(P305="","",IF(P305&gt;HARD_REJECT_PRICE,"Reject",IF(P305&gt;MAX_PRICE,"Price Review",IF(AC305="","",IF(AND(AC305&gt;=BUY_THRESHOLD,OR(AB305&lt;=2,U305&lt;=2)),"Maybe",IF(AC305&gt;=BUY_THRESHOLD,"Buy",IF(AC305&gt;=MAYBE_THRESHOLD,"Maybe","Reject")))))))</f>
        <v/>
      </c>
      <c r="AE305" s="16" t="n"/>
      <c r="AF305" s="16" t="n"/>
      <c r="AG305" s="16" t="n"/>
      <c r="AH305" s="16" t="n"/>
      <c r="AI305" s="17" t="n"/>
      <c r="AJ305">
        <f>IF(AC305="",-9999-ROW()*0.0000001,AC305-ROW()*0.0000001)</f>
        <v/>
      </c>
      <c r="AK305">
        <f>IF(OR(AC305="",P305="",P305&gt;MAX_PRICE),-9999-ROW()*0.0000001,AC305-ROW()*0.0000001)</f>
        <v/>
      </c>
      <c r="AL305">
        <f>IF(AC305="",-9999-ROW()*0.0000001,X305*1000+AC305-ROW()*0.0000001)</f>
        <v/>
      </c>
      <c r="AM305">
        <f>IF(AC305="",-9999-ROW()*0.0000001,Y305*1000+AC305-ROW()*0.0000001)</f>
        <v/>
      </c>
      <c r="AN305">
        <f>IF(AND(OR(AD305="Maybe",AD305="Price Review"),AG305&lt;&gt;"Approved",AG305&lt;&gt;"Rejected"),IF(AC305="",0,AC305)-ROW()*0.0000001,-9999-ROW()*0.0000001)</f>
        <v/>
      </c>
      <c r="AO305" s="21" t="n"/>
      <c r="AP305" s="21" t="n"/>
      <c r="AQ305" s="22" t="n"/>
      <c r="AR305" s="22" t="n"/>
      <c r="AS305" s="16" t="n"/>
      <c r="AT305" s="22" t="n"/>
      <c r="AU305" s="22" t="n"/>
      <c r="AV305" s="22" t="n"/>
      <c r="AW305" s="18">
        <f>IF(OR(O305="",AV305=""),"",O305*AV305)</f>
        <v/>
      </c>
      <c r="AX305" s="16" t="n"/>
      <c r="AY305" s="16" t="n"/>
      <c r="AZ305" s="16" t="n"/>
      <c r="BA305" s="16" t="n"/>
      <c r="BB305" s="16" t="n"/>
      <c r="BC305" s="18" t="n"/>
      <c r="BD305" s="16" t="n"/>
      <c r="BE305" s="16">
        <f>IF(C305="","",IF(AND(ISNUMBER(P305),P305&gt;MAX_PRICE),"Price too high",IF(AND(ISNUMBER(AB305),AB305&lt;=2),"Quality risk",IF(AND(ISNUMBER(U305),U305&lt;=2),"Aesthetic mismatch",IF(AY305="High","Too fragile",IF(AND(ISNUMBER(R305),R305&lt;LOW_PROFIT_PCT),"Low profit",IF(AND(ISNUMBER(AT305),AT305&gt;MOQ_WARNING),"MOQ too high",IF(OR(AD305="Maybe",AD305="Price Review"),"Needs partner review",IF(AD305="Buy","Good candidate","")))))))))</f>
        <v/>
      </c>
      <c r="BF305" s="16" t="n"/>
      <c r="BG305" s="16" t="n"/>
      <c r="BH305" s="16" t="n"/>
      <c r="BI305" s="16" t="n"/>
      <c r="BJ305" s="16" t="n"/>
      <c r="BK305" s="16" t="n"/>
      <c r="BL305" s="16">
        <f>IF(C305="","",IF(AND(BG305="Yes",BH305="Yes",BI305="Yes",BJ305="Yes",BK305="Yes"),"Yes","No"))</f>
        <v/>
      </c>
      <c r="BM305" s="18" t="n"/>
      <c r="BN305" s="18" t="n"/>
      <c r="BO305" s="18">
        <f>IF(OR(BM305="",BN305=""),"",BM305+BN305)</f>
        <v/>
      </c>
      <c r="BP305" s="18" t="n"/>
      <c r="BQ305" s="18">
        <f>IF(OR(BP305="",BO305=""),"",BP305-BO305)</f>
        <v/>
      </c>
      <c r="BR305" s="19">
        <f>IF(OR(BP305="",BP305=0,BQ305=""),"",BQ305/BP305)</f>
        <v/>
      </c>
      <c r="BS305" s="17" t="n"/>
      <c r="BT305" s="22" t="n"/>
      <c r="BU305" s="22" t="n"/>
      <c r="BV305" s="16" t="n"/>
      <c r="BW305" s="16" t="n"/>
      <c r="BX305" s="22">
        <f>IF(OR(BT305="",BU305=""),"",BT305-BU305)</f>
        <v/>
      </c>
      <c r="BY305" s="16" t="n"/>
      <c r="BZ305" s="17" t="n"/>
      <c r="CA305" s="16" t="n"/>
      <c r="CB305" s="16" t="n"/>
    </row>
    <row r="306">
      <c r="A306" s="23">
        <f>IF(C306="","","AYN-"&amp;IFERROR(VLOOKUP(E306,CATEGORY_PREFIX_TABLE,2,FALSE),"OTH")&amp;"-"&amp;TEXT(ROW()-2,"0000"))</f>
        <v/>
      </c>
      <c r="B306" s="24" t="n"/>
      <c r="C306" s="23" t="n"/>
      <c r="D306" s="23" t="n"/>
      <c r="E306" s="23" t="n"/>
      <c r="F306" s="23" t="n"/>
      <c r="G306" s="23" t="n"/>
      <c r="H306" s="23" t="n"/>
      <c r="I306" s="23" t="n"/>
      <c r="J306" s="23" t="n"/>
      <c r="K306" s="25">
        <f>IF(I306="","",IF(J306="BDT",I306,IF(J306="USD",I306*USD_BDT,IF(J306="RMB",I306*RMB_BDT,""))))</f>
        <v/>
      </c>
      <c r="L306" s="25" t="n"/>
      <c r="M306" s="26" t="n"/>
      <c r="N306" s="25" t="n"/>
      <c r="O306" s="25">
        <f>IF(K306="","",K306+IFERROR(L306,0)+(K306*IF(M306="",CUSTOMS_PCT,M306))+IF(N306="",MISC_FEE,N306))</f>
        <v/>
      </c>
      <c r="P306" s="25">
        <f>IF(O306="","",ROUND(O306*(1+MARKUP_PCT),-1)-1)</f>
        <v/>
      </c>
      <c r="Q306" s="25">
        <f>IF(P306="","",P306-O306)</f>
        <v/>
      </c>
      <c r="R306" s="26">
        <f>IF(OR(P306="",P306=0),"",Q306/P306)</f>
        <v/>
      </c>
      <c r="S306" s="23" t="n"/>
      <c r="T306" s="23" t="n"/>
      <c r="U306" s="23" t="n"/>
      <c r="V306" s="23" t="n"/>
      <c r="W306" s="23" t="n"/>
      <c r="X306" s="23" t="n"/>
      <c r="Y306" s="23" t="n"/>
      <c r="Z306" s="23" t="n"/>
      <c r="AA306" s="23" t="n"/>
      <c r="AB306" s="23" t="n"/>
      <c r="AC306" s="27">
        <f>IF(COUNT(S306:AB306)&lt;10,"",(S306*W_FEMININE+T306*W_TREND+U306*W_AESTHETIC+V306*W_STYLE+W306*W_LIGHT+X306*W_REELS+Y306*W_GIFT+Z306*W_PRICEFIT+AA306*W_DEMAND+AB306*W_QUALITY)/5*100)</f>
        <v/>
      </c>
      <c r="AD306" s="23">
        <f>IF(P306="","",IF(P306&gt;HARD_REJECT_PRICE,"Reject",IF(P306&gt;MAX_PRICE,"Price Review",IF(AC306="","",IF(AND(AC306&gt;=BUY_THRESHOLD,OR(AB306&lt;=2,U306&lt;=2)),"Maybe",IF(AC306&gt;=BUY_THRESHOLD,"Buy",IF(AC306&gt;=MAYBE_THRESHOLD,"Maybe","Reject")))))))</f>
        <v/>
      </c>
      <c r="AE306" s="23" t="n"/>
      <c r="AF306" s="23" t="n"/>
      <c r="AG306" s="23" t="n"/>
      <c r="AH306" s="23" t="n"/>
      <c r="AI306" s="24" t="n"/>
      <c r="AJ306">
        <f>IF(AC306="",-9999-ROW()*0.0000001,AC306-ROW()*0.0000001)</f>
        <v/>
      </c>
      <c r="AK306">
        <f>IF(OR(AC306="",P306="",P306&gt;MAX_PRICE),-9999-ROW()*0.0000001,AC306-ROW()*0.0000001)</f>
        <v/>
      </c>
      <c r="AL306">
        <f>IF(AC306="",-9999-ROW()*0.0000001,X306*1000+AC306-ROW()*0.0000001)</f>
        <v/>
      </c>
      <c r="AM306">
        <f>IF(AC306="",-9999-ROW()*0.0000001,Y306*1000+AC306-ROW()*0.0000001)</f>
        <v/>
      </c>
      <c r="AN306">
        <f>IF(AND(OR(AD306="Maybe",AD306="Price Review"),AG306&lt;&gt;"Approved",AG306&lt;&gt;"Rejected"),IF(AC306="",0,AC306)-ROW()*0.0000001,-9999-ROW()*0.0000001)</f>
        <v/>
      </c>
      <c r="AO306" s="28" t="n"/>
      <c r="AP306" s="28" t="n"/>
      <c r="AQ306" s="29" t="n"/>
      <c r="AR306" s="29" t="n"/>
      <c r="AS306" s="23" t="n"/>
      <c r="AT306" s="29" t="n"/>
      <c r="AU306" s="29" t="n"/>
      <c r="AV306" s="29" t="n"/>
      <c r="AW306" s="25">
        <f>IF(OR(O306="",AV306=""),"",O306*AV306)</f>
        <v/>
      </c>
      <c r="AX306" s="23" t="n"/>
      <c r="AY306" s="23" t="n"/>
      <c r="AZ306" s="23" t="n"/>
      <c r="BA306" s="23" t="n"/>
      <c r="BB306" s="23" t="n"/>
      <c r="BC306" s="25" t="n"/>
      <c r="BD306" s="23" t="n"/>
      <c r="BE306" s="23">
        <f>IF(C306="","",IF(AND(ISNUMBER(P306),P306&gt;MAX_PRICE),"Price too high",IF(AND(ISNUMBER(AB306),AB306&lt;=2),"Quality risk",IF(AND(ISNUMBER(U306),U306&lt;=2),"Aesthetic mismatch",IF(AY306="High","Too fragile",IF(AND(ISNUMBER(R306),R306&lt;LOW_PROFIT_PCT),"Low profit",IF(AND(ISNUMBER(AT306),AT306&gt;MOQ_WARNING),"MOQ too high",IF(OR(AD306="Maybe",AD306="Price Review"),"Needs partner review",IF(AD306="Buy","Good candidate","")))))))))</f>
        <v/>
      </c>
      <c r="BF306" s="23" t="n"/>
      <c r="BG306" s="23" t="n"/>
      <c r="BH306" s="23" t="n"/>
      <c r="BI306" s="23" t="n"/>
      <c r="BJ306" s="23" t="n"/>
      <c r="BK306" s="23" t="n"/>
      <c r="BL306" s="23">
        <f>IF(C306="","",IF(AND(BG306="Yes",BH306="Yes",BI306="Yes",BJ306="Yes",BK306="Yes"),"Yes","No"))</f>
        <v/>
      </c>
      <c r="BM306" s="25" t="n"/>
      <c r="BN306" s="25" t="n"/>
      <c r="BO306" s="25">
        <f>IF(OR(BM306="",BN306=""),"",BM306+BN306)</f>
        <v/>
      </c>
      <c r="BP306" s="25" t="n"/>
      <c r="BQ306" s="25">
        <f>IF(OR(BP306="",BO306=""),"",BP306-BO306)</f>
        <v/>
      </c>
      <c r="BR306" s="26">
        <f>IF(OR(BP306="",BP306=0,BQ306=""),"",BQ306/BP306)</f>
        <v/>
      </c>
      <c r="BS306" s="24" t="n"/>
      <c r="BT306" s="29" t="n"/>
      <c r="BU306" s="29" t="n"/>
      <c r="BV306" s="23" t="n"/>
      <c r="BW306" s="23" t="n"/>
      <c r="BX306" s="29">
        <f>IF(OR(BT306="",BU306=""),"",BT306-BU306)</f>
        <v/>
      </c>
      <c r="BY306" s="23" t="n"/>
      <c r="BZ306" s="24" t="n"/>
      <c r="CA306" s="23" t="n"/>
      <c r="CB306" s="23" t="n"/>
    </row>
    <row r="307">
      <c r="A307" s="16">
        <f>IF(C307="","","AYN-"&amp;IFERROR(VLOOKUP(E307,CATEGORY_PREFIX_TABLE,2,FALSE),"OTH")&amp;"-"&amp;TEXT(ROW()-2,"0000"))</f>
        <v/>
      </c>
      <c r="B307" s="17" t="n"/>
      <c r="C307" s="16" t="n"/>
      <c r="D307" s="16" t="n"/>
      <c r="E307" s="16" t="n"/>
      <c r="F307" s="16" t="n"/>
      <c r="G307" s="16" t="n"/>
      <c r="H307" s="16" t="n"/>
      <c r="I307" s="16" t="n"/>
      <c r="J307" s="16" t="n"/>
      <c r="K307" s="18">
        <f>IF(I307="","",IF(J307="BDT",I307,IF(J307="USD",I307*USD_BDT,IF(J307="RMB",I307*RMB_BDT,""))))</f>
        <v/>
      </c>
      <c r="L307" s="18" t="n"/>
      <c r="M307" s="19" t="n"/>
      <c r="N307" s="18" t="n"/>
      <c r="O307" s="18">
        <f>IF(K307="","",K307+IFERROR(L307,0)+(K307*IF(M307="",CUSTOMS_PCT,M307))+IF(N307="",MISC_FEE,N307))</f>
        <v/>
      </c>
      <c r="P307" s="18">
        <f>IF(O307="","",ROUND(O307*(1+MARKUP_PCT),-1)-1)</f>
        <v/>
      </c>
      <c r="Q307" s="18">
        <f>IF(P307="","",P307-O307)</f>
        <v/>
      </c>
      <c r="R307" s="19">
        <f>IF(OR(P307="",P307=0),"",Q307/P307)</f>
        <v/>
      </c>
      <c r="S307" s="16" t="n"/>
      <c r="T307" s="16" t="n"/>
      <c r="U307" s="16" t="n"/>
      <c r="V307" s="16" t="n"/>
      <c r="W307" s="16" t="n"/>
      <c r="X307" s="16" t="n"/>
      <c r="Y307" s="16" t="n"/>
      <c r="Z307" s="16" t="n"/>
      <c r="AA307" s="16" t="n"/>
      <c r="AB307" s="16" t="n"/>
      <c r="AC307" s="20">
        <f>IF(COUNT(S307:AB307)&lt;10,"",(S307*W_FEMININE+T307*W_TREND+U307*W_AESTHETIC+V307*W_STYLE+W307*W_LIGHT+X307*W_REELS+Y307*W_GIFT+Z307*W_PRICEFIT+AA307*W_DEMAND+AB307*W_QUALITY)/5*100)</f>
        <v/>
      </c>
      <c r="AD307" s="16">
        <f>IF(P307="","",IF(P307&gt;HARD_REJECT_PRICE,"Reject",IF(P307&gt;MAX_PRICE,"Price Review",IF(AC307="","",IF(AND(AC307&gt;=BUY_THRESHOLD,OR(AB307&lt;=2,U307&lt;=2)),"Maybe",IF(AC307&gt;=BUY_THRESHOLD,"Buy",IF(AC307&gt;=MAYBE_THRESHOLD,"Maybe","Reject")))))))</f>
        <v/>
      </c>
      <c r="AE307" s="16" t="n"/>
      <c r="AF307" s="16" t="n"/>
      <c r="AG307" s="16" t="n"/>
      <c r="AH307" s="16" t="n"/>
      <c r="AI307" s="17" t="n"/>
      <c r="AJ307">
        <f>IF(AC307="",-9999-ROW()*0.0000001,AC307-ROW()*0.0000001)</f>
        <v/>
      </c>
      <c r="AK307">
        <f>IF(OR(AC307="",P307="",P307&gt;MAX_PRICE),-9999-ROW()*0.0000001,AC307-ROW()*0.0000001)</f>
        <v/>
      </c>
      <c r="AL307">
        <f>IF(AC307="",-9999-ROW()*0.0000001,X307*1000+AC307-ROW()*0.0000001)</f>
        <v/>
      </c>
      <c r="AM307">
        <f>IF(AC307="",-9999-ROW()*0.0000001,Y307*1000+AC307-ROW()*0.0000001)</f>
        <v/>
      </c>
      <c r="AN307">
        <f>IF(AND(OR(AD307="Maybe",AD307="Price Review"),AG307&lt;&gt;"Approved",AG307&lt;&gt;"Rejected"),IF(AC307="",0,AC307)-ROW()*0.0000001,-9999-ROW()*0.0000001)</f>
        <v/>
      </c>
      <c r="AO307" s="21" t="n"/>
      <c r="AP307" s="21" t="n"/>
      <c r="AQ307" s="22" t="n"/>
      <c r="AR307" s="22" t="n"/>
      <c r="AS307" s="16" t="n"/>
      <c r="AT307" s="22" t="n"/>
      <c r="AU307" s="22" t="n"/>
      <c r="AV307" s="22" t="n"/>
      <c r="AW307" s="18">
        <f>IF(OR(O307="",AV307=""),"",O307*AV307)</f>
        <v/>
      </c>
      <c r="AX307" s="16" t="n"/>
      <c r="AY307" s="16" t="n"/>
      <c r="AZ307" s="16" t="n"/>
      <c r="BA307" s="16" t="n"/>
      <c r="BB307" s="16" t="n"/>
      <c r="BC307" s="18" t="n"/>
      <c r="BD307" s="16" t="n"/>
      <c r="BE307" s="16">
        <f>IF(C307="","",IF(AND(ISNUMBER(P307),P307&gt;MAX_PRICE),"Price too high",IF(AND(ISNUMBER(AB307),AB307&lt;=2),"Quality risk",IF(AND(ISNUMBER(U307),U307&lt;=2),"Aesthetic mismatch",IF(AY307="High","Too fragile",IF(AND(ISNUMBER(R307),R307&lt;LOW_PROFIT_PCT),"Low profit",IF(AND(ISNUMBER(AT307),AT307&gt;MOQ_WARNING),"MOQ too high",IF(OR(AD307="Maybe",AD307="Price Review"),"Needs partner review",IF(AD307="Buy","Good candidate","")))))))))</f>
        <v/>
      </c>
      <c r="BF307" s="16" t="n"/>
      <c r="BG307" s="16" t="n"/>
      <c r="BH307" s="16" t="n"/>
      <c r="BI307" s="16" t="n"/>
      <c r="BJ307" s="16" t="n"/>
      <c r="BK307" s="16" t="n"/>
      <c r="BL307" s="16">
        <f>IF(C307="","",IF(AND(BG307="Yes",BH307="Yes",BI307="Yes",BJ307="Yes",BK307="Yes"),"Yes","No"))</f>
        <v/>
      </c>
      <c r="BM307" s="18" t="n"/>
      <c r="BN307" s="18" t="n"/>
      <c r="BO307" s="18">
        <f>IF(OR(BM307="",BN307=""),"",BM307+BN307)</f>
        <v/>
      </c>
      <c r="BP307" s="18" t="n"/>
      <c r="BQ307" s="18">
        <f>IF(OR(BP307="",BO307=""),"",BP307-BO307)</f>
        <v/>
      </c>
      <c r="BR307" s="19">
        <f>IF(OR(BP307="",BP307=0,BQ307=""),"",BQ307/BP307)</f>
        <v/>
      </c>
      <c r="BS307" s="17" t="n"/>
      <c r="BT307" s="22" t="n"/>
      <c r="BU307" s="22" t="n"/>
      <c r="BV307" s="16" t="n"/>
      <c r="BW307" s="16" t="n"/>
      <c r="BX307" s="22">
        <f>IF(OR(BT307="",BU307=""),"",BT307-BU307)</f>
        <v/>
      </c>
      <c r="BY307" s="16" t="n"/>
      <c r="BZ307" s="17" t="n"/>
      <c r="CA307" s="16" t="n"/>
      <c r="CB307" s="16" t="n"/>
    </row>
    <row r="308">
      <c r="A308" s="23">
        <f>IF(C308="","","AYN-"&amp;IFERROR(VLOOKUP(E308,CATEGORY_PREFIX_TABLE,2,FALSE),"OTH")&amp;"-"&amp;TEXT(ROW()-2,"0000"))</f>
        <v/>
      </c>
      <c r="B308" s="24" t="n"/>
      <c r="C308" s="23" t="n"/>
      <c r="D308" s="23" t="n"/>
      <c r="E308" s="23" t="n"/>
      <c r="F308" s="23" t="n"/>
      <c r="G308" s="23" t="n"/>
      <c r="H308" s="23" t="n"/>
      <c r="I308" s="23" t="n"/>
      <c r="J308" s="23" t="n"/>
      <c r="K308" s="25">
        <f>IF(I308="","",IF(J308="BDT",I308,IF(J308="USD",I308*USD_BDT,IF(J308="RMB",I308*RMB_BDT,""))))</f>
        <v/>
      </c>
      <c r="L308" s="25" t="n"/>
      <c r="M308" s="26" t="n"/>
      <c r="N308" s="25" t="n"/>
      <c r="O308" s="25">
        <f>IF(K308="","",K308+IFERROR(L308,0)+(K308*IF(M308="",CUSTOMS_PCT,M308))+IF(N308="",MISC_FEE,N308))</f>
        <v/>
      </c>
      <c r="P308" s="25">
        <f>IF(O308="","",ROUND(O308*(1+MARKUP_PCT),-1)-1)</f>
        <v/>
      </c>
      <c r="Q308" s="25">
        <f>IF(P308="","",P308-O308)</f>
        <v/>
      </c>
      <c r="R308" s="26">
        <f>IF(OR(P308="",P308=0),"",Q308/P308)</f>
        <v/>
      </c>
      <c r="S308" s="23" t="n"/>
      <c r="T308" s="23" t="n"/>
      <c r="U308" s="23" t="n"/>
      <c r="V308" s="23" t="n"/>
      <c r="W308" s="23" t="n"/>
      <c r="X308" s="23" t="n"/>
      <c r="Y308" s="23" t="n"/>
      <c r="Z308" s="23" t="n"/>
      <c r="AA308" s="23" t="n"/>
      <c r="AB308" s="23" t="n"/>
      <c r="AC308" s="27">
        <f>IF(COUNT(S308:AB308)&lt;10,"",(S308*W_FEMININE+T308*W_TREND+U308*W_AESTHETIC+V308*W_STYLE+W308*W_LIGHT+X308*W_REELS+Y308*W_GIFT+Z308*W_PRICEFIT+AA308*W_DEMAND+AB308*W_QUALITY)/5*100)</f>
        <v/>
      </c>
      <c r="AD308" s="23">
        <f>IF(P308="","",IF(P308&gt;HARD_REJECT_PRICE,"Reject",IF(P308&gt;MAX_PRICE,"Price Review",IF(AC308="","",IF(AND(AC308&gt;=BUY_THRESHOLD,OR(AB308&lt;=2,U308&lt;=2)),"Maybe",IF(AC308&gt;=BUY_THRESHOLD,"Buy",IF(AC308&gt;=MAYBE_THRESHOLD,"Maybe","Reject")))))))</f>
        <v/>
      </c>
      <c r="AE308" s="23" t="n"/>
      <c r="AF308" s="23" t="n"/>
      <c r="AG308" s="23" t="n"/>
      <c r="AH308" s="23" t="n"/>
      <c r="AI308" s="24" t="n"/>
      <c r="AJ308">
        <f>IF(AC308="",-9999-ROW()*0.0000001,AC308-ROW()*0.0000001)</f>
        <v/>
      </c>
      <c r="AK308">
        <f>IF(OR(AC308="",P308="",P308&gt;MAX_PRICE),-9999-ROW()*0.0000001,AC308-ROW()*0.0000001)</f>
        <v/>
      </c>
      <c r="AL308">
        <f>IF(AC308="",-9999-ROW()*0.0000001,X308*1000+AC308-ROW()*0.0000001)</f>
        <v/>
      </c>
      <c r="AM308">
        <f>IF(AC308="",-9999-ROW()*0.0000001,Y308*1000+AC308-ROW()*0.0000001)</f>
        <v/>
      </c>
      <c r="AN308">
        <f>IF(AND(OR(AD308="Maybe",AD308="Price Review"),AG308&lt;&gt;"Approved",AG308&lt;&gt;"Rejected"),IF(AC308="",0,AC308)-ROW()*0.0000001,-9999-ROW()*0.0000001)</f>
        <v/>
      </c>
      <c r="AO308" s="28" t="n"/>
      <c r="AP308" s="28" t="n"/>
      <c r="AQ308" s="29" t="n"/>
      <c r="AR308" s="29" t="n"/>
      <c r="AS308" s="23" t="n"/>
      <c r="AT308" s="29" t="n"/>
      <c r="AU308" s="29" t="n"/>
      <c r="AV308" s="29" t="n"/>
      <c r="AW308" s="25">
        <f>IF(OR(O308="",AV308=""),"",O308*AV308)</f>
        <v/>
      </c>
      <c r="AX308" s="23" t="n"/>
      <c r="AY308" s="23" t="n"/>
      <c r="AZ308" s="23" t="n"/>
      <c r="BA308" s="23" t="n"/>
      <c r="BB308" s="23" t="n"/>
      <c r="BC308" s="25" t="n"/>
      <c r="BD308" s="23" t="n"/>
      <c r="BE308" s="23">
        <f>IF(C308="","",IF(AND(ISNUMBER(P308),P308&gt;MAX_PRICE),"Price too high",IF(AND(ISNUMBER(AB308),AB308&lt;=2),"Quality risk",IF(AND(ISNUMBER(U308),U308&lt;=2),"Aesthetic mismatch",IF(AY308="High","Too fragile",IF(AND(ISNUMBER(R308),R308&lt;LOW_PROFIT_PCT),"Low profit",IF(AND(ISNUMBER(AT308),AT308&gt;MOQ_WARNING),"MOQ too high",IF(OR(AD308="Maybe",AD308="Price Review"),"Needs partner review",IF(AD308="Buy","Good candidate","")))))))))</f>
        <v/>
      </c>
      <c r="BF308" s="23" t="n"/>
      <c r="BG308" s="23" t="n"/>
      <c r="BH308" s="23" t="n"/>
      <c r="BI308" s="23" t="n"/>
      <c r="BJ308" s="23" t="n"/>
      <c r="BK308" s="23" t="n"/>
      <c r="BL308" s="23">
        <f>IF(C308="","",IF(AND(BG308="Yes",BH308="Yes",BI308="Yes",BJ308="Yes",BK308="Yes"),"Yes","No"))</f>
        <v/>
      </c>
      <c r="BM308" s="25" t="n"/>
      <c r="BN308" s="25" t="n"/>
      <c r="BO308" s="25">
        <f>IF(OR(BM308="",BN308=""),"",BM308+BN308)</f>
        <v/>
      </c>
      <c r="BP308" s="25" t="n"/>
      <c r="BQ308" s="25">
        <f>IF(OR(BP308="",BO308=""),"",BP308-BO308)</f>
        <v/>
      </c>
      <c r="BR308" s="26">
        <f>IF(OR(BP308="",BP308=0,BQ308=""),"",BQ308/BP308)</f>
        <v/>
      </c>
      <c r="BS308" s="24" t="n"/>
      <c r="BT308" s="29" t="n"/>
      <c r="BU308" s="29" t="n"/>
      <c r="BV308" s="23" t="n"/>
      <c r="BW308" s="23" t="n"/>
      <c r="BX308" s="29">
        <f>IF(OR(BT308="",BU308=""),"",BT308-BU308)</f>
        <v/>
      </c>
      <c r="BY308" s="23" t="n"/>
      <c r="BZ308" s="24" t="n"/>
      <c r="CA308" s="23" t="n"/>
      <c r="CB308" s="23" t="n"/>
    </row>
    <row r="309">
      <c r="A309" s="16">
        <f>IF(C309="","","AYN-"&amp;IFERROR(VLOOKUP(E309,CATEGORY_PREFIX_TABLE,2,FALSE),"OTH")&amp;"-"&amp;TEXT(ROW()-2,"0000"))</f>
        <v/>
      </c>
      <c r="B309" s="17" t="n"/>
      <c r="C309" s="16" t="n"/>
      <c r="D309" s="16" t="n"/>
      <c r="E309" s="16" t="n"/>
      <c r="F309" s="16" t="n"/>
      <c r="G309" s="16" t="n"/>
      <c r="H309" s="16" t="n"/>
      <c r="I309" s="16" t="n"/>
      <c r="J309" s="16" t="n"/>
      <c r="K309" s="18">
        <f>IF(I309="","",IF(J309="BDT",I309,IF(J309="USD",I309*USD_BDT,IF(J309="RMB",I309*RMB_BDT,""))))</f>
        <v/>
      </c>
      <c r="L309" s="18" t="n"/>
      <c r="M309" s="19" t="n"/>
      <c r="N309" s="18" t="n"/>
      <c r="O309" s="18">
        <f>IF(K309="","",K309+IFERROR(L309,0)+(K309*IF(M309="",CUSTOMS_PCT,M309))+IF(N309="",MISC_FEE,N309))</f>
        <v/>
      </c>
      <c r="P309" s="18">
        <f>IF(O309="","",ROUND(O309*(1+MARKUP_PCT),-1)-1)</f>
        <v/>
      </c>
      <c r="Q309" s="18">
        <f>IF(P309="","",P309-O309)</f>
        <v/>
      </c>
      <c r="R309" s="19">
        <f>IF(OR(P309="",P309=0),"",Q309/P309)</f>
        <v/>
      </c>
      <c r="S309" s="16" t="n"/>
      <c r="T309" s="16" t="n"/>
      <c r="U309" s="16" t="n"/>
      <c r="V309" s="16" t="n"/>
      <c r="W309" s="16" t="n"/>
      <c r="X309" s="16" t="n"/>
      <c r="Y309" s="16" t="n"/>
      <c r="Z309" s="16" t="n"/>
      <c r="AA309" s="16" t="n"/>
      <c r="AB309" s="16" t="n"/>
      <c r="AC309" s="20">
        <f>IF(COUNT(S309:AB309)&lt;10,"",(S309*W_FEMININE+T309*W_TREND+U309*W_AESTHETIC+V309*W_STYLE+W309*W_LIGHT+X309*W_REELS+Y309*W_GIFT+Z309*W_PRICEFIT+AA309*W_DEMAND+AB309*W_QUALITY)/5*100)</f>
        <v/>
      </c>
      <c r="AD309" s="16">
        <f>IF(P309="","",IF(P309&gt;HARD_REJECT_PRICE,"Reject",IF(P309&gt;MAX_PRICE,"Price Review",IF(AC309="","",IF(AND(AC309&gt;=BUY_THRESHOLD,OR(AB309&lt;=2,U309&lt;=2)),"Maybe",IF(AC309&gt;=BUY_THRESHOLD,"Buy",IF(AC309&gt;=MAYBE_THRESHOLD,"Maybe","Reject")))))))</f>
        <v/>
      </c>
      <c r="AE309" s="16" t="n"/>
      <c r="AF309" s="16" t="n"/>
      <c r="AG309" s="16" t="n"/>
      <c r="AH309" s="16" t="n"/>
      <c r="AI309" s="17" t="n"/>
      <c r="AJ309">
        <f>IF(AC309="",-9999-ROW()*0.0000001,AC309-ROW()*0.0000001)</f>
        <v/>
      </c>
      <c r="AK309">
        <f>IF(OR(AC309="",P309="",P309&gt;MAX_PRICE),-9999-ROW()*0.0000001,AC309-ROW()*0.0000001)</f>
        <v/>
      </c>
      <c r="AL309">
        <f>IF(AC309="",-9999-ROW()*0.0000001,X309*1000+AC309-ROW()*0.0000001)</f>
        <v/>
      </c>
      <c r="AM309">
        <f>IF(AC309="",-9999-ROW()*0.0000001,Y309*1000+AC309-ROW()*0.0000001)</f>
        <v/>
      </c>
      <c r="AN309">
        <f>IF(AND(OR(AD309="Maybe",AD309="Price Review"),AG309&lt;&gt;"Approved",AG309&lt;&gt;"Rejected"),IF(AC309="",0,AC309)-ROW()*0.0000001,-9999-ROW()*0.0000001)</f>
        <v/>
      </c>
      <c r="AO309" s="21" t="n"/>
      <c r="AP309" s="21" t="n"/>
      <c r="AQ309" s="22" t="n"/>
      <c r="AR309" s="22" t="n"/>
      <c r="AS309" s="16" t="n"/>
      <c r="AT309" s="22" t="n"/>
      <c r="AU309" s="22" t="n"/>
      <c r="AV309" s="22" t="n"/>
      <c r="AW309" s="18">
        <f>IF(OR(O309="",AV309=""),"",O309*AV309)</f>
        <v/>
      </c>
      <c r="AX309" s="16" t="n"/>
      <c r="AY309" s="16" t="n"/>
      <c r="AZ309" s="16" t="n"/>
      <c r="BA309" s="16" t="n"/>
      <c r="BB309" s="16" t="n"/>
      <c r="BC309" s="18" t="n"/>
      <c r="BD309" s="16" t="n"/>
      <c r="BE309" s="16">
        <f>IF(C309="","",IF(AND(ISNUMBER(P309),P309&gt;MAX_PRICE),"Price too high",IF(AND(ISNUMBER(AB309),AB309&lt;=2),"Quality risk",IF(AND(ISNUMBER(U309),U309&lt;=2),"Aesthetic mismatch",IF(AY309="High","Too fragile",IF(AND(ISNUMBER(R309),R309&lt;LOW_PROFIT_PCT),"Low profit",IF(AND(ISNUMBER(AT309),AT309&gt;MOQ_WARNING),"MOQ too high",IF(OR(AD309="Maybe",AD309="Price Review"),"Needs partner review",IF(AD309="Buy","Good candidate","")))))))))</f>
        <v/>
      </c>
      <c r="BF309" s="16" t="n"/>
      <c r="BG309" s="16" t="n"/>
      <c r="BH309" s="16" t="n"/>
      <c r="BI309" s="16" t="n"/>
      <c r="BJ309" s="16" t="n"/>
      <c r="BK309" s="16" t="n"/>
      <c r="BL309" s="16">
        <f>IF(C309="","",IF(AND(BG309="Yes",BH309="Yes",BI309="Yes",BJ309="Yes",BK309="Yes"),"Yes","No"))</f>
        <v/>
      </c>
      <c r="BM309" s="18" t="n"/>
      <c r="BN309" s="18" t="n"/>
      <c r="BO309" s="18">
        <f>IF(OR(BM309="",BN309=""),"",BM309+BN309)</f>
        <v/>
      </c>
      <c r="BP309" s="18" t="n"/>
      <c r="BQ309" s="18">
        <f>IF(OR(BP309="",BO309=""),"",BP309-BO309)</f>
        <v/>
      </c>
      <c r="BR309" s="19">
        <f>IF(OR(BP309="",BP309=0,BQ309=""),"",BQ309/BP309)</f>
        <v/>
      </c>
      <c r="BS309" s="17" t="n"/>
      <c r="BT309" s="22" t="n"/>
      <c r="BU309" s="22" t="n"/>
      <c r="BV309" s="16" t="n"/>
      <c r="BW309" s="16" t="n"/>
      <c r="BX309" s="22">
        <f>IF(OR(BT309="",BU309=""),"",BT309-BU309)</f>
        <v/>
      </c>
      <c r="BY309" s="16" t="n"/>
      <c r="BZ309" s="17" t="n"/>
      <c r="CA309" s="16" t="n"/>
      <c r="CB309" s="16" t="n"/>
    </row>
    <row r="310">
      <c r="A310" s="23">
        <f>IF(C310="","","AYN-"&amp;IFERROR(VLOOKUP(E310,CATEGORY_PREFIX_TABLE,2,FALSE),"OTH")&amp;"-"&amp;TEXT(ROW()-2,"0000"))</f>
        <v/>
      </c>
      <c r="B310" s="24" t="n"/>
      <c r="C310" s="23" t="n"/>
      <c r="D310" s="23" t="n"/>
      <c r="E310" s="23" t="n"/>
      <c r="F310" s="23" t="n"/>
      <c r="G310" s="23" t="n"/>
      <c r="H310" s="23" t="n"/>
      <c r="I310" s="23" t="n"/>
      <c r="J310" s="23" t="n"/>
      <c r="K310" s="25">
        <f>IF(I310="","",IF(J310="BDT",I310,IF(J310="USD",I310*USD_BDT,IF(J310="RMB",I310*RMB_BDT,""))))</f>
        <v/>
      </c>
      <c r="L310" s="25" t="n"/>
      <c r="M310" s="26" t="n"/>
      <c r="N310" s="25" t="n"/>
      <c r="O310" s="25">
        <f>IF(K310="","",K310+IFERROR(L310,0)+(K310*IF(M310="",CUSTOMS_PCT,M310))+IF(N310="",MISC_FEE,N310))</f>
        <v/>
      </c>
      <c r="P310" s="25">
        <f>IF(O310="","",ROUND(O310*(1+MARKUP_PCT),-1)-1)</f>
        <v/>
      </c>
      <c r="Q310" s="25">
        <f>IF(P310="","",P310-O310)</f>
        <v/>
      </c>
      <c r="R310" s="26">
        <f>IF(OR(P310="",P310=0),"",Q310/P310)</f>
        <v/>
      </c>
      <c r="S310" s="23" t="n"/>
      <c r="T310" s="23" t="n"/>
      <c r="U310" s="23" t="n"/>
      <c r="V310" s="23" t="n"/>
      <c r="W310" s="23" t="n"/>
      <c r="X310" s="23" t="n"/>
      <c r="Y310" s="23" t="n"/>
      <c r="Z310" s="23" t="n"/>
      <c r="AA310" s="23" t="n"/>
      <c r="AB310" s="23" t="n"/>
      <c r="AC310" s="27">
        <f>IF(COUNT(S310:AB310)&lt;10,"",(S310*W_FEMININE+T310*W_TREND+U310*W_AESTHETIC+V310*W_STYLE+W310*W_LIGHT+X310*W_REELS+Y310*W_GIFT+Z310*W_PRICEFIT+AA310*W_DEMAND+AB310*W_QUALITY)/5*100)</f>
        <v/>
      </c>
      <c r="AD310" s="23">
        <f>IF(P310="","",IF(P310&gt;HARD_REJECT_PRICE,"Reject",IF(P310&gt;MAX_PRICE,"Price Review",IF(AC310="","",IF(AND(AC310&gt;=BUY_THRESHOLD,OR(AB310&lt;=2,U310&lt;=2)),"Maybe",IF(AC310&gt;=BUY_THRESHOLD,"Buy",IF(AC310&gt;=MAYBE_THRESHOLD,"Maybe","Reject")))))))</f>
        <v/>
      </c>
      <c r="AE310" s="23" t="n"/>
      <c r="AF310" s="23" t="n"/>
      <c r="AG310" s="23" t="n"/>
      <c r="AH310" s="23" t="n"/>
      <c r="AI310" s="24" t="n"/>
      <c r="AJ310">
        <f>IF(AC310="",-9999-ROW()*0.0000001,AC310-ROW()*0.0000001)</f>
        <v/>
      </c>
      <c r="AK310">
        <f>IF(OR(AC310="",P310="",P310&gt;MAX_PRICE),-9999-ROW()*0.0000001,AC310-ROW()*0.0000001)</f>
        <v/>
      </c>
      <c r="AL310">
        <f>IF(AC310="",-9999-ROW()*0.0000001,X310*1000+AC310-ROW()*0.0000001)</f>
        <v/>
      </c>
      <c r="AM310">
        <f>IF(AC310="",-9999-ROW()*0.0000001,Y310*1000+AC310-ROW()*0.0000001)</f>
        <v/>
      </c>
      <c r="AN310">
        <f>IF(AND(OR(AD310="Maybe",AD310="Price Review"),AG310&lt;&gt;"Approved",AG310&lt;&gt;"Rejected"),IF(AC310="",0,AC310)-ROW()*0.0000001,-9999-ROW()*0.0000001)</f>
        <v/>
      </c>
      <c r="AO310" s="28" t="n"/>
      <c r="AP310" s="28" t="n"/>
      <c r="AQ310" s="29" t="n"/>
      <c r="AR310" s="29" t="n"/>
      <c r="AS310" s="23" t="n"/>
      <c r="AT310" s="29" t="n"/>
      <c r="AU310" s="29" t="n"/>
      <c r="AV310" s="29" t="n"/>
      <c r="AW310" s="25">
        <f>IF(OR(O310="",AV310=""),"",O310*AV310)</f>
        <v/>
      </c>
      <c r="AX310" s="23" t="n"/>
      <c r="AY310" s="23" t="n"/>
      <c r="AZ310" s="23" t="n"/>
      <c r="BA310" s="23" t="n"/>
      <c r="BB310" s="23" t="n"/>
      <c r="BC310" s="25" t="n"/>
      <c r="BD310" s="23" t="n"/>
      <c r="BE310" s="23">
        <f>IF(C310="","",IF(AND(ISNUMBER(P310),P310&gt;MAX_PRICE),"Price too high",IF(AND(ISNUMBER(AB310),AB310&lt;=2),"Quality risk",IF(AND(ISNUMBER(U310),U310&lt;=2),"Aesthetic mismatch",IF(AY310="High","Too fragile",IF(AND(ISNUMBER(R310),R310&lt;LOW_PROFIT_PCT),"Low profit",IF(AND(ISNUMBER(AT310),AT310&gt;MOQ_WARNING),"MOQ too high",IF(OR(AD310="Maybe",AD310="Price Review"),"Needs partner review",IF(AD310="Buy","Good candidate","")))))))))</f>
        <v/>
      </c>
      <c r="BF310" s="23" t="n"/>
      <c r="BG310" s="23" t="n"/>
      <c r="BH310" s="23" t="n"/>
      <c r="BI310" s="23" t="n"/>
      <c r="BJ310" s="23" t="n"/>
      <c r="BK310" s="23" t="n"/>
      <c r="BL310" s="23">
        <f>IF(C310="","",IF(AND(BG310="Yes",BH310="Yes",BI310="Yes",BJ310="Yes",BK310="Yes"),"Yes","No"))</f>
        <v/>
      </c>
      <c r="BM310" s="25" t="n"/>
      <c r="BN310" s="25" t="n"/>
      <c r="BO310" s="25">
        <f>IF(OR(BM310="",BN310=""),"",BM310+BN310)</f>
        <v/>
      </c>
      <c r="BP310" s="25" t="n"/>
      <c r="BQ310" s="25">
        <f>IF(OR(BP310="",BO310=""),"",BP310-BO310)</f>
        <v/>
      </c>
      <c r="BR310" s="26">
        <f>IF(OR(BP310="",BP310=0,BQ310=""),"",BQ310/BP310)</f>
        <v/>
      </c>
      <c r="BS310" s="24" t="n"/>
      <c r="BT310" s="29" t="n"/>
      <c r="BU310" s="29" t="n"/>
      <c r="BV310" s="23" t="n"/>
      <c r="BW310" s="23" t="n"/>
      <c r="BX310" s="29">
        <f>IF(OR(BT310="",BU310=""),"",BT310-BU310)</f>
        <v/>
      </c>
      <c r="BY310" s="23" t="n"/>
      <c r="BZ310" s="24" t="n"/>
      <c r="CA310" s="23" t="n"/>
      <c r="CB310" s="23" t="n"/>
    </row>
    <row r="311">
      <c r="A311" s="16">
        <f>IF(C311="","","AYN-"&amp;IFERROR(VLOOKUP(E311,CATEGORY_PREFIX_TABLE,2,FALSE),"OTH")&amp;"-"&amp;TEXT(ROW()-2,"0000"))</f>
        <v/>
      </c>
      <c r="B311" s="17" t="n"/>
      <c r="C311" s="16" t="n"/>
      <c r="D311" s="16" t="n"/>
      <c r="E311" s="16" t="n"/>
      <c r="F311" s="16" t="n"/>
      <c r="G311" s="16" t="n"/>
      <c r="H311" s="16" t="n"/>
      <c r="I311" s="16" t="n"/>
      <c r="J311" s="16" t="n"/>
      <c r="K311" s="18">
        <f>IF(I311="","",IF(J311="BDT",I311,IF(J311="USD",I311*USD_BDT,IF(J311="RMB",I311*RMB_BDT,""))))</f>
        <v/>
      </c>
      <c r="L311" s="18" t="n"/>
      <c r="M311" s="19" t="n"/>
      <c r="N311" s="18" t="n"/>
      <c r="O311" s="18">
        <f>IF(K311="","",K311+IFERROR(L311,0)+(K311*IF(M311="",CUSTOMS_PCT,M311))+IF(N311="",MISC_FEE,N311))</f>
        <v/>
      </c>
      <c r="P311" s="18">
        <f>IF(O311="","",ROUND(O311*(1+MARKUP_PCT),-1)-1)</f>
        <v/>
      </c>
      <c r="Q311" s="18">
        <f>IF(P311="","",P311-O311)</f>
        <v/>
      </c>
      <c r="R311" s="19">
        <f>IF(OR(P311="",P311=0),"",Q311/P311)</f>
        <v/>
      </c>
      <c r="S311" s="16" t="n"/>
      <c r="T311" s="16" t="n"/>
      <c r="U311" s="16" t="n"/>
      <c r="V311" s="16" t="n"/>
      <c r="W311" s="16" t="n"/>
      <c r="X311" s="16" t="n"/>
      <c r="Y311" s="16" t="n"/>
      <c r="Z311" s="16" t="n"/>
      <c r="AA311" s="16" t="n"/>
      <c r="AB311" s="16" t="n"/>
      <c r="AC311" s="20">
        <f>IF(COUNT(S311:AB311)&lt;10,"",(S311*W_FEMININE+T311*W_TREND+U311*W_AESTHETIC+V311*W_STYLE+W311*W_LIGHT+X311*W_REELS+Y311*W_GIFT+Z311*W_PRICEFIT+AA311*W_DEMAND+AB311*W_QUALITY)/5*100)</f>
        <v/>
      </c>
      <c r="AD311" s="16">
        <f>IF(P311="","",IF(P311&gt;HARD_REJECT_PRICE,"Reject",IF(P311&gt;MAX_PRICE,"Price Review",IF(AC311="","",IF(AND(AC311&gt;=BUY_THRESHOLD,OR(AB311&lt;=2,U311&lt;=2)),"Maybe",IF(AC311&gt;=BUY_THRESHOLD,"Buy",IF(AC311&gt;=MAYBE_THRESHOLD,"Maybe","Reject")))))))</f>
        <v/>
      </c>
      <c r="AE311" s="16" t="n"/>
      <c r="AF311" s="16" t="n"/>
      <c r="AG311" s="16" t="n"/>
      <c r="AH311" s="16" t="n"/>
      <c r="AI311" s="17" t="n"/>
      <c r="AJ311">
        <f>IF(AC311="",-9999-ROW()*0.0000001,AC311-ROW()*0.0000001)</f>
        <v/>
      </c>
      <c r="AK311">
        <f>IF(OR(AC311="",P311="",P311&gt;MAX_PRICE),-9999-ROW()*0.0000001,AC311-ROW()*0.0000001)</f>
        <v/>
      </c>
      <c r="AL311">
        <f>IF(AC311="",-9999-ROW()*0.0000001,X311*1000+AC311-ROW()*0.0000001)</f>
        <v/>
      </c>
      <c r="AM311">
        <f>IF(AC311="",-9999-ROW()*0.0000001,Y311*1000+AC311-ROW()*0.0000001)</f>
        <v/>
      </c>
      <c r="AN311">
        <f>IF(AND(OR(AD311="Maybe",AD311="Price Review"),AG311&lt;&gt;"Approved",AG311&lt;&gt;"Rejected"),IF(AC311="",0,AC311)-ROW()*0.0000001,-9999-ROW()*0.0000001)</f>
        <v/>
      </c>
      <c r="AO311" s="21" t="n"/>
      <c r="AP311" s="21" t="n"/>
      <c r="AQ311" s="22" t="n"/>
      <c r="AR311" s="22" t="n"/>
      <c r="AS311" s="16" t="n"/>
      <c r="AT311" s="22" t="n"/>
      <c r="AU311" s="22" t="n"/>
      <c r="AV311" s="22" t="n"/>
      <c r="AW311" s="18">
        <f>IF(OR(O311="",AV311=""),"",O311*AV311)</f>
        <v/>
      </c>
      <c r="AX311" s="16" t="n"/>
      <c r="AY311" s="16" t="n"/>
      <c r="AZ311" s="16" t="n"/>
      <c r="BA311" s="16" t="n"/>
      <c r="BB311" s="16" t="n"/>
      <c r="BC311" s="18" t="n"/>
      <c r="BD311" s="16" t="n"/>
      <c r="BE311" s="16">
        <f>IF(C311="","",IF(AND(ISNUMBER(P311),P311&gt;MAX_PRICE),"Price too high",IF(AND(ISNUMBER(AB311),AB311&lt;=2),"Quality risk",IF(AND(ISNUMBER(U311),U311&lt;=2),"Aesthetic mismatch",IF(AY311="High","Too fragile",IF(AND(ISNUMBER(R311),R311&lt;LOW_PROFIT_PCT),"Low profit",IF(AND(ISNUMBER(AT311),AT311&gt;MOQ_WARNING),"MOQ too high",IF(OR(AD311="Maybe",AD311="Price Review"),"Needs partner review",IF(AD311="Buy","Good candidate","")))))))))</f>
        <v/>
      </c>
      <c r="BF311" s="16" t="n"/>
      <c r="BG311" s="16" t="n"/>
      <c r="BH311" s="16" t="n"/>
      <c r="BI311" s="16" t="n"/>
      <c r="BJ311" s="16" t="n"/>
      <c r="BK311" s="16" t="n"/>
      <c r="BL311" s="16">
        <f>IF(C311="","",IF(AND(BG311="Yes",BH311="Yes",BI311="Yes",BJ311="Yes",BK311="Yes"),"Yes","No"))</f>
        <v/>
      </c>
      <c r="BM311" s="18" t="n"/>
      <c r="BN311" s="18" t="n"/>
      <c r="BO311" s="18">
        <f>IF(OR(BM311="",BN311=""),"",BM311+BN311)</f>
        <v/>
      </c>
      <c r="BP311" s="18" t="n"/>
      <c r="BQ311" s="18">
        <f>IF(OR(BP311="",BO311=""),"",BP311-BO311)</f>
        <v/>
      </c>
      <c r="BR311" s="19">
        <f>IF(OR(BP311="",BP311=0,BQ311=""),"",BQ311/BP311)</f>
        <v/>
      </c>
      <c r="BS311" s="17" t="n"/>
      <c r="BT311" s="22" t="n"/>
      <c r="BU311" s="22" t="n"/>
      <c r="BV311" s="16" t="n"/>
      <c r="BW311" s="16" t="n"/>
      <c r="BX311" s="22">
        <f>IF(OR(BT311="",BU311=""),"",BT311-BU311)</f>
        <v/>
      </c>
      <c r="BY311" s="16" t="n"/>
      <c r="BZ311" s="17" t="n"/>
      <c r="CA311" s="16" t="n"/>
      <c r="CB311" s="16" t="n"/>
    </row>
    <row r="312">
      <c r="A312" s="23">
        <f>IF(C312="","","AYN-"&amp;IFERROR(VLOOKUP(E312,CATEGORY_PREFIX_TABLE,2,FALSE),"OTH")&amp;"-"&amp;TEXT(ROW()-2,"0000"))</f>
        <v/>
      </c>
      <c r="B312" s="24" t="n"/>
      <c r="C312" s="23" t="n"/>
      <c r="D312" s="23" t="n"/>
      <c r="E312" s="23" t="n"/>
      <c r="F312" s="23" t="n"/>
      <c r="G312" s="23" t="n"/>
      <c r="H312" s="23" t="n"/>
      <c r="I312" s="23" t="n"/>
      <c r="J312" s="23" t="n"/>
      <c r="K312" s="25">
        <f>IF(I312="","",IF(J312="BDT",I312,IF(J312="USD",I312*USD_BDT,IF(J312="RMB",I312*RMB_BDT,""))))</f>
        <v/>
      </c>
      <c r="L312" s="25" t="n"/>
      <c r="M312" s="26" t="n"/>
      <c r="N312" s="25" t="n"/>
      <c r="O312" s="25">
        <f>IF(K312="","",K312+IFERROR(L312,0)+(K312*IF(M312="",CUSTOMS_PCT,M312))+IF(N312="",MISC_FEE,N312))</f>
        <v/>
      </c>
      <c r="P312" s="25">
        <f>IF(O312="","",ROUND(O312*(1+MARKUP_PCT),-1)-1)</f>
        <v/>
      </c>
      <c r="Q312" s="25">
        <f>IF(P312="","",P312-O312)</f>
        <v/>
      </c>
      <c r="R312" s="26">
        <f>IF(OR(P312="",P312=0),"",Q312/P312)</f>
        <v/>
      </c>
      <c r="S312" s="23" t="n"/>
      <c r="T312" s="23" t="n"/>
      <c r="U312" s="23" t="n"/>
      <c r="V312" s="23" t="n"/>
      <c r="W312" s="23" t="n"/>
      <c r="X312" s="23" t="n"/>
      <c r="Y312" s="23" t="n"/>
      <c r="Z312" s="23" t="n"/>
      <c r="AA312" s="23" t="n"/>
      <c r="AB312" s="23" t="n"/>
      <c r="AC312" s="27">
        <f>IF(COUNT(S312:AB312)&lt;10,"",(S312*W_FEMININE+T312*W_TREND+U312*W_AESTHETIC+V312*W_STYLE+W312*W_LIGHT+X312*W_REELS+Y312*W_GIFT+Z312*W_PRICEFIT+AA312*W_DEMAND+AB312*W_QUALITY)/5*100)</f>
        <v/>
      </c>
      <c r="AD312" s="23">
        <f>IF(P312="","",IF(P312&gt;HARD_REJECT_PRICE,"Reject",IF(P312&gt;MAX_PRICE,"Price Review",IF(AC312="","",IF(AND(AC312&gt;=BUY_THRESHOLD,OR(AB312&lt;=2,U312&lt;=2)),"Maybe",IF(AC312&gt;=BUY_THRESHOLD,"Buy",IF(AC312&gt;=MAYBE_THRESHOLD,"Maybe","Reject")))))))</f>
        <v/>
      </c>
      <c r="AE312" s="23" t="n"/>
      <c r="AF312" s="23" t="n"/>
      <c r="AG312" s="23" t="n"/>
      <c r="AH312" s="23" t="n"/>
      <c r="AI312" s="24" t="n"/>
      <c r="AJ312">
        <f>IF(AC312="",-9999-ROW()*0.0000001,AC312-ROW()*0.0000001)</f>
        <v/>
      </c>
      <c r="AK312">
        <f>IF(OR(AC312="",P312="",P312&gt;MAX_PRICE),-9999-ROW()*0.0000001,AC312-ROW()*0.0000001)</f>
        <v/>
      </c>
      <c r="AL312">
        <f>IF(AC312="",-9999-ROW()*0.0000001,X312*1000+AC312-ROW()*0.0000001)</f>
        <v/>
      </c>
      <c r="AM312">
        <f>IF(AC312="",-9999-ROW()*0.0000001,Y312*1000+AC312-ROW()*0.0000001)</f>
        <v/>
      </c>
      <c r="AN312">
        <f>IF(AND(OR(AD312="Maybe",AD312="Price Review"),AG312&lt;&gt;"Approved",AG312&lt;&gt;"Rejected"),IF(AC312="",0,AC312)-ROW()*0.0000001,-9999-ROW()*0.0000001)</f>
        <v/>
      </c>
      <c r="AO312" s="28" t="n"/>
      <c r="AP312" s="28" t="n"/>
      <c r="AQ312" s="29" t="n"/>
      <c r="AR312" s="29" t="n"/>
      <c r="AS312" s="23" t="n"/>
      <c r="AT312" s="29" t="n"/>
      <c r="AU312" s="29" t="n"/>
      <c r="AV312" s="29" t="n"/>
      <c r="AW312" s="25">
        <f>IF(OR(O312="",AV312=""),"",O312*AV312)</f>
        <v/>
      </c>
      <c r="AX312" s="23" t="n"/>
      <c r="AY312" s="23" t="n"/>
      <c r="AZ312" s="23" t="n"/>
      <c r="BA312" s="23" t="n"/>
      <c r="BB312" s="23" t="n"/>
      <c r="BC312" s="25" t="n"/>
      <c r="BD312" s="23" t="n"/>
      <c r="BE312" s="23">
        <f>IF(C312="","",IF(AND(ISNUMBER(P312),P312&gt;MAX_PRICE),"Price too high",IF(AND(ISNUMBER(AB312),AB312&lt;=2),"Quality risk",IF(AND(ISNUMBER(U312),U312&lt;=2),"Aesthetic mismatch",IF(AY312="High","Too fragile",IF(AND(ISNUMBER(R312),R312&lt;LOW_PROFIT_PCT),"Low profit",IF(AND(ISNUMBER(AT312),AT312&gt;MOQ_WARNING),"MOQ too high",IF(OR(AD312="Maybe",AD312="Price Review"),"Needs partner review",IF(AD312="Buy","Good candidate","")))))))))</f>
        <v/>
      </c>
      <c r="BF312" s="23" t="n"/>
      <c r="BG312" s="23" t="n"/>
      <c r="BH312" s="23" t="n"/>
      <c r="BI312" s="23" t="n"/>
      <c r="BJ312" s="23" t="n"/>
      <c r="BK312" s="23" t="n"/>
      <c r="BL312" s="23">
        <f>IF(C312="","",IF(AND(BG312="Yes",BH312="Yes",BI312="Yes",BJ312="Yes",BK312="Yes"),"Yes","No"))</f>
        <v/>
      </c>
      <c r="BM312" s="25" t="n"/>
      <c r="BN312" s="25" t="n"/>
      <c r="BO312" s="25">
        <f>IF(OR(BM312="",BN312=""),"",BM312+BN312)</f>
        <v/>
      </c>
      <c r="BP312" s="25" t="n"/>
      <c r="BQ312" s="25">
        <f>IF(OR(BP312="",BO312=""),"",BP312-BO312)</f>
        <v/>
      </c>
      <c r="BR312" s="26">
        <f>IF(OR(BP312="",BP312=0,BQ312=""),"",BQ312/BP312)</f>
        <v/>
      </c>
      <c r="BS312" s="24" t="n"/>
      <c r="BT312" s="29" t="n"/>
      <c r="BU312" s="29" t="n"/>
      <c r="BV312" s="23" t="n"/>
      <c r="BW312" s="23" t="n"/>
      <c r="BX312" s="29">
        <f>IF(OR(BT312="",BU312=""),"",BT312-BU312)</f>
        <v/>
      </c>
      <c r="BY312" s="23" t="n"/>
      <c r="BZ312" s="24" t="n"/>
      <c r="CA312" s="23" t="n"/>
      <c r="CB312" s="23" t="n"/>
    </row>
    <row r="313">
      <c r="A313" s="16">
        <f>IF(C313="","","AYN-"&amp;IFERROR(VLOOKUP(E313,CATEGORY_PREFIX_TABLE,2,FALSE),"OTH")&amp;"-"&amp;TEXT(ROW()-2,"0000"))</f>
        <v/>
      </c>
      <c r="B313" s="17" t="n"/>
      <c r="C313" s="16" t="n"/>
      <c r="D313" s="16" t="n"/>
      <c r="E313" s="16" t="n"/>
      <c r="F313" s="16" t="n"/>
      <c r="G313" s="16" t="n"/>
      <c r="H313" s="16" t="n"/>
      <c r="I313" s="16" t="n"/>
      <c r="J313" s="16" t="n"/>
      <c r="K313" s="18">
        <f>IF(I313="","",IF(J313="BDT",I313,IF(J313="USD",I313*USD_BDT,IF(J313="RMB",I313*RMB_BDT,""))))</f>
        <v/>
      </c>
      <c r="L313" s="18" t="n"/>
      <c r="M313" s="19" t="n"/>
      <c r="N313" s="18" t="n"/>
      <c r="O313" s="18">
        <f>IF(K313="","",K313+IFERROR(L313,0)+(K313*IF(M313="",CUSTOMS_PCT,M313))+IF(N313="",MISC_FEE,N313))</f>
        <v/>
      </c>
      <c r="P313" s="18">
        <f>IF(O313="","",ROUND(O313*(1+MARKUP_PCT),-1)-1)</f>
        <v/>
      </c>
      <c r="Q313" s="18">
        <f>IF(P313="","",P313-O313)</f>
        <v/>
      </c>
      <c r="R313" s="19">
        <f>IF(OR(P313="",P313=0),"",Q313/P313)</f>
        <v/>
      </c>
      <c r="S313" s="16" t="n"/>
      <c r="T313" s="16" t="n"/>
      <c r="U313" s="16" t="n"/>
      <c r="V313" s="16" t="n"/>
      <c r="W313" s="16" t="n"/>
      <c r="X313" s="16" t="n"/>
      <c r="Y313" s="16" t="n"/>
      <c r="Z313" s="16" t="n"/>
      <c r="AA313" s="16" t="n"/>
      <c r="AB313" s="16" t="n"/>
      <c r="AC313" s="20">
        <f>IF(COUNT(S313:AB313)&lt;10,"",(S313*W_FEMININE+T313*W_TREND+U313*W_AESTHETIC+V313*W_STYLE+W313*W_LIGHT+X313*W_REELS+Y313*W_GIFT+Z313*W_PRICEFIT+AA313*W_DEMAND+AB313*W_QUALITY)/5*100)</f>
        <v/>
      </c>
      <c r="AD313" s="16">
        <f>IF(P313="","",IF(P313&gt;HARD_REJECT_PRICE,"Reject",IF(P313&gt;MAX_PRICE,"Price Review",IF(AC313="","",IF(AND(AC313&gt;=BUY_THRESHOLD,OR(AB313&lt;=2,U313&lt;=2)),"Maybe",IF(AC313&gt;=BUY_THRESHOLD,"Buy",IF(AC313&gt;=MAYBE_THRESHOLD,"Maybe","Reject")))))))</f>
        <v/>
      </c>
      <c r="AE313" s="16" t="n"/>
      <c r="AF313" s="16" t="n"/>
      <c r="AG313" s="16" t="n"/>
      <c r="AH313" s="16" t="n"/>
      <c r="AI313" s="17" t="n"/>
      <c r="AJ313">
        <f>IF(AC313="",-9999-ROW()*0.0000001,AC313-ROW()*0.0000001)</f>
        <v/>
      </c>
      <c r="AK313">
        <f>IF(OR(AC313="",P313="",P313&gt;MAX_PRICE),-9999-ROW()*0.0000001,AC313-ROW()*0.0000001)</f>
        <v/>
      </c>
      <c r="AL313">
        <f>IF(AC313="",-9999-ROW()*0.0000001,X313*1000+AC313-ROW()*0.0000001)</f>
        <v/>
      </c>
      <c r="AM313">
        <f>IF(AC313="",-9999-ROW()*0.0000001,Y313*1000+AC313-ROW()*0.0000001)</f>
        <v/>
      </c>
      <c r="AN313">
        <f>IF(AND(OR(AD313="Maybe",AD313="Price Review"),AG313&lt;&gt;"Approved",AG313&lt;&gt;"Rejected"),IF(AC313="",0,AC313)-ROW()*0.0000001,-9999-ROW()*0.0000001)</f>
        <v/>
      </c>
      <c r="AO313" s="21" t="n"/>
      <c r="AP313" s="21" t="n"/>
      <c r="AQ313" s="22" t="n"/>
      <c r="AR313" s="22" t="n"/>
      <c r="AS313" s="16" t="n"/>
      <c r="AT313" s="22" t="n"/>
      <c r="AU313" s="22" t="n"/>
      <c r="AV313" s="22" t="n"/>
      <c r="AW313" s="18">
        <f>IF(OR(O313="",AV313=""),"",O313*AV313)</f>
        <v/>
      </c>
      <c r="AX313" s="16" t="n"/>
      <c r="AY313" s="16" t="n"/>
      <c r="AZ313" s="16" t="n"/>
      <c r="BA313" s="16" t="n"/>
      <c r="BB313" s="16" t="n"/>
      <c r="BC313" s="18" t="n"/>
      <c r="BD313" s="16" t="n"/>
      <c r="BE313" s="16">
        <f>IF(C313="","",IF(AND(ISNUMBER(P313),P313&gt;MAX_PRICE),"Price too high",IF(AND(ISNUMBER(AB313),AB313&lt;=2),"Quality risk",IF(AND(ISNUMBER(U313),U313&lt;=2),"Aesthetic mismatch",IF(AY313="High","Too fragile",IF(AND(ISNUMBER(R313),R313&lt;LOW_PROFIT_PCT),"Low profit",IF(AND(ISNUMBER(AT313),AT313&gt;MOQ_WARNING),"MOQ too high",IF(OR(AD313="Maybe",AD313="Price Review"),"Needs partner review",IF(AD313="Buy","Good candidate","")))))))))</f>
        <v/>
      </c>
      <c r="BF313" s="16" t="n"/>
      <c r="BG313" s="16" t="n"/>
      <c r="BH313" s="16" t="n"/>
      <c r="BI313" s="16" t="n"/>
      <c r="BJ313" s="16" t="n"/>
      <c r="BK313" s="16" t="n"/>
      <c r="BL313" s="16">
        <f>IF(C313="","",IF(AND(BG313="Yes",BH313="Yes",BI313="Yes",BJ313="Yes",BK313="Yes"),"Yes","No"))</f>
        <v/>
      </c>
      <c r="BM313" s="18" t="n"/>
      <c r="BN313" s="18" t="n"/>
      <c r="BO313" s="18">
        <f>IF(OR(BM313="",BN313=""),"",BM313+BN313)</f>
        <v/>
      </c>
      <c r="BP313" s="18" t="n"/>
      <c r="BQ313" s="18">
        <f>IF(OR(BP313="",BO313=""),"",BP313-BO313)</f>
        <v/>
      </c>
      <c r="BR313" s="19">
        <f>IF(OR(BP313="",BP313=0,BQ313=""),"",BQ313/BP313)</f>
        <v/>
      </c>
      <c r="BS313" s="17" t="n"/>
      <c r="BT313" s="22" t="n"/>
      <c r="BU313" s="22" t="n"/>
      <c r="BV313" s="16" t="n"/>
      <c r="BW313" s="16" t="n"/>
      <c r="BX313" s="22">
        <f>IF(OR(BT313="",BU313=""),"",BT313-BU313)</f>
        <v/>
      </c>
      <c r="BY313" s="16" t="n"/>
      <c r="BZ313" s="17" t="n"/>
      <c r="CA313" s="16" t="n"/>
      <c r="CB313" s="16" t="n"/>
    </row>
    <row r="314">
      <c r="A314" s="23">
        <f>IF(C314="","","AYN-"&amp;IFERROR(VLOOKUP(E314,CATEGORY_PREFIX_TABLE,2,FALSE),"OTH")&amp;"-"&amp;TEXT(ROW()-2,"0000"))</f>
        <v/>
      </c>
      <c r="B314" s="24" t="n"/>
      <c r="C314" s="23" t="n"/>
      <c r="D314" s="23" t="n"/>
      <c r="E314" s="23" t="n"/>
      <c r="F314" s="23" t="n"/>
      <c r="G314" s="23" t="n"/>
      <c r="H314" s="23" t="n"/>
      <c r="I314" s="23" t="n"/>
      <c r="J314" s="23" t="n"/>
      <c r="K314" s="25">
        <f>IF(I314="","",IF(J314="BDT",I314,IF(J314="USD",I314*USD_BDT,IF(J314="RMB",I314*RMB_BDT,""))))</f>
        <v/>
      </c>
      <c r="L314" s="25" t="n"/>
      <c r="M314" s="26" t="n"/>
      <c r="N314" s="25" t="n"/>
      <c r="O314" s="25">
        <f>IF(K314="","",K314+IFERROR(L314,0)+(K314*IF(M314="",CUSTOMS_PCT,M314))+IF(N314="",MISC_FEE,N314))</f>
        <v/>
      </c>
      <c r="P314" s="25">
        <f>IF(O314="","",ROUND(O314*(1+MARKUP_PCT),-1)-1)</f>
        <v/>
      </c>
      <c r="Q314" s="25">
        <f>IF(P314="","",P314-O314)</f>
        <v/>
      </c>
      <c r="R314" s="26">
        <f>IF(OR(P314="",P314=0),"",Q314/P314)</f>
        <v/>
      </c>
      <c r="S314" s="23" t="n"/>
      <c r="T314" s="23" t="n"/>
      <c r="U314" s="23" t="n"/>
      <c r="V314" s="23" t="n"/>
      <c r="W314" s="23" t="n"/>
      <c r="X314" s="23" t="n"/>
      <c r="Y314" s="23" t="n"/>
      <c r="Z314" s="23" t="n"/>
      <c r="AA314" s="23" t="n"/>
      <c r="AB314" s="23" t="n"/>
      <c r="AC314" s="27">
        <f>IF(COUNT(S314:AB314)&lt;10,"",(S314*W_FEMININE+T314*W_TREND+U314*W_AESTHETIC+V314*W_STYLE+W314*W_LIGHT+X314*W_REELS+Y314*W_GIFT+Z314*W_PRICEFIT+AA314*W_DEMAND+AB314*W_QUALITY)/5*100)</f>
        <v/>
      </c>
      <c r="AD314" s="23">
        <f>IF(P314="","",IF(P314&gt;HARD_REJECT_PRICE,"Reject",IF(P314&gt;MAX_PRICE,"Price Review",IF(AC314="","",IF(AND(AC314&gt;=BUY_THRESHOLD,OR(AB314&lt;=2,U314&lt;=2)),"Maybe",IF(AC314&gt;=BUY_THRESHOLD,"Buy",IF(AC314&gt;=MAYBE_THRESHOLD,"Maybe","Reject")))))))</f>
        <v/>
      </c>
      <c r="AE314" s="23" t="n"/>
      <c r="AF314" s="23" t="n"/>
      <c r="AG314" s="23" t="n"/>
      <c r="AH314" s="23" t="n"/>
      <c r="AI314" s="24" t="n"/>
      <c r="AJ314">
        <f>IF(AC314="",-9999-ROW()*0.0000001,AC314-ROW()*0.0000001)</f>
        <v/>
      </c>
      <c r="AK314">
        <f>IF(OR(AC314="",P314="",P314&gt;MAX_PRICE),-9999-ROW()*0.0000001,AC314-ROW()*0.0000001)</f>
        <v/>
      </c>
      <c r="AL314">
        <f>IF(AC314="",-9999-ROW()*0.0000001,X314*1000+AC314-ROW()*0.0000001)</f>
        <v/>
      </c>
      <c r="AM314">
        <f>IF(AC314="",-9999-ROW()*0.0000001,Y314*1000+AC314-ROW()*0.0000001)</f>
        <v/>
      </c>
      <c r="AN314">
        <f>IF(AND(OR(AD314="Maybe",AD314="Price Review"),AG314&lt;&gt;"Approved",AG314&lt;&gt;"Rejected"),IF(AC314="",0,AC314)-ROW()*0.0000001,-9999-ROW()*0.0000001)</f>
        <v/>
      </c>
      <c r="AO314" s="28" t="n"/>
      <c r="AP314" s="28" t="n"/>
      <c r="AQ314" s="29" t="n"/>
      <c r="AR314" s="29" t="n"/>
      <c r="AS314" s="23" t="n"/>
      <c r="AT314" s="29" t="n"/>
      <c r="AU314" s="29" t="n"/>
      <c r="AV314" s="29" t="n"/>
      <c r="AW314" s="25">
        <f>IF(OR(O314="",AV314=""),"",O314*AV314)</f>
        <v/>
      </c>
      <c r="AX314" s="23" t="n"/>
      <c r="AY314" s="23" t="n"/>
      <c r="AZ314" s="23" t="n"/>
      <c r="BA314" s="23" t="n"/>
      <c r="BB314" s="23" t="n"/>
      <c r="BC314" s="25" t="n"/>
      <c r="BD314" s="23" t="n"/>
      <c r="BE314" s="23">
        <f>IF(C314="","",IF(AND(ISNUMBER(P314),P314&gt;MAX_PRICE),"Price too high",IF(AND(ISNUMBER(AB314),AB314&lt;=2),"Quality risk",IF(AND(ISNUMBER(U314),U314&lt;=2),"Aesthetic mismatch",IF(AY314="High","Too fragile",IF(AND(ISNUMBER(R314),R314&lt;LOW_PROFIT_PCT),"Low profit",IF(AND(ISNUMBER(AT314),AT314&gt;MOQ_WARNING),"MOQ too high",IF(OR(AD314="Maybe",AD314="Price Review"),"Needs partner review",IF(AD314="Buy","Good candidate","")))))))))</f>
        <v/>
      </c>
      <c r="BF314" s="23" t="n"/>
      <c r="BG314" s="23" t="n"/>
      <c r="BH314" s="23" t="n"/>
      <c r="BI314" s="23" t="n"/>
      <c r="BJ314" s="23" t="n"/>
      <c r="BK314" s="23" t="n"/>
      <c r="BL314" s="23">
        <f>IF(C314="","",IF(AND(BG314="Yes",BH314="Yes",BI314="Yes",BJ314="Yes",BK314="Yes"),"Yes","No"))</f>
        <v/>
      </c>
      <c r="BM314" s="25" t="n"/>
      <c r="BN314" s="25" t="n"/>
      <c r="BO314" s="25">
        <f>IF(OR(BM314="",BN314=""),"",BM314+BN314)</f>
        <v/>
      </c>
      <c r="BP314" s="25" t="n"/>
      <c r="BQ314" s="25">
        <f>IF(OR(BP314="",BO314=""),"",BP314-BO314)</f>
        <v/>
      </c>
      <c r="BR314" s="26">
        <f>IF(OR(BP314="",BP314=0,BQ314=""),"",BQ314/BP314)</f>
        <v/>
      </c>
      <c r="BS314" s="24" t="n"/>
      <c r="BT314" s="29" t="n"/>
      <c r="BU314" s="29" t="n"/>
      <c r="BV314" s="23" t="n"/>
      <c r="BW314" s="23" t="n"/>
      <c r="BX314" s="29">
        <f>IF(OR(BT314="",BU314=""),"",BT314-BU314)</f>
        <v/>
      </c>
      <c r="BY314" s="23" t="n"/>
      <c r="BZ314" s="24" t="n"/>
      <c r="CA314" s="23" t="n"/>
      <c r="CB314" s="23" t="n"/>
    </row>
    <row r="315">
      <c r="A315" s="16">
        <f>IF(C315="","","AYN-"&amp;IFERROR(VLOOKUP(E315,CATEGORY_PREFIX_TABLE,2,FALSE),"OTH")&amp;"-"&amp;TEXT(ROW()-2,"0000"))</f>
        <v/>
      </c>
      <c r="B315" s="17" t="n"/>
      <c r="C315" s="16" t="n"/>
      <c r="D315" s="16" t="n"/>
      <c r="E315" s="16" t="n"/>
      <c r="F315" s="16" t="n"/>
      <c r="G315" s="16" t="n"/>
      <c r="H315" s="16" t="n"/>
      <c r="I315" s="16" t="n"/>
      <c r="J315" s="16" t="n"/>
      <c r="K315" s="18">
        <f>IF(I315="","",IF(J315="BDT",I315,IF(J315="USD",I315*USD_BDT,IF(J315="RMB",I315*RMB_BDT,""))))</f>
        <v/>
      </c>
      <c r="L315" s="18" t="n"/>
      <c r="M315" s="19" t="n"/>
      <c r="N315" s="18" t="n"/>
      <c r="O315" s="18">
        <f>IF(K315="","",K315+IFERROR(L315,0)+(K315*IF(M315="",CUSTOMS_PCT,M315))+IF(N315="",MISC_FEE,N315))</f>
        <v/>
      </c>
      <c r="P315" s="18">
        <f>IF(O315="","",ROUND(O315*(1+MARKUP_PCT),-1)-1)</f>
        <v/>
      </c>
      <c r="Q315" s="18">
        <f>IF(P315="","",P315-O315)</f>
        <v/>
      </c>
      <c r="R315" s="19">
        <f>IF(OR(P315="",P315=0),"",Q315/P315)</f>
        <v/>
      </c>
      <c r="S315" s="16" t="n"/>
      <c r="T315" s="16" t="n"/>
      <c r="U315" s="16" t="n"/>
      <c r="V315" s="16" t="n"/>
      <c r="W315" s="16" t="n"/>
      <c r="X315" s="16" t="n"/>
      <c r="Y315" s="16" t="n"/>
      <c r="Z315" s="16" t="n"/>
      <c r="AA315" s="16" t="n"/>
      <c r="AB315" s="16" t="n"/>
      <c r="AC315" s="20">
        <f>IF(COUNT(S315:AB315)&lt;10,"",(S315*W_FEMININE+T315*W_TREND+U315*W_AESTHETIC+V315*W_STYLE+W315*W_LIGHT+X315*W_REELS+Y315*W_GIFT+Z315*W_PRICEFIT+AA315*W_DEMAND+AB315*W_QUALITY)/5*100)</f>
        <v/>
      </c>
      <c r="AD315" s="16">
        <f>IF(P315="","",IF(P315&gt;HARD_REJECT_PRICE,"Reject",IF(P315&gt;MAX_PRICE,"Price Review",IF(AC315="","",IF(AND(AC315&gt;=BUY_THRESHOLD,OR(AB315&lt;=2,U315&lt;=2)),"Maybe",IF(AC315&gt;=BUY_THRESHOLD,"Buy",IF(AC315&gt;=MAYBE_THRESHOLD,"Maybe","Reject")))))))</f>
        <v/>
      </c>
      <c r="AE315" s="16" t="n"/>
      <c r="AF315" s="16" t="n"/>
      <c r="AG315" s="16" t="n"/>
      <c r="AH315" s="16" t="n"/>
      <c r="AI315" s="17" t="n"/>
      <c r="AJ315">
        <f>IF(AC315="",-9999-ROW()*0.0000001,AC315-ROW()*0.0000001)</f>
        <v/>
      </c>
      <c r="AK315">
        <f>IF(OR(AC315="",P315="",P315&gt;MAX_PRICE),-9999-ROW()*0.0000001,AC315-ROW()*0.0000001)</f>
        <v/>
      </c>
      <c r="AL315">
        <f>IF(AC315="",-9999-ROW()*0.0000001,X315*1000+AC315-ROW()*0.0000001)</f>
        <v/>
      </c>
      <c r="AM315">
        <f>IF(AC315="",-9999-ROW()*0.0000001,Y315*1000+AC315-ROW()*0.0000001)</f>
        <v/>
      </c>
      <c r="AN315">
        <f>IF(AND(OR(AD315="Maybe",AD315="Price Review"),AG315&lt;&gt;"Approved",AG315&lt;&gt;"Rejected"),IF(AC315="",0,AC315)-ROW()*0.0000001,-9999-ROW()*0.0000001)</f>
        <v/>
      </c>
      <c r="AO315" s="21" t="n"/>
      <c r="AP315" s="21" t="n"/>
      <c r="AQ315" s="22" t="n"/>
      <c r="AR315" s="22" t="n"/>
      <c r="AS315" s="16" t="n"/>
      <c r="AT315" s="22" t="n"/>
      <c r="AU315" s="22" t="n"/>
      <c r="AV315" s="22" t="n"/>
      <c r="AW315" s="18">
        <f>IF(OR(O315="",AV315=""),"",O315*AV315)</f>
        <v/>
      </c>
      <c r="AX315" s="16" t="n"/>
      <c r="AY315" s="16" t="n"/>
      <c r="AZ315" s="16" t="n"/>
      <c r="BA315" s="16" t="n"/>
      <c r="BB315" s="16" t="n"/>
      <c r="BC315" s="18" t="n"/>
      <c r="BD315" s="16" t="n"/>
      <c r="BE315" s="16">
        <f>IF(C315="","",IF(AND(ISNUMBER(P315),P315&gt;MAX_PRICE),"Price too high",IF(AND(ISNUMBER(AB315),AB315&lt;=2),"Quality risk",IF(AND(ISNUMBER(U315),U315&lt;=2),"Aesthetic mismatch",IF(AY315="High","Too fragile",IF(AND(ISNUMBER(R315),R315&lt;LOW_PROFIT_PCT),"Low profit",IF(AND(ISNUMBER(AT315),AT315&gt;MOQ_WARNING),"MOQ too high",IF(OR(AD315="Maybe",AD315="Price Review"),"Needs partner review",IF(AD315="Buy","Good candidate","")))))))))</f>
        <v/>
      </c>
      <c r="BF315" s="16" t="n"/>
      <c r="BG315" s="16" t="n"/>
      <c r="BH315" s="16" t="n"/>
      <c r="BI315" s="16" t="n"/>
      <c r="BJ315" s="16" t="n"/>
      <c r="BK315" s="16" t="n"/>
      <c r="BL315" s="16">
        <f>IF(C315="","",IF(AND(BG315="Yes",BH315="Yes",BI315="Yes",BJ315="Yes",BK315="Yes"),"Yes","No"))</f>
        <v/>
      </c>
      <c r="BM315" s="18" t="n"/>
      <c r="BN315" s="18" t="n"/>
      <c r="BO315" s="18">
        <f>IF(OR(BM315="",BN315=""),"",BM315+BN315)</f>
        <v/>
      </c>
      <c r="BP315" s="18" t="n"/>
      <c r="BQ315" s="18">
        <f>IF(OR(BP315="",BO315=""),"",BP315-BO315)</f>
        <v/>
      </c>
      <c r="BR315" s="19">
        <f>IF(OR(BP315="",BP315=0,BQ315=""),"",BQ315/BP315)</f>
        <v/>
      </c>
      <c r="BS315" s="17" t="n"/>
      <c r="BT315" s="22" t="n"/>
      <c r="BU315" s="22" t="n"/>
      <c r="BV315" s="16" t="n"/>
      <c r="BW315" s="16" t="n"/>
      <c r="BX315" s="22">
        <f>IF(OR(BT315="",BU315=""),"",BT315-BU315)</f>
        <v/>
      </c>
      <c r="BY315" s="16" t="n"/>
      <c r="BZ315" s="17" t="n"/>
      <c r="CA315" s="16" t="n"/>
      <c r="CB315" s="16" t="n"/>
    </row>
    <row r="316">
      <c r="A316" s="23">
        <f>IF(C316="","","AYN-"&amp;IFERROR(VLOOKUP(E316,CATEGORY_PREFIX_TABLE,2,FALSE),"OTH")&amp;"-"&amp;TEXT(ROW()-2,"0000"))</f>
        <v/>
      </c>
      <c r="B316" s="24" t="n"/>
      <c r="C316" s="23" t="n"/>
      <c r="D316" s="23" t="n"/>
      <c r="E316" s="23" t="n"/>
      <c r="F316" s="23" t="n"/>
      <c r="G316" s="23" t="n"/>
      <c r="H316" s="23" t="n"/>
      <c r="I316" s="23" t="n"/>
      <c r="J316" s="23" t="n"/>
      <c r="K316" s="25">
        <f>IF(I316="","",IF(J316="BDT",I316,IF(J316="USD",I316*USD_BDT,IF(J316="RMB",I316*RMB_BDT,""))))</f>
        <v/>
      </c>
      <c r="L316" s="25" t="n"/>
      <c r="M316" s="26" t="n"/>
      <c r="N316" s="25" t="n"/>
      <c r="O316" s="25">
        <f>IF(K316="","",K316+IFERROR(L316,0)+(K316*IF(M316="",CUSTOMS_PCT,M316))+IF(N316="",MISC_FEE,N316))</f>
        <v/>
      </c>
      <c r="P316" s="25">
        <f>IF(O316="","",ROUND(O316*(1+MARKUP_PCT),-1)-1)</f>
        <v/>
      </c>
      <c r="Q316" s="25">
        <f>IF(P316="","",P316-O316)</f>
        <v/>
      </c>
      <c r="R316" s="26">
        <f>IF(OR(P316="",P316=0),"",Q316/P316)</f>
        <v/>
      </c>
      <c r="S316" s="23" t="n"/>
      <c r="T316" s="23" t="n"/>
      <c r="U316" s="23" t="n"/>
      <c r="V316" s="23" t="n"/>
      <c r="W316" s="23" t="n"/>
      <c r="X316" s="23" t="n"/>
      <c r="Y316" s="23" t="n"/>
      <c r="Z316" s="23" t="n"/>
      <c r="AA316" s="23" t="n"/>
      <c r="AB316" s="23" t="n"/>
      <c r="AC316" s="27">
        <f>IF(COUNT(S316:AB316)&lt;10,"",(S316*W_FEMININE+T316*W_TREND+U316*W_AESTHETIC+V316*W_STYLE+W316*W_LIGHT+X316*W_REELS+Y316*W_GIFT+Z316*W_PRICEFIT+AA316*W_DEMAND+AB316*W_QUALITY)/5*100)</f>
        <v/>
      </c>
      <c r="AD316" s="23">
        <f>IF(P316="","",IF(P316&gt;HARD_REJECT_PRICE,"Reject",IF(P316&gt;MAX_PRICE,"Price Review",IF(AC316="","",IF(AND(AC316&gt;=BUY_THRESHOLD,OR(AB316&lt;=2,U316&lt;=2)),"Maybe",IF(AC316&gt;=BUY_THRESHOLD,"Buy",IF(AC316&gt;=MAYBE_THRESHOLD,"Maybe","Reject")))))))</f>
        <v/>
      </c>
      <c r="AE316" s="23" t="n"/>
      <c r="AF316" s="23" t="n"/>
      <c r="AG316" s="23" t="n"/>
      <c r="AH316" s="23" t="n"/>
      <c r="AI316" s="24" t="n"/>
      <c r="AJ316">
        <f>IF(AC316="",-9999-ROW()*0.0000001,AC316-ROW()*0.0000001)</f>
        <v/>
      </c>
      <c r="AK316">
        <f>IF(OR(AC316="",P316="",P316&gt;MAX_PRICE),-9999-ROW()*0.0000001,AC316-ROW()*0.0000001)</f>
        <v/>
      </c>
      <c r="AL316">
        <f>IF(AC316="",-9999-ROW()*0.0000001,X316*1000+AC316-ROW()*0.0000001)</f>
        <v/>
      </c>
      <c r="AM316">
        <f>IF(AC316="",-9999-ROW()*0.0000001,Y316*1000+AC316-ROW()*0.0000001)</f>
        <v/>
      </c>
      <c r="AN316">
        <f>IF(AND(OR(AD316="Maybe",AD316="Price Review"),AG316&lt;&gt;"Approved",AG316&lt;&gt;"Rejected"),IF(AC316="",0,AC316)-ROW()*0.0000001,-9999-ROW()*0.0000001)</f>
        <v/>
      </c>
      <c r="AO316" s="28" t="n"/>
      <c r="AP316" s="28" t="n"/>
      <c r="AQ316" s="29" t="n"/>
      <c r="AR316" s="29" t="n"/>
      <c r="AS316" s="23" t="n"/>
      <c r="AT316" s="29" t="n"/>
      <c r="AU316" s="29" t="n"/>
      <c r="AV316" s="29" t="n"/>
      <c r="AW316" s="25">
        <f>IF(OR(O316="",AV316=""),"",O316*AV316)</f>
        <v/>
      </c>
      <c r="AX316" s="23" t="n"/>
      <c r="AY316" s="23" t="n"/>
      <c r="AZ316" s="23" t="n"/>
      <c r="BA316" s="23" t="n"/>
      <c r="BB316" s="23" t="n"/>
      <c r="BC316" s="25" t="n"/>
      <c r="BD316" s="23" t="n"/>
      <c r="BE316" s="23">
        <f>IF(C316="","",IF(AND(ISNUMBER(P316),P316&gt;MAX_PRICE),"Price too high",IF(AND(ISNUMBER(AB316),AB316&lt;=2),"Quality risk",IF(AND(ISNUMBER(U316),U316&lt;=2),"Aesthetic mismatch",IF(AY316="High","Too fragile",IF(AND(ISNUMBER(R316),R316&lt;LOW_PROFIT_PCT),"Low profit",IF(AND(ISNUMBER(AT316),AT316&gt;MOQ_WARNING),"MOQ too high",IF(OR(AD316="Maybe",AD316="Price Review"),"Needs partner review",IF(AD316="Buy","Good candidate","")))))))))</f>
        <v/>
      </c>
      <c r="BF316" s="23" t="n"/>
      <c r="BG316" s="23" t="n"/>
      <c r="BH316" s="23" t="n"/>
      <c r="BI316" s="23" t="n"/>
      <c r="BJ316" s="23" t="n"/>
      <c r="BK316" s="23" t="n"/>
      <c r="BL316" s="23">
        <f>IF(C316="","",IF(AND(BG316="Yes",BH316="Yes",BI316="Yes",BJ316="Yes",BK316="Yes"),"Yes","No"))</f>
        <v/>
      </c>
      <c r="BM316" s="25" t="n"/>
      <c r="BN316" s="25" t="n"/>
      <c r="BO316" s="25">
        <f>IF(OR(BM316="",BN316=""),"",BM316+BN316)</f>
        <v/>
      </c>
      <c r="BP316" s="25" t="n"/>
      <c r="BQ316" s="25">
        <f>IF(OR(BP316="",BO316=""),"",BP316-BO316)</f>
        <v/>
      </c>
      <c r="BR316" s="26">
        <f>IF(OR(BP316="",BP316=0,BQ316=""),"",BQ316/BP316)</f>
        <v/>
      </c>
      <c r="BS316" s="24" t="n"/>
      <c r="BT316" s="29" t="n"/>
      <c r="BU316" s="29" t="n"/>
      <c r="BV316" s="23" t="n"/>
      <c r="BW316" s="23" t="n"/>
      <c r="BX316" s="29">
        <f>IF(OR(BT316="",BU316=""),"",BT316-BU316)</f>
        <v/>
      </c>
      <c r="BY316" s="23" t="n"/>
      <c r="BZ316" s="24" t="n"/>
      <c r="CA316" s="23" t="n"/>
      <c r="CB316" s="23" t="n"/>
    </row>
    <row r="317">
      <c r="A317" s="16">
        <f>IF(C317="","","AYN-"&amp;IFERROR(VLOOKUP(E317,CATEGORY_PREFIX_TABLE,2,FALSE),"OTH")&amp;"-"&amp;TEXT(ROW()-2,"0000"))</f>
        <v/>
      </c>
      <c r="B317" s="17" t="n"/>
      <c r="C317" s="16" t="n"/>
      <c r="D317" s="16" t="n"/>
      <c r="E317" s="16" t="n"/>
      <c r="F317" s="16" t="n"/>
      <c r="G317" s="16" t="n"/>
      <c r="H317" s="16" t="n"/>
      <c r="I317" s="16" t="n"/>
      <c r="J317" s="16" t="n"/>
      <c r="K317" s="18">
        <f>IF(I317="","",IF(J317="BDT",I317,IF(J317="USD",I317*USD_BDT,IF(J317="RMB",I317*RMB_BDT,""))))</f>
        <v/>
      </c>
      <c r="L317" s="18" t="n"/>
      <c r="M317" s="19" t="n"/>
      <c r="N317" s="18" t="n"/>
      <c r="O317" s="18">
        <f>IF(K317="","",K317+IFERROR(L317,0)+(K317*IF(M317="",CUSTOMS_PCT,M317))+IF(N317="",MISC_FEE,N317))</f>
        <v/>
      </c>
      <c r="P317" s="18">
        <f>IF(O317="","",ROUND(O317*(1+MARKUP_PCT),-1)-1)</f>
        <v/>
      </c>
      <c r="Q317" s="18">
        <f>IF(P317="","",P317-O317)</f>
        <v/>
      </c>
      <c r="R317" s="19">
        <f>IF(OR(P317="",P317=0),"",Q317/P317)</f>
        <v/>
      </c>
      <c r="S317" s="16" t="n"/>
      <c r="T317" s="16" t="n"/>
      <c r="U317" s="16" t="n"/>
      <c r="V317" s="16" t="n"/>
      <c r="W317" s="16" t="n"/>
      <c r="X317" s="16" t="n"/>
      <c r="Y317" s="16" t="n"/>
      <c r="Z317" s="16" t="n"/>
      <c r="AA317" s="16" t="n"/>
      <c r="AB317" s="16" t="n"/>
      <c r="AC317" s="20">
        <f>IF(COUNT(S317:AB317)&lt;10,"",(S317*W_FEMININE+T317*W_TREND+U317*W_AESTHETIC+V317*W_STYLE+W317*W_LIGHT+X317*W_REELS+Y317*W_GIFT+Z317*W_PRICEFIT+AA317*W_DEMAND+AB317*W_QUALITY)/5*100)</f>
        <v/>
      </c>
      <c r="AD317" s="16">
        <f>IF(P317="","",IF(P317&gt;HARD_REJECT_PRICE,"Reject",IF(P317&gt;MAX_PRICE,"Price Review",IF(AC317="","",IF(AND(AC317&gt;=BUY_THRESHOLD,OR(AB317&lt;=2,U317&lt;=2)),"Maybe",IF(AC317&gt;=BUY_THRESHOLD,"Buy",IF(AC317&gt;=MAYBE_THRESHOLD,"Maybe","Reject")))))))</f>
        <v/>
      </c>
      <c r="AE317" s="16" t="n"/>
      <c r="AF317" s="16" t="n"/>
      <c r="AG317" s="16" t="n"/>
      <c r="AH317" s="16" t="n"/>
      <c r="AI317" s="17" t="n"/>
      <c r="AJ317">
        <f>IF(AC317="",-9999-ROW()*0.0000001,AC317-ROW()*0.0000001)</f>
        <v/>
      </c>
      <c r="AK317">
        <f>IF(OR(AC317="",P317="",P317&gt;MAX_PRICE),-9999-ROW()*0.0000001,AC317-ROW()*0.0000001)</f>
        <v/>
      </c>
      <c r="AL317">
        <f>IF(AC317="",-9999-ROW()*0.0000001,X317*1000+AC317-ROW()*0.0000001)</f>
        <v/>
      </c>
      <c r="AM317">
        <f>IF(AC317="",-9999-ROW()*0.0000001,Y317*1000+AC317-ROW()*0.0000001)</f>
        <v/>
      </c>
      <c r="AN317">
        <f>IF(AND(OR(AD317="Maybe",AD317="Price Review"),AG317&lt;&gt;"Approved",AG317&lt;&gt;"Rejected"),IF(AC317="",0,AC317)-ROW()*0.0000001,-9999-ROW()*0.0000001)</f>
        <v/>
      </c>
      <c r="AO317" s="21" t="n"/>
      <c r="AP317" s="21" t="n"/>
      <c r="AQ317" s="22" t="n"/>
      <c r="AR317" s="22" t="n"/>
      <c r="AS317" s="16" t="n"/>
      <c r="AT317" s="22" t="n"/>
      <c r="AU317" s="22" t="n"/>
      <c r="AV317" s="22" t="n"/>
      <c r="AW317" s="18">
        <f>IF(OR(O317="",AV317=""),"",O317*AV317)</f>
        <v/>
      </c>
      <c r="AX317" s="16" t="n"/>
      <c r="AY317" s="16" t="n"/>
      <c r="AZ317" s="16" t="n"/>
      <c r="BA317" s="16" t="n"/>
      <c r="BB317" s="16" t="n"/>
      <c r="BC317" s="18" t="n"/>
      <c r="BD317" s="16" t="n"/>
      <c r="BE317" s="16">
        <f>IF(C317="","",IF(AND(ISNUMBER(P317),P317&gt;MAX_PRICE),"Price too high",IF(AND(ISNUMBER(AB317),AB317&lt;=2),"Quality risk",IF(AND(ISNUMBER(U317),U317&lt;=2),"Aesthetic mismatch",IF(AY317="High","Too fragile",IF(AND(ISNUMBER(R317),R317&lt;LOW_PROFIT_PCT),"Low profit",IF(AND(ISNUMBER(AT317),AT317&gt;MOQ_WARNING),"MOQ too high",IF(OR(AD317="Maybe",AD317="Price Review"),"Needs partner review",IF(AD317="Buy","Good candidate","")))))))))</f>
        <v/>
      </c>
      <c r="BF317" s="16" t="n"/>
      <c r="BG317" s="16" t="n"/>
      <c r="BH317" s="16" t="n"/>
      <c r="BI317" s="16" t="n"/>
      <c r="BJ317" s="16" t="n"/>
      <c r="BK317" s="16" t="n"/>
      <c r="BL317" s="16">
        <f>IF(C317="","",IF(AND(BG317="Yes",BH317="Yes",BI317="Yes",BJ317="Yes",BK317="Yes"),"Yes","No"))</f>
        <v/>
      </c>
      <c r="BM317" s="18" t="n"/>
      <c r="BN317" s="18" t="n"/>
      <c r="BO317" s="18">
        <f>IF(OR(BM317="",BN317=""),"",BM317+BN317)</f>
        <v/>
      </c>
      <c r="BP317" s="18" t="n"/>
      <c r="BQ317" s="18">
        <f>IF(OR(BP317="",BO317=""),"",BP317-BO317)</f>
        <v/>
      </c>
      <c r="BR317" s="19">
        <f>IF(OR(BP317="",BP317=0,BQ317=""),"",BQ317/BP317)</f>
        <v/>
      </c>
      <c r="BS317" s="17" t="n"/>
      <c r="BT317" s="22" t="n"/>
      <c r="BU317" s="22" t="n"/>
      <c r="BV317" s="16" t="n"/>
      <c r="BW317" s="16" t="n"/>
      <c r="BX317" s="22">
        <f>IF(OR(BT317="",BU317=""),"",BT317-BU317)</f>
        <v/>
      </c>
      <c r="BY317" s="16" t="n"/>
      <c r="BZ317" s="17" t="n"/>
      <c r="CA317" s="16" t="n"/>
      <c r="CB317" s="16" t="n"/>
    </row>
    <row r="318">
      <c r="A318" s="23">
        <f>IF(C318="","","AYN-"&amp;IFERROR(VLOOKUP(E318,CATEGORY_PREFIX_TABLE,2,FALSE),"OTH")&amp;"-"&amp;TEXT(ROW()-2,"0000"))</f>
        <v/>
      </c>
      <c r="B318" s="24" t="n"/>
      <c r="C318" s="23" t="n"/>
      <c r="D318" s="23" t="n"/>
      <c r="E318" s="23" t="n"/>
      <c r="F318" s="23" t="n"/>
      <c r="G318" s="23" t="n"/>
      <c r="H318" s="23" t="n"/>
      <c r="I318" s="23" t="n"/>
      <c r="J318" s="23" t="n"/>
      <c r="K318" s="25">
        <f>IF(I318="","",IF(J318="BDT",I318,IF(J318="USD",I318*USD_BDT,IF(J318="RMB",I318*RMB_BDT,""))))</f>
        <v/>
      </c>
      <c r="L318" s="25" t="n"/>
      <c r="M318" s="26" t="n"/>
      <c r="N318" s="25" t="n"/>
      <c r="O318" s="25">
        <f>IF(K318="","",K318+IFERROR(L318,0)+(K318*IF(M318="",CUSTOMS_PCT,M318))+IF(N318="",MISC_FEE,N318))</f>
        <v/>
      </c>
      <c r="P318" s="25">
        <f>IF(O318="","",ROUND(O318*(1+MARKUP_PCT),-1)-1)</f>
        <v/>
      </c>
      <c r="Q318" s="25">
        <f>IF(P318="","",P318-O318)</f>
        <v/>
      </c>
      <c r="R318" s="26">
        <f>IF(OR(P318="",P318=0),"",Q318/P318)</f>
        <v/>
      </c>
      <c r="S318" s="23" t="n"/>
      <c r="T318" s="23" t="n"/>
      <c r="U318" s="23" t="n"/>
      <c r="V318" s="23" t="n"/>
      <c r="W318" s="23" t="n"/>
      <c r="X318" s="23" t="n"/>
      <c r="Y318" s="23" t="n"/>
      <c r="Z318" s="23" t="n"/>
      <c r="AA318" s="23" t="n"/>
      <c r="AB318" s="23" t="n"/>
      <c r="AC318" s="27">
        <f>IF(COUNT(S318:AB318)&lt;10,"",(S318*W_FEMININE+T318*W_TREND+U318*W_AESTHETIC+V318*W_STYLE+W318*W_LIGHT+X318*W_REELS+Y318*W_GIFT+Z318*W_PRICEFIT+AA318*W_DEMAND+AB318*W_QUALITY)/5*100)</f>
        <v/>
      </c>
      <c r="AD318" s="23">
        <f>IF(P318="","",IF(P318&gt;HARD_REJECT_PRICE,"Reject",IF(P318&gt;MAX_PRICE,"Price Review",IF(AC318="","",IF(AND(AC318&gt;=BUY_THRESHOLD,OR(AB318&lt;=2,U318&lt;=2)),"Maybe",IF(AC318&gt;=BUY_THRESHOLD,"Buy",IF(AC318&gt;=MAYBE_THRESHOLD,"Maybe","Reject")))))))</f>
        <v/>
      </c>
      <c r="AE318" s="23" t="n"/>
      <c r="AF318" s="23" t="n"/>
      <c r="AG318" s="23" t="n"/>
      <c r="AH318" s="23" t="n"/>
      <c r="AI318" s="24" t="n"/>
      <c r="AJ318">
        <f>IF(AC318="",-9999-ROW()*0.0000001,AC318-ROW()*0.0000001)</f>
        <v/>
      </c>
      <c r="AK318">
        <f>IF(OR(AC318="",P318="",P318&gt;MAX_PRICE),-9999-ROW()*0.0000001,AC318-ROW()*0.0000001)</f>
        <v/>
      </c>
      <c r="AL318">
        <f>IF(AC318="",-9999-ROW()*0.0000001,X318*1000+AC318-ROW()*0.0000001)</f>
        <v/>
      </c>
      <c r="AM318">
        <f>IF(AC318="",-9999-ROW()*0.0000001,Y318*1000+AC318-ROW()*0.0000001)</f>
        <v/>
      </c>
      <c r="AN318">
        <f>IF(AND(OR(AD318="Maybe",AD318="Price Review"),AG318&lt;&gt;"Approved",AG318&lt;&gt;"Rejected"),IF(AC318="",0,AC318)-ROW()*0.0000001,-9999-ROW()*0.0000001)</f>
        <v/>
      </c>
      <c r="AO318" s="28" t="n"/>
      <c r="AP318" s="28" t="n"/>
      <c r="AQ318" s="29" t="n"/>
      <c r="AR318" s="29" t="n"/>
      <c r="AS318" s="23" t="n"/>
      <c r="AT318" s="29" t="n"/>
      <c r="AU318" s="29" t="n"/>
      <c r="AV318" s="29" t="n"/>
      <c r="AW318" s="25">
        <f>IF(OR(O318="",AV318=""),"",O318*AV318)</f>
        <v/>
      </c>
      <c r="AX318" s="23" t="n"/>
      <c r="AY318" s="23" t="n"/>
      <c r="AZ318" s="23" t="n"/>
      <c r="BA318" s="23" t="n"/>
      <c r="BB318" s="23" t="n"/>
      <c r="BC318" s="25" t="n"/>
      <c r="BD318" s="23" t="n"/>
      <c r="BE318" s="23">
        <f>IF(C318="","",IF(AND(ISNUMBER(P318),P318&gt;MAX_PRICE),"Price too high",IF(AND(ISNUMBER(AB318),AB318&lt;=2),"Quality risk",IF(AND(ISNUMBER(U318),U318&lt;=2),"Aesthetic mismatch",IF(AY318="High","Too fragile",IF(AND(ISNUMBER(R318),R318&lt;LOW_PROFIT_PCT),"Low profit",IF(AND(ISNUMBER(AT318),AT318&gt;MOQ_WARNING),"MOQ too high",IF(OR(AD318="Maybe",AD318="Price Review"),"Needs partner review",IF(AD318="Buy","Good candidate","")))))))))</f>
        <v/>
      </c>
      <c r="BF318" s="23" t="n"/>
      <c r="BG318" s="23" t="n"/>
      <c r="BH318" s="23" t="n"/>
      <c r="BI318" s="23" t="n"/>
      <c r="BJ318" s="23" t="n"/>
      <c r="BK318" s="23" t="n"/>
      <c r="BL318" s="23">
        <f>IF(C318="","",IF(AND(BG318="Yes",BH318="Yes",BI318="Yes",BJ318="Yes",BK318="Yes"),"Yes","No"))</f>
        <v/>
      </c>
      <c r="BM318" s="25" t="n"/>
      <c r="BN318" s="25" t="n"/>
      <c r="BO318" s="25">
        <f>IF(OR(BM318="",BN318=""),"",BM318+BN318)</f>
        <v/>
      </c>
      <c r="BP318" s="25" t="n"/>
      <c r="BQ318" s="25">
        <f>IF(OR(BP318="",BO318=""),"",BP318-BO318)</f>
        <v/>
      </c>
      <c r="BR318" s="26">
        <f>IF(OR(BP318="",BP318=0,BQ318=""),"",BQ318/BP318)</f>
        <v/>
      </c>
      <c r="BS318" s="24" t="n"/>
      <c r="BT318" s="29" t="n"/>
      <c r="BU318" s="29" t="n"/>
      <c r="BV318" s="23" t="n"/>
      <c r="BW318" s="23" t="n"/>
      <c r="BX318" s="29">
        <f>IF(OR(BT318="",BU318=""),"",BT318-BU318)</f>
        <v/>
      </c>
      <c r="BY318" s="23" t="n"/>
      <c r="BZ318" s="24" t="n"/>
      <c r="CA318" s="23" t="n"/>
      <c r="CB318" s="23" t="n"/>
    </row>
    <row r="319">
      <c r="A319" s="16">
        <f>IF(C319="","","AYN-"&amp;IFERROR(VLOOKUP(E319,CATEGORY_PREFIX_TABLE,2,FALSE),"OTH")&amp;"-"&amp;TEXT(ROW()-2,"0000"))</f>
        <v/>
      </c>
      <c r="B319" s="17" t="n"/>
      <c r="C319" s="16" t="n"/>
      <c r="D319" s="16" t="n"/>
      <c r="E319" s="16" t="n"/>
      <c r="F319" s="16" t="n"/>
      <c r="G319" s="16" t="n"/>
      <c r="H319" s="16" t="n"/>
      <c r="I319" s="16" t="n"/>
      <c r="J319" s="16" t="n"/>
      <c r="K319" s="18">
        <f>IF(I319="","",IF(J319="BDT",I319,IF(J319="USD",I319*USD_BDT,IF(J319="RMB",I319*RMB_BDT,""))))</f>
        <v/>
      </c>
      <c r="L319" s="18" t="n"/>
      <c r="M319" s="19" t="n"/>
      <c r="N319" s="18" t="n"/>
      <c r="O319" s="18">
        <f>IF(K319="","",K319+IFERROR(L319,0)+(K319*IF(M319="",CUSTOMS_PCT,M319))+IF(N319="",MISC_FEE,N319))</f>
        <v/>
      </c>
      <c r="P319" s="18">
        <f>IF(O319="","",ROUND(O319*(1+MARKUP_PCT),-1)-1)</f>
        <v/>
      </c>
      <c r="Q319" s="18">
        <f>IF(P319="","",P319-O319)</f>
        <v/>
      </c>
      <c r="R319" s="19">
        <f>IF(OR(P319="",P319=0),"",Q319/P319)</f>
        <v/>
      </c>
      <c r="S319" s="16" t="n"/>
      <c r="T319" s="16" t="n"/>
      <c r="U319" s="16" t="n"/>
      <c r="V319" s="16" t="n"/>
      <c r="W319" s="16" t="n"/>
      <c r="X319" s="16" t="n"/>
      <c r="Y319" s="16" t="n"/>
      <c r="Z319" s="16" t="n"/>
      <c r="AA319" s="16" t="n"/>
      <c r="AB319" s="16" t="n"/>
      <c r="AC319" s="20">
        <f>IF(COUNT(S319:AB319)&lt;10,"",(S319*W_FEMININE+T319*W_TREND+U319*W_AESTHETIC+V319*W_STYLE+W319*W_LIGHT+X319*W_REELS+Y319*W_GIFT+Z319*W_PRICEFIT+AA319*W_DEMAND+AB319*W_QUALITY)/5*100)</f>
        <v/>
      </c>
      <c r="AD319" s="16">
        <f>IF(P319="","",IF(P319&gt;HARD_REJECT_PRICE,"Reject",IF(P319&gt;MAX_PRICE,"Price Review",IF(AC319="","",IF(AND(AC319&gt;=BUY_THRESHOLD,OR(AB319&lt;=2,U319&lt;=2)),"Maybe",IF(AC319&gt;=BUY_THRESHOLD,"Buy",IF(AC319&gt;=MAYBE_THRESHOLD,"Maybe","Reject")))))))</f>
        <v/>
      </c>
      <c r="AE319" s="16" t="n"/>
      <c r="AF319" s="16" t="n"/>
      <c r="AG319" s="16" t="n"/>
      <c r="AH319" s="16" t="n"/>
      <c r="AI319" s="17" t="n"/>
      <c r="AJ319">
        <f>IF(AC319="",-9999-ROW()*0.0000001,AC319-ROW()*0.0000001)</f>
        <v/>
      </c>
      <c r="AK319">
        <f>IF(OR(AC319="",P319="",P319&gt;MAX_PRICE),-9999-ROW()*0.0000001,AC319-ROW()*0.0000001)</f>
        <v/>
      </c>
      <c r="AL319">
        <f>IF(AC319="",-9999-ROW()*0.0000001,X319*1000+AC319-ROW()*0.0000001)</f>
        <v/>
      </c>
      <c r="AM319">
        <f>IF(AC319="",-9999-ROW()*0.0000001,Y319*1000+AC319-ROW()*0.0000001)</f>
        <v/>
      </c>
      <c r="AN319">
        <f>IF(AND(OR(AD319="Maybe",AD319="Price Review"),AG319&lt;&gt;"Approved",AG319&lt;&gt;"Rejected"),IF(AC319="",0,AC319)-ROW()*0.0000001,-9999-ROW()*0.0000001)</f>
        <v/>
      </c>
      <c r="AO319" s="21" t="n"/>
      <c r="AP319" s="21" t="n"/>
      <c r="AQ319" s="22" t="n"/>
      <c r="AR319" s="22" t="n"/>
      <c r="AS319" s="16" t="n"/>
      <c r="AT319" s="22" t="n"/>
      <c r="AU319" s="22" t="n"/>
      <c r="AV319" s="22" t="n"/>
      <c r="AW319" s="18">
        <f>IF(OR(O319="",AV319=""),"",O319*AV319)</f>
        <v/>
      </c>
      <c r="AX319" s="16" t="n"/>
      <c r="AY319" s="16" t="n"/>
      <c r="AZ319" s="16" t="n"/>
      <c r="BA319" s="16" t="n"/>
      <c r="BB319" s="16" t="n"/>
      <c r="BC319" s="18" t="n"/>
      <c r="BD319" s="16" t="n"/>
      <c r="BE319" s="16">
        <f>IF(C319="","",IF(AND(ISNUMBER(P319),P319&gt;MAX_PRICE),"Price too high",IF(AND(ISNUMBER(AB319),AB319&lt;=2),"Quality risk",IF(AND(ISNUMBER(U319),U319&lt;=2),"Aesthetic mismatch",IF(AY319="High","Too fragile",IF(AND(ISNUMBER(R319),R319&lt;LOW_PROFIT_PCT),"Low profit",IF(AND(ISNUMBER(AT319),AT319&gt;MOQ_WARNING),"MOQ too high",IF(OR(AD319="Maybe",AD319="Price Review"),"Needs partner review",IF(AD319="Buy","Good candidate","")))))))))</f>
        <v/>
      </c>
      <c r="BF319" s="16" t="n"/>
      <c r="BG319" s="16" t="n"/>
      <c r="BH319" s="16" t="n"/>
      <c r="BI319" s="16" t="n"/>
      <c r="BJ319" s="16" t="n"/>
      <c r="BK319" s="16" t="n"/>
      <c r="BL319" s="16">
        <f>IF(C319="","",IF(AND(BG319="Yes",BH319="Yes",BI319="Yes",BJ319="Yes",BK319="Yes"),"Yes","No"))</f>
        <v/>
      </c>
      <c r="BM319" s="18" t="n"/>
      <c r="BN319" s="18" t="n"/>
      <c r="BO319" s="18">
        <f>IF(OR(BM319="",BN319=""),"",BM319+BN319)</f>
        <v/>
      </c>
      <c r="BP319" s="18" t="n"/>
      <c r="BQ319" s="18">
        <f>IF(OR(BP319="",BO319=""),"",BP319-BO319)</f>
        <v/>
      </c>
      <c r="BR319" s="19">
        <f>IF(OR(BP319="",BP319=0,BQ319=""),"",BQ319/BP319)</f>
        <v/>
      </c>
      <c r="BS319" s="17" t="n"/>
      <c r="BT319" s="22" t="n"/>
      <c r="BU319" s="22" t="n"/>
      <c r="BV319" s="16" t="n"/>
      <c r="BW319" s="16" t="n"/>
      <c r="BX319" s="22">
        <f>IF(OR(BT319="",BU319=""),"",BT319-BU319)</f>
        <v/>
      </c>
      <c r="BY319" s="16" t="n"/>
      <c r="BZ319" s="17" t="n"/>
      <c r="CA319" s="16" t="n"/>
      <c r="CB319" s="16" t="n"/>
    </row>
    <row r="320">
      <c r="A320" s="23">
        <f>IF(C320="","","AYN-"&amp;IFERROR(VLOOKUP(E320,CATEGORY_PREFIX_TABLE,2,FALSE),"OTH")&amp;"-"&amp;TEXT(ROW()-2,"0000"))</f>
        <v/>
      </c>
      <c r="B320" s="24" t="n"/>
      <c r="C320" s="23" t="n"/>
      <c r="D320" s="23" t="n"/>
      <c r="E320" s="23" t="n"/>
      <c r="F320" s="23" t="n"/>
      <c r="G320" s="23" t="n"/>
      <c r="H320" s="23" t="n"/>
      <c r="I320" s="23" t="n"/>
      <c r="J320" s="23" t="n"/>
      <c r="K320" s="25">
        <f>IF(I320="","",IF(J320="BDT",I320,IF(J320="USD",I320*USD_BDT,IF(J320="RMB",I320*RMB_BDT,""))))</f>
        <v/>
      </c>
      <c r="L320" s="25" t="n"/>
      <c r="M320" s="26" t="n"/>
      <c r="N320" s="25" t="n"/>
      <c r="O320" s="25">
        <f>IF(K320="","",K320+IFERROR(L320,0)+(K320*IF(M320="",CUSTOMS_PCT,M320))+IF(N320="",MISC_FEE,N320))</f>
        <v/>
      </c>
      <c r="P320" s="25">
        <f>IF(O320="","",ROUND(O320*(1+MARKUP_PCT),-1)-1)</f>
        <v/>
      </c>
      <c r="Q320" s="25">
        <f>IF(P320="","",P320-O320)</f>
        <v/>
      </c>
      <c r="R320" s="26">
        <f>IF(OR(P320="",P320=0),"",Q320/P320)</f>
        <v/>
      </c>
      <c r="S320" s="23" t="n"/>
      <c r="T320" s="23" t="n"/>
      <c r="U320" s="23" t="n"/>
      <c r="V320" s="23" t="n"/>
      <c r="W320" s="23" t="n"/>
      <c r="X320" s="23" t="n"/>
      <c r="Y320" s="23" t="n"/>
      <c r="Z320" s="23" t="n"/>
      <c r="AA320" s="23" t="n"/>
      <c r="AB320" s="23" t="n"/>
      <c r="AC320" s="27">
        <f>IF(COUNT(S320:AB320)&lt;10,"",(S320*W_FEMININE+T320*W_TREND+U320*W_AESTHETIC+V320*W_STYLE+W320*W_LIGHT+X320*W_REELS+Y320*W_GIFT+Z320*W_PRICEFIT+AA320*W_DEMAND+AB320*W_QUALITY)/5*100)</f>
        <v/>
      </c>
      <c r="AD320" s="23">
        <f>IF(P320="","",IF(P320&gt;HARD_REJECT_PRICE,"Reject",IF(P320&gt;MAX_PRICE,"Price Review",IF(AC320="","",IF(AND(AC320&gt;=BUY_THRESHOLD,OR(AB320&lt;=2,U320&lt;=2)),"Maybe",IF(AC320&gt;=BUY_THRESHOLD,"Buy",IF(AC320&gt;=MAYBE_THRESHOLD,"Maybe","Reject")))))))</f>
        <v/>
      </c>
      <c r="AE320" s="23" t="n"/>
      <c r="AF320" s="23" t="n"/>
      <c r="AG320" s="23" t="n"/>
      <c r="AH320" s="23" t="n"/>
      <c r="AI320" s="24" t="n"/>
      <c r="AJ320">
        <f>IF(AC320="",-9999-ROW()*0.0000001,AC320-ROW()*0.0000001)</f>
        <v/>
      </c>
      <c r="AK320">
        <f>IF(OR(AC320="",P320="",P320&gt;MAX_PRICE),-9999-ROW()*0.0000001,AC320-ROW()*0.0000001)</f>
        <v/>
      </c>
      <c r="AL320">
        <f>IF(AC320="",-9999-ROW()*0.0000001,X320*1000+AC320-ROW()*0.0000001)</f>
        <v/>
      </c>
      <c r="AM320">
        <f>IF(AC320="",-9999-ROW()*0.0000001,Y320*1000+AC320-ROW()*0.0000001)</f>
        <v/>
      </c>
      <c r="AN320">
        <f>IF(AND(OR(AD320="Maybe",AD320="Price Review"),AG320&lt;&gt;"Approved",AG320&lt;&gt;"Rejected"),IF(AC320="",0,AC320)-ROW()*0.0000001,-9999-ROW()*0.0000001)</f>
        <v/>
      </c>
      <c r="AO320" s="28" t="n"/>
      <c r="AP320" s="28" t="n"/>
      <c r="AQ320" s="29" t="n"/>
      <c r="AR320" s="29" t="n"/>
      <c r="AS320" s="23" t="n"/>
      <c r="AT320" s="29" t="n"/>
      <c r="AU320" s="29" t="n"/>
      <c r="AV320" s="29" t="n"/>
      <c r="AW320" s="25">
        <f>IF(OR(O320="",AV320=""),"",O320*AV320)</f>
        <v/>
      </c>
      <c r="AX320" s="23" t="n"/>
      <c r="AY320" s="23" t="n"/>
      <c r="AZ320" s="23" t="n"/>
      <c r="BA320" s="23" t="n"/>
      <c r="BB320" s="23" t="n"/>
      <c r="BC320" s="25" t="n"/>
      <c r="BD320" s="23" t="n"/>
      <c r="BE320" s="23">
        <f>IF(C320="","",IF(AND(ISNUMBER(P320),P320&gt;MAX_PRICE),"Price too high",IF(AND(ISNUMBER(AB320),AB320&lt;=2),"Quality risk",IF(AND(ISNUMBER(U320),U320&lt;=2),"Aesthetic mismatch",IF(AY320="High","Too fragile",IF(AND(ISNUMBER(R320),R320&lt;LOW_PROFIT_PCT),"Low profit",IF(AND(ISNUMBER(AT320),AT320&gt;MOQ_WARNING),"MOQ too high",IF(OR(AD320="Maybe",AD320="Price Review"),"Needs partner review",IF(AD320="Buy","Good candidate","")))))))))</f>
        <v/>
      </c>
      <c r="BF320" s="23" t="n"/>
      <c r="BG320" s="23" t="n"/>
      <c r="BH320" s="23" t="n"/>
      <c r="BI320" s="23" t="n"/>
      <c r="BJ320" s="23" t="n"/>
      <c r="BK320" s="23" t="n"/>
      <c r="BL320" s="23">
        <f>IF(C320="","",IF(AND(BG320="Yes",BH320="Yes",BI320="Yes",BJ320="Yes",BK320="Yes"),"Yes","No"))</f>
        <v/>
      </c>
      <c r="BM320" s="25" t="n"/>
      <c r="BN320" s="25" t="n"/>
      <c r="BO320" s="25">
        <f>IF(OR(BM320="",BN320=""),"",BM320+BN320)</f>
        <v/>
      </c>
      <c r="BP320" s="25" t="n"/>
      <c r="BQ320" s="25">
        <f>IF(OR(BP320="",BO320=""),"",BP320-BO320)</f>
        <v/>
      </c>
      <c r="BR320" s="26">
        <f>IF(OR(BP320="",BP320=0,BQ320=""),"",BQ320/BP320)</f>
        <v/>
      </c>
      <c r="BS320" s="24" t="n"/>
      <c r="BT320" s="29" t="n"/>
      <c r="BU320" s="29" t="n"/>
      <c r="BV320" s="23" t="n"/>
      <c r="BW320" s="23" t="n"/>
      <c r="BX320" s="29">
        <f>IF(OR(BT320="",BU320=""),"",BT320-BU320)</f>
        <v/>
      </c>
      <c r="BY320" s="23" t="n"/>
      <c r="BZ320" s="24" t="n"/>
      <c r="CA320" s="23" t="n"/>
      <c r="CB320" s="23" t="n"/>
    </row>
    <row r="321">
      <c r="A321" s="16">
        <f>IF(C321="","","AYN-"&amp;IFERROR(VLOOKUP(E321,CATEGORY_PREFIX_TABLE,2,FALSE),"OTH")&amp;"-"&amp;TEXT(ROW()-2,"0000"))</f>
        <v/>
      </c>
      <c r="B321" s="17" t="n"/>
      <c r="C321" s="16" t="n"/>
      <c r="D321" s="16" t="n"/>
      <c r="E321" s="16" t="n"/>
      <c r="F321" s="16" t="n"/>
      <c r="G321" s="16" t="n"/>
      <c r="H321" s="16" t="n"/>
      <c r="I321" s="16" t="n"/>
      <c r="J321" s="16" t="n"/>
      <c r="K321" s="18">
        <f>IF(I321="","",IF(J321="BDT",I321,IF(J321="USD",I321*USD_BDT,IF(J321="RMB",I321*RMB_BDT,""))))</f>
        <v/>
      </c>
      <c r="L321" s="18" t="n"/>
      <c r="M321" s="19" t="n"/>
      <c r="N321" s="18" t="n"/>
      <c r="O321" s="18">
        <f>IF(K321="","",K321+IFERROR(L321,0)+(K321*IF(M321="",CUSTOMS_PCT,M321))+IF(N321="",MISC_FEE,N321))</f>
        <v/>
      </c>
      <c r="P321" s="18">
        <f>IF(O321="","",ROUND(O321*(1+MARKUP_PCT),-1)-1)</f>
        <v/>
      </c>
      <c r="Q321" s="18">
        <f>IF(P321="","",P321-O321)</f>
        <v/>
      </c>
      <c r="R321" s="19">
        <f>IF(OR(P321="",P321=0),"",Q321/P321)</f>
        <v/>
      </c>
      <c r="S321" s="16" t="n"/>
      <c r="T321" s="16" t="n"/>
      <c r="U321" s="16" t="n"/>
      <c r="V321" s="16" t="n"/>
      <c r="W321" s="16" t="n"/>
      <c r="X321" s="16" t="n"/>
      <c r="Y321" s="16" t="n"/>
      <c r="Z321" s="16" t="n"/>
      <c r="AA321" s="16" t="n"/>
      <c r="AB321" s="16" t="n"/>
      <c r="AC321" s="20">
        <f>IF(COUNT(S321:AB321)&lt;10,"",(S321*W_FEMININE+T321*W_TREND+U321*W_AESTHETIC+V321*W_STYLE+W321*W_LIGHT+X321*W_REELS+Y321*W_GIFT+Z321*W_PRICEFIT+AA321*W_DEMAND+AB321*W_QUALITY)/5*100)</f>
        <v/>
      </c>
      <c r="AD321" s="16">
        <f>IF(P321="","",IF(P321&gt;HARD_REJECT_PRICE,"Reject",IF(P321&gt;MAX_PRICE,"Price Review",IF(AC321="","",IF(AND(AC321&gt;=BUY_THRESHOLD,OR(AB321&lt;=2,U321&lt;=2)),"Maybe",IF(AC321&gt;=BUY_THRESHOLD,"Buy",IF(AC321&gt;=MAYBE_THRESHOLD,"Maybe","Reject")))))))</f>
        <v/>
      </c>
      <c r="AE321" s="16" t="n"/>
      <c r="AF321" s="16" t="n"/>
      <c r="AG321" s="16" t="n"/>
      <c r="AH321" s="16" t="n"/>
      <c r="AI321" s="17" t="n"/>
      <c r="AJ321">
        <f>IF(AC321="",-9999-ROW()*0.0000001,AC321-ROW()*0.0000001)</f>
        <v/>
      </c>
      <c r="AK321">
        <f>IF(OR(AC321="",P321="",P321&gt;MAX_PRICE),-9999-ROW()*0.0000001,AC321-ROW()*0.0000001)</f>
        <v/>
      </c>
      <c r="AL321">
        <f>IF(AC321="",-9999-ROW()*0.0000001,X321*1000+AC321-ROW()*0.0000001)</f>
        <v/>
      </c>
      <c r="AM321">
        <f>IF(AC321="",-9999-ROW()*0.0000001,Y321*1000+AC321-ROW()*0.0000001)</f>
        <v/>
      </c>
      <c r="AN321">
        <f>IF(AND(OR(AD321="Maybe",AD321="Price Review"),AG321&lt;&gt;"Approved",AG321&lt;&gt;"Rejected"),IF(AC321="",0,AC321)-ROW()*0.0000001,-9999-ROW()*0.0000001)</f>
        <v/>
      </c>
      <c r="AO321" s="21" t="n"/>
      <c r="AP321" s="21" t="n"/>
      <c r="AQ321" s="22" t="n"/>
      <c r="AR321" s="22" t="n"/>
      <c r="AS321" s="16" t="n"/>
      <c r="AT321" s="22" t="n"/>
      <c r="AU321" s="22" t="n"/>
      <c r="AV321" s="22" t="n"/>
      <c r="AW321" s="18">
        <f>IF(OR(O321="",AV321=""),"",O321*AV321)</f>
        <v/>
      </c>
      <c r="AX321" s="16" t="n"/>
      <c r="AY321" s="16" t="n"/>
      <c r="AZ321" s="16" t="n"/>
      <c r="BA321" s="16" t="n"/>
      <c r="BB321" s="16" t="n"/>
      <c r="BC321" s="18" t="n"/>
      <c r="BD321" s="16" t="n"/>
      <c r="BE321" s="16">
        <f>IF(C321="","",IF(AND(ISNUMBER(P321),P321&gt;MAX_PRICE),"Price too high",IF(AND(ISNUMBER(AB321),AB321&lt;=2),"Quality risk",IF(AND(ISNUMBER(U321),U321&lt;=2),"Aesthetic mismatch",IF(AY321="High","Too fragile",IF(AND(ISNUMBER(R321),R321&lt;LOW_PROFIT_PCT),"Low profit",IF(AND(ISNUMBER(AT321),AT321&gt;MOQ_WARNING),"MOQ too high",IF(OR(AD321="Maybe",AD321="Price Review"),"Needs partner review",IF(AD321="Buy","Good candidate","")))))))))</f>
        <v/>
      </c>
      <c r="BF321" s="16" t="n"/>
      <c r="BG321" s="16" t="n"/>
      <c r="BH321" s="16" t="n"/>
      <c r="BI321" s="16" t="n"/>
      <c r="BJ321" s="16" t="n"/>
      <c r="BK321" s="16" t="n"/>
      <c r="BL321" s="16">
        <f>IF(C321="","",IF(AND(BG321="Yes",BH321="Yes",BI321="Yes",BJ321="Yes",BK321="Yes"),"Yes","No"))</f>
        <v/>
      </c>
      <c r="BM321" s="18" t="n"/>
      <c r="BN321" s="18" t="n"/>
      <c r="BO321" s="18">
        <f>IF(OR(BM321="",BN321=""),"",BM321+BN321)</f>
        <v/>
      </c>
      <c r="BP321" s="18" t="n"/>
      <c r="BQ321" s="18">
        <f>IF(OR(BP321="",BO321=""),"",BP321-BO321)</f>
        <v/>
      </c>
      <c r="BR321" s="19">
        <f>IF(OR(BP321="",BP321=0,BQ321=""),"",BQ321/BP321)</f>
        <v/>
      </c>
      <c r="BS321" s="17" t="n"/>
      <c r="BT321" s="22" t="n"/>
      <c r="BU321" s="22" t="n"/>
      <c r="BV321" s="16" t="n"/>
      <c r="BW321" s="16" t="n"/>
      <c r="BX321" s="22">
        <f>IF(OR(BT321="",BU321=""),"",BT321-BU321)</f>
        <v/>
      </c>
      <c r="BY321" s="16" t="n"/>
      <c r="BZ321" s="17" t="n"/>
      <c r="CA321" s="16" t="n"/>
      <c r="CB321" s="16" t="n"/>
    </row>
    <row r="322">
      <c r="A322" s="23">
        <f>IF(C322="","","AYN-"&amp;IFERROR(VLOOKUP(E322,CATEGORY_PREFIX_TABLE,2,FALSE),"OTH")&amp;"-"&amp;TEXT(ROW()-2,"0000"))</f>
        <v/>
      </c>
      <c r="B322" s="24" t="n"/>
      <c r="C322" s="23" t="n"/>
      <c r="D322" s="23" t="n"/>
      <c r="E322" s="23" t="n"/>
      <c r="F322" s="23" t="n"/>
      <c r="G322" s="23" t="n"/>
      <c r="H322" s="23" t="n"/>
      <c r="I322" s="23" t="n"/>
      <c r="J322" s="23" t="n"/>
      <c r="K322" s="25">
        <f>IF(I322="","",IF(J322="BDT",I322,IF(J322="USD",I322*USD_BDT,IF(J322="RMB",I322*RMB_BDT,""))))</f>
        <v/>
      </c>
      <c r="L322" s="25" t="n"/>
      <c r="M322" s="26" t="n"/>
      <c r="N322" s="25" t="n"/>
      <c r="O322" s="25">
        <f>IF(K322="","",K322+IFERROR(L322,0)+(K322*IF(M322="",CUSTOMS_PCT,M322))+IF(N322="",MISC_FEE,N322))</f>
        <v/>
      </c>
      <c r="P322" s="25">
        <f>IF(O322="","",ROUND(O322*(1+MARKUP_PCT),-1)-1)</f>
        <v/>
      </c>
      <c r="Q322" s="25">
        <f>IF(P322="","",P322-O322)</f>
        <v/>
      </c>
      <c r="R322" s="26">
        <f>IF(OR(P322="",P322=0),"",Q322/P322)</f>
        <v/>
      </c>
      <c r="S322" s="23" t="n"/>
      <c r="T322" s="23" t="n"/>
      <c r="U322" s="23" t="n"/>
      <c r="V322" s="23" t="n"/>
      <c r="W322" s="23" t="n"/>
      <c r="X322" s="23" t="n"/>
      <c r="Y322" s="23" t="n"/>
      <c r="Z322" s="23" t="n"/>
      <c r="AA322" s="23" t="n"/>
      <c r="AB322" s="23" t="n"/>
      <c r="AC322" s="27">
        <f>IF(COUNT(S322:AB322)&lt;10,"",(S322*W_FEMININE+T322*W_TREND+U322*W_AESTHETIC+V322*W_STYLE+W322*W_LIGHT+X322*W_REELS+Y322*W_GIFT+Z322*W_PRICEFIT+AA322*W_DEMAND+AB322*W_QUALITY)/5*100)</f>
        <v/>
      </c>
      <c r="AD322" s="23">
        <f>IF(P322="","",IF(P322&gt;HARD_REJECT_PRICE,"Reject",IF(P322&gt;MAX_PRICE,"Price Review",IF(AC322="","",IF(AND(AC322&gt;=BUY_THRESHOLD,OR(AB322&lt;=2,U322&lt;=2)),"Maybe",IF(AC322&gt;=BUY_THRESHOLD,"Buy",IF(AC322&gt;=MAYBE_THRESHOLD,"Maybe","Reject")))))))</f>
        <v/>
      </c>
      <c r="AE322" s="23" t="n"/>
      <c r="AF322" s="23" t="n"/>
      <c r="AG322" s="23" t="n"/>
      <c r="AH322" s="23" t="n"/>
      <c r="AI322" s="24" t="n"/>
      <c r="AJ322">
        <f>IF(AC322="",-9999-ROW()*0.0000001,AC322-ROW()*0.0000001)</f>
        <v/>
      </c>
      <c r="AK322">
        <f>IF(OR(AC322="",P322="",P322&gt;MAX_PRICE),-9999-ROW()*0.0000001,AC322-ROW()*0.0000001)</f>
        <v/>
      </c>
      <c r="AL322">
        <f>IF(AC322="",-9999-ROW()*0.0000001,X322*1000+AC322-ROW()*0.0000001)</f>
        <v/>
      </c>
      <c r="AM322">
        <f>IF(AC322="",-9999-ROW()*0.0000001,Y322*1000+AC322-ROW()*0.0000001)</f>
        <v/>
      </c>
      <c r="AN322">
        <f>IF(AND(OR(AD322="Maybe",AD322="Price Review"),AG322&lt;&gt;"Approved",AG322&lt;&gt;"Rejected"),IF(AC322="",0,AC322)-ROW()*0.0000001,-9999-ROW()*0.0000001)</f>
        <v/>
      </c>
      <c r="AO322" s="28" t="n"/>
      <c r="AP322" s="28" t="n"/>
      <c r="AQ322" s="29" t="n"/>
      <c r="AR322" s="29" t="n"/>
      <c r="AS322" s="23" t="n"/>
      <c r="AT322" s="29" t="n"/>
      <c r="AU322" s="29" t="n"/>
      <c r="AV322" s="29" t="n"/>
      <c r="AW322" s="25">
        <f>IF(OR(O322="",AV322=""),"",O322*AV322)</f>
        <v/>
      </c>
      <c r="AX322" s="23" t="n"/>
      <c r="AY322" s="23" t="n"/>
      <c r="AZ322" s="23" t="n"/>
      <c r="BA322" s="23" t="n"/>
      <c r="BB322" s="23" t="n"/>
      <c r="BC322" s="25" t="n"/>
      <c r="BD322" s="23" t="n"/>
      <c r="BE322" s="23">
        <f>IF(C322="","",IF(AND(ISNUMBER(P322),P322&gt;MAX_PRICE),"Price too high",IF(AND(ISNUMBER(AB322),AB322&lt;=2),"Quality risk",IF(AND(ISNUMBER(U322),U322&lt;=2),"Aesthetic mismatch",IF(AY322="High","Too fragile",IF(AND(ISNUMBER(R322),R322&lt;LOW_PROFIT_PCT),"Low profit",IF(AND(ISNUMBER(AT322),AT322&gt;MOQ_WARNING),"MOQ too high",IF(OR(AD322="Maybe",AD322="Price Review"),"Needs partner review",IF(AD322="Buy","Good candidate","")))))))))</f>
        <v/>
      </c>
      <c r="BF322" s="23" t="n"/>
      <c r="BG322" s="23" t="n"/>
      <c r="BH322" s="23" t="n"/>
      <c r="BI322" s="23" t="n"/>
      <c r="BJ322" s="23" t="n"/>
      <c r="BK322" s="23" t="n"/>
      <c r="BL322" s="23">
        <f>IF(C322="","",IF(AND(BG322="Yes",BH322="Yes",BI322="Yes",BJ322="Yes",BK322="Yes"),"Yes","No"))</f>
        <v/>
      </c>
      <c r="BM322" s="25" t="n"/>
      <c r="BN322" s="25" t="n"/>
      <c r="BO322" s="25">
        <f>IF(OR(BM322="",BN322=""),"",BM322+BN322)</f>
        <v/>
      </c>
      <c r="BP322" s="25" t="n"/>
      <c r="BQ322" s="25">
        <f>IF(OR(BP322="",BO322=""),"",BP322-BO322)</f>
        <v/>
      </c>
      <c r="BR322" s="26">
        <f>IF(OR(BP322="",BP322=0,BQ322=""),"",BQ322/BP322)</f>
        <v/>
      </c>
      <c r="BS322" s="24" t="n"/>
      <c r="BT322" s="29" t="n"/>
      <c r="BU322" s="29" t="n"/>
      <c r="BV322" s="23" t="n"/>
      <c r="BW322" s="23" t="n"/>
      <c r="BX322" s="29">
        <f>IF(OR(BT322="",BU322=""),"",BT322-BU322)</f>
        <v/>
      </c>
      <c r="BY322" s="23" t="n"/>
      <c r="BZ322" s="24" t="n"/>
      <c r="CA322" s="23" t="n"/>
      <c r="CB322" s="23" t="n"/>
    </row>
    <row r="323">
      <c r="A323" s="16">
        <f>IF(C323="","","AYN-"&amp;IFERROR(VLOOKUP(E323,CATEGORY_PREFIX_TABLE,2,FALSE),"OTH")&amp;"-"&amp;TEXT(ROW()-2,"0000"))</f>
        <v/>
      </c>
      <c r="B323" s="17" t="n"/>
      <c r="C323" s="16" t="n"/>
      <c r="D323" s="16" t="n"/>
      <c r="E323" s="16" t="n"/>
      <c r="F323" s="16" t="n"/>
      <c r="G323" s="16" t="n"/>
      <c r="H323" s="16" t="n"/>
      <c r="I323" s="16" t="n"/>
      <c r="J323" s="16" t="n"/>
      <c r="K323" s="18">
        <f>IF(I323="","",IF(J323="BDT",I323,IF(J323="USD",I323*USD_BDT,IF(J323="RMB",I323*RMB_BDT,""))))</f>
        <v/>
      </c>
      <c r="L323" s="18" t="n"/>
      <c r="M323" s="19" t="n"/>
      <c r="N323" s="18" t="n"/>
      <c r="O323" s="18">
        <f>IF(K323="","",K323+IFERROR(L323,0)+(K323*IF(M323="",CUSTOMS_PCT,M323))+IF(N323="",MISC_FEE,N323))</f>
        <v/>
      </c>
      <c r="P323" s="18">
        <f>IF(O323="","",ROUND(O323*(1+MARKUP_PCT),-1)-1)</f>
        <v/>
      </c>
      <c r="Q323" s="18">
        <f>IF(P323="","",P323-O323)</f>
        <v/>
      </c>
      <c r="R323" s="19">
        <f>IF(OR(P323="",P323=0),"",Q323/P323)</f>
        <v/>
      </c>
      <c r="S323" s="16" t="n"/>
      <c r="T323" s="16" t="n"/>
      <c r="U323" s="16" t="n"/>
      <c r="V323" s="16" t="n"/>
      <c r="W323" s="16" t="n"/>
      <c r="X323" s="16" t="n"/>
      <c r="Y323" s="16" t="n"/>
      <c r="Z323" s="16" t="n"/>
      <c r="AA323" s="16" t="n"/>
      <c r="AB323" s="16" t="n"/>
      <c r="AC323" s="20">
        <f>IF(COUNT(S323:AB323)&lt;10,"",(S323*W_FEMININE+T323*W_TREND+U323*W_AESTHETIC+V323*W_STYLE+W323*W_LIGHT+X323*W_REELS+Y323*W_GIFT+Z323*W_PRICEFIT+AA323*W_DEMAND+AB323*W_QUALITY)/5*100)</f>
        <v/>
      </c>
      <c r="AD323" s="16">
        <f>IF(P323="","",IF(P323&gt;HARD_REJECT_PRICE,"Reject",IF(P323&gt;MAX_PRICE,"Price Review",IF(AC323="","",IF(AND(AC323&gt;=BUY_THRESHOLD,OR(AB323&lt;=2,U323&lt;=2)),"Maybe",IF(AC323&gt;=BUY_THRESHOLD,"Buy",IF(AC323&gt;=MAYBE_THRESHOLD,"Maybe","Reject")))))))</f>
        <v/>
      </c>
      <c r="AE323" s="16" t="n"/>
      <c r="AF323" s="16" t="n"/>
      <c r="AG323" s="16" t="n"/>
      <c r="AH323" s="16" t="n"/>
      <c r="AI323" s="17" t="n"/>
      <c r="AJ323">
        <f>IF(AC323="",-9999-ROW()*0.0000001,AC323-ROW()*0.0000001)</f>
        <v/>
      </c>
      <c r="AK323">
        <f>IF(OR(AC323="",P323="",P323&gt;MAX_PRICE),-9999-ROW()*0.0000001,AC323-ROW()*0.0000001)</f>
        <v/>
      </c>
      <c r="AL323">
        <f>IF(AC323="",-9999-ROW()*0.0000001,X323*1000+AC323-ROW()*0.0000001)</f>
        <v/>
      </c>
      <c r="AM323">
        <f>IF(AC323="",-9999-ROW()*0.0000001,Y323*1000+AC323-ROW()*0.0000001)</f>
        <v/>
      </c>
      <c r="AN323">
        <f>IF(AND(OR(AD323="Maybe",AD323="Price Review"),AG323&lt;&gt;"Approved",AG323&lt;&gt;"Rejected"),IF(AC323="",0,AC323)-ROW()*0.0000001,-9999-ROW()*0.0000001)</f>
        <v/>
      </c>
      <c r="AO323" s="21" t="n"/>
      <c r="AP323" s="21" t="n"/>
      <c r="AQ323" s="22" t="n"/>
      <c r="AR323" s="22" t="n"/>
      <c r="AS323" s="16" t="n"/>
      <c r="AT323" s="22" t="n"/>
      <c r="AU323" s="22" t="n"/>
      <c r="AV323" s="22" t="n"/>
      <c r="AW323" s="18">
        <f>IF(OR(O323="",AV323=""),"",O323*AV323)</f>
        <v/>
      </c>
      <c r="AX323" s="16" t="n"/>
      <c r="AY323" s="16" t="n"/>
      <c r="AZ323" s="16" t="n"/>
      <c r="BA323" s="16" t="n"/>
      <c r="BB323" s="16" t="n"/>
      <c r="BC323" s="18" t="n"/>
      <c r="BD323" s="16" t="n"/>
      <c r="BE323" s="16">
        <f>IF(C323="","",IF(AND(ISNUMBER(P323),P323&gt;MAX_PRICE),"Price too high",IF(AND(ISNUMBER(AB323),AB323&lt;=2),"Quality risk",IF(AND(ISNUMBER(U323),U323&lt;=2),"Aesthetic mismatch",IF(AY323="High","Too fragile",IF(AND(ISNUMBER(R323),R323&lt;LOW_PROFIT_PCT),"Low profit",IF(AND(ISNUMBER(AT323),AT323&gt;MOQ_WARNING),"MOQ too high",IF(OR(AD323="Maybe",AD323="Price Review"),"Needs partner review",IF(AD323="Buy","Good candidate","")))))))))</f>
        <v/>
      </c>
      <c r="BF323" s="16" t="n"/>
      <c r="BG323" s="16" t="n"/>
      <c r="BH323" s="16" t="n"/>
      <c r="BI323" s="16" t="n"/>
      <c r="BJ323" s="16" t="n"/>
      <c r="BK323" s="16" t="n"/>
      <c r="BL323" s="16">
        <f>IF(C323="","",IF(AND(BG323="Yes",BH323="Yes",BI323="Yes",BJ323="Yes",BK323="Yes"),"Yes","No"))</f>
        <v/>
      </c>
      <c r="BM323" s="18" t="n"/>
      <c r="BN323" s="18" t="n"/>
      <c r="BO323" s="18">
        <f>IF(OR(BM323="",BN323=""),"",BM323+BN323)</f>
        <v/>
      </c>
      <c r="BP323" s="18" t="n"/>
      <c r="BQ323" s="18">
        <f>IF(OR(BP323="",BO323=""),"",BP323-BO323)</f>
        <v/>
      </c>
      <c r="BR323" s="19">
        <f>IF(OR(BP323="",BP323=0,BQ323=""),"",BQ323/BP323)</f>
        <v/>
      </c>
      <c r="BS323" s="17" t="n"/>
      <c r="BT323" s="22" t="n"/>
      <c r="BU323" s="22" t="n"/>
      <c r="BV323" s="16" t="n"/>
      <c r="BW323" s="16" t="n"/>
      <c r="BX323" s="22">
        <f>IF(OR(BT323="",BU323=""),"",BT323-BU323)</f>
        <v/>
      </c>
      <c r="BY323" s="16" t="n"/>
      <c r="BZ323" s="17" t="n"/>
      <c r="CA323" s="16" t="n"/>
      <c r="CB323" s="16" t="n"/>
    </row>
    <row r="324">
      <c r="A324" s="23">
        <f>IF(C324="","","AYN-"&amp;IFERROR(VLOOKUP(E324,CATEGORY_PREFIX_TABLE,2,FALSE),"OTH")&amp;"-"&amp;TEXT(ROW()-2,"0000"))</f>
        <v/>
      </c>
      <c r="B324" s="24" t="n"/>
      <c r="C324" s="23" t="n"/>
      <c r="D324" s="23" t="n"/>
      <c r="E324" s="23" t="n"/>
      <c r="F324" s="23" t="n"/>
      <c r="G324" s="23" t="n"/>
      <c r="H324" s="23" t="n"/>
      <c r="I324" s="23" t="n"/>
      <c r="J324" s="23" t="n"/>
      <c r="K324" s="25">
        <f>IF(I324="","",IF(J324="BDT",I324,IF(J324="USD",I324*USD_BDT,IF(J324="RMB",I324*RMB_BDT,""))))</f>
        <v/>
      </c>
      <c r="L324" s="25" t="n"/>
      <c r="M324" s="26" t="n"/>
      <c r="N324" s="25" t="n"/>
      <c r="O324" s="25">
        <f>IF(K324="","",K324+IFERROR(L324,0)+(K324*IF(M324="",CUSTOMS_PCT,M324))+IF(N324="",MISC_FEE,N324))</f>
        <v/>
      </c>
      <c r="P324" s="25">
        <f>IF(O324="","",ROUND(O324*(1+MARKUP_PCT),-1)-1)</f>
        <v/>
      </c>
      <c r="Q324" s="25">
        <f>IF(P324="","",P324-O324)</f>
        <v/>
      </c>
      <c r="R324" s="26">
        <f>IF(OR(P324="",P324=0),"",Q324/P324)</f>
        <v/>
      </c>
      <c r="S324" s="23" t="n"/>
      <c r="T324" s="23" t="n"/>
      <c r="U324" s="23" t="n"/>
      <c r="V324" s="23" t="n"/>
      <c r="W324" s="23" t="n"/>
      <c r="X324" s="23" t="n"/>
      <c r="Y324" s="23" t="n"/>
      <c r="Z324" s="23" t="n"/>
      <c r="AA324" s="23" t="n"/>
      <c r="AB324" s="23" t="n"/>
      <c r="AC324" s="27">
        <f>IF(COUNT(S324:AB324)&lt;10,"",(S324*W_FEMININE+T324*W_TREND+U324*W_AESTHETIC+V324*W_STYLE+W324*W_LIGHT+X324*W_REELS+Y324*W_GIFT+Z324*W_PRICEFIT+AA324*W_DEMAND+AB324*W_QUALITY)/5*100)</f>
        <v/>
      </c>
      <c r="AD324" s="23">
        <f>IF(P324="","",IF(P324&gt;HARD_REJECT_PRICE,"Reject",IF(P324&gt;MAX_PRICE,"Price Review",IF(AC324="","",IF(AND(AC324&gt;=BUY_THRESHOLD,OR(AB324&lt;=2,U324&lt;=2)),"Maybe",IF(AC324&gt;=BUY_THRESHOLD,"Buy",IF(AC324&gt;=MAYBE_THRESHOLD,"Maybe","Reject")))))))</f>
        <v/>
      </c>
      <c r="AE324" s="23" t="n"/>
      <c r="AF324" s="23" t="n"/>
      <c r="AG324" s="23" t="n"/>
      <c r="AH324" s="23" t="n"/>
      <c r="AI324" s="24" t="n"/>
      <c r="AJ324">
        <f>IF(AC324="",-9999-ROW()*0.0000001,AC324-ROW()*0.0000001)</f>
        <v/>
      </c>
      <c r="AK324">
        <f>IF(OR(AC324="",P324="",P324&gt;MAX_PRICE),-9999-ROW()*0.0000001,AC324-ROW()*0.0000001)</f>
        <v/>
      </c>
      <c r="AL324">
        <f>IF(AC324="",-9999-ROW()*0.0000001,X324*1000+AC324-ROW()*0.0000001)</f>
        <v/>
      </c>
      <c r="AM324">
        <f>IF(AC324="",-9999-ROW()*0.0000001,Y324*1000+AC324-ROW()*0.0000001)</f>
        <v/>
      </c>
      <c r="AN324">
        <f>IF(AND(OR(AD324="Maybe",AD324="Price Review"),AG324&lt;&gt;"Approved",AG324&lt;&gt;"Rejected"),IF(AC324="",0,AC324)-ROW()*0.0000001,-9999-ROW()*0.0000001)</f>
        <v/>
      </c>
      <c r="AO324" s="28" t="n"/>
      <c r="AP324" s="28" t="n"/>
      <c r="AQ324" s="29" t="n"/>
      <c r="AR324" s="29" t="n"/>
      <c r="AS324" s="23" t="n"/>
      <c r="AT324" s="29" t="n"/>
      <c r="AU324" s="29" t="n"/>
      <c r="AV324" s="29" t="n"/>
      <c r="AW324" s="25">
        <f>IF(OR(O324="",AV324=""),"",O324*AV324)</f>
        <v/>
      </c>
      <c r="AX324" s="23" t="n"/>
      <c r="AY324" s="23" t="n"/>
      <c r="AZ324" s="23" t="n"/>
      <c r="BA324" s="23" t="n"/>
      <c r="BB324" s="23" t="n"/>
      <c r="BC324" s="25" t="n"/>
      <c r="BD324" s="23" t="n"/>
      <c r="BE324" s="23">
        <f>IF(C324="","",IF(AND(ISNUMBER(P324),P324&gt;MAX_PRICE),"Price too high",IF(AND(ISNUMBER(AB324),AB324&lt;=2),"Quality risk",IF(AND(ISNUMBER(U324),U324&lt;=2),"Aesthetic mismatch",IF(AY324="High","Too fragile",IF(AND(ISNUMBER(R324),R324&lt;LOW_PROFIT_PCT),"Low profit",IF(AND(ISNUMBER(AT324),AT324&gt;MOQ_WARNING),"MOQ too high",IF(OR(AD324="Maybe",AD324="Price Review"),"Needs partner review",IF(AD324="Buy","Good candidate","")))))))))</f>
        <v/>
      </c>
      <c r="BF324" s="23" t="n"/>
      <c r="BG324" s="23" t="n"/>
      <c r="BH324" s="23" t="n"/>
      <c r="BI324" s="23" t="n"/>
      <c r="BJ324" s="23" t="n"/>
      <c r="BK324" s="23" t="n"/>
      <c r="BL324" s="23">
        <f>IF(C324="","",IF(AND(BG324="Yes",BH324="Yes",BI324="Yes",BJ324="Yes",BK324="Yes"),"Yes","No"))</f>
        <v/>
      </c>
      <c r="BM324" s="25" t="n"/>
      <c r="BN324" s="25" t="n"/>
      <c r="BO324" s="25">
        <f>IF(OR(BM324="",BN324=""),"",BM324+BN324)</f>
        <v/>
      </c>
      <c r="BP324" s="25" t="n"/>
      <c r="BQ324" s="25">
        <f>IF(OR(BP324="",BO324=""),"",BP324-BO324)</f>
        <v/>
      </c>
      <c r="BR324" s="26">
        <f>IF(OR(BP324="",BP324=0,BQ324=""),"",BQ324/BP324)</f>
        <v/>
      </c>
      <c r="BS324" s="24" t="n"/>
      <c r="BT324" s="29" t="n"/>
      <c r="BU324" s="29" t="n"/>
      <c r="BV324" s="23" t="n"/>
      <c r="BW324" s="23" t="n"/>
      <c r="BX324" s="29">
        <f>IF(OR(BT324="",BU324=""),"",BT324-BU324)</f>
        <v/>
      </c>
      <c r="BY324" s="23" t="n"/>
      <c r="BZ324" s="24" t="n"/>
      <c r="CA324" s="23" t="n"/>
      <c r="CB324" s="23" t="n"/>
    </row>
    <row r="325">
      <c r="A325" s="16">
        <f>IF(C325="","","AYN-"&amp;IFERROR(VLOOKUP(E325,CATEGORY_PREFIX_TABLE,2,FALSE),"OTH")&amp;"-"&amp;TEXT(ROW()-2,"0000"))</f>
        <v/>
      </c>
      <c r="B325" s="17" t="n"/>
      <c r="C325" s="16" t="n"/>
      <c r="D325" s="16" t="n"/>
      <c r="E325" s="16" t="n"/>
      <c r="F325" s="16" t="n"/>
      <c r="G325" s="16" t="n"/>
      <c r="H325" s="16" t="n"/>
      <c r="I325" s="16" t="n"/>
      <c r="J325" s="16" t="n"/>
      <c r="K325" s="18">
        <f>IF(I325="","",IF(J325="BDT",I325,IF(J325="USD",I325*USD_BDT,IF(J325="RMB",I325*RMB_BDT,""))))</f>
        <v/>
      </c>
      <c r="L325" s="18" t="n"/>
      <c r="M325" s="19" t="n"/>
      <c r="N325" s="18" t="n"/>
      <c r="O325" s="18">
        <f>IF(K325="","",K325+IFERROR(L325,0)+(K325*IF(M325="",CUSTOMS_PCT,M325))+IF(N325="",MISC_FEE,N325))</f>
        <v/>
      </c>
      <c r="P325" s="18">
        <f>IF(O325="","",ROUND(O325*(1+MARKUP_PCT),-1)-1)</f>
        <v/>
      </c>
      <c r="Q325" s="18">
        <f>IF(P325="","",P325-O325)</f>
        <v/>
      </c>
      <c r="R325" s="19">
        <f>IF(OR(P325="",P325=0),"",Q325/P325)</f>
        <v/>
      </c>
      <c r="S325" s="16" t="n"/>
      <c r="T325" s="16" t="n"/>
      <c r="U325" s="16" t="n"/>
      <c r="V325" s="16" t="n"/>
      <c r="W325" s="16" t="n"/>
      <c r="X325" s="16" t="n"/>
      <c r="Y325" s="16" t="n"/>
      <c r="Z325" s="16" t="n"/>
      <c r="AA325" s="16" t="n"/>
      <c r="AB325" s="16" t="n"/>
      <c r="AC325" s="20">
        <f>IF(COUNT(S325:AB325)&lt;10,"",(S325*W_FEMININE+T325*W_TREND+U325*W_AESTHETIC+V325*W_STYLE+W325*W_LIGHT+X325*W_REELS+Y325*W_GIFT+Z325*W_PRICEFIT+AA325*W_DEMAND+AB325*W_QUALITY)/5*100)</f>
        <v/>
      </c>
      <c r="AD325" s="16">
        <f>IF(P325="","",IF(P325&gt;HARD_REJECT_PRICE,"Reject",IF(P325&gt;MAX_PRICE,"Price Review",IF(AC325="","",IF(AND(AC325&gt;=BUY_THRESHOLD,OR(AB325&lt;=2,U325&lt;=2)),"Maybe",IF(AC325&gt;=BUY_THRESHOLD,"Buy",IF(AC325&gt;=MAYBE_THRESHOLD,"Maybe","Reject")))))))</f>
        <v/>
      </c>
      <c r="AE325" s="16" t="n"/>
      <c r="AF325" s="16" t="n"/>
      <c r="AG325" s="16" t="n"/>
      <c r="AH325" s="16" t="n"/>
      <c r="AI325" s="17" t="n"/>
      <c r="AJ325">
        <f>IF(AC325="",-9999-ROW()*0.0000001,AC325-ROW()*0.0000001)</f>
        <v/>
      </c>
      <c r="AK325">
        <f>IF(OR(AC325="",P325="",P325&gt;MAX_PRICE),-9999-ROW()*0.0000001,AC325-ROW()*0.0000001)</f>
        <v/>
      </c>
      <c r="AL325">
        <f>IF(AC325="",-9999-ROW()*0.0000001,X325*1000+AC325-ROW()*0.0000001)</f>
        <v/>
      </c>
      <c r="AM325">
        <f>IF(AC325="",-9999-ROW()*0.0000001,Y325*1000+AC325-ROW()*0.0000001)</f>
        <v/>
      </c>
      <c r="AN325">
        <f>IF(AND(OR(AD325="Maybe",AD325="Price Review"),AG325&lt;&gt;"Approved",AG325&lt;&gt;"Rejected"),IF(AC325="",0,AC325)-ROW()*0.0000001,-9999-ROW()*0.0000001)</f>
        <v/>
      </c>
      <c r="AO325" s="21" t="n"/>
      <c r="AP325" s="21" t="n"/>
      <c r="AQ325" s="22" t="n"/>
      <c r="AR325" s="22" t="n"/>
      <c r="AS325" s="16" t="n"/>
      <c r="AT325" s="22" t="n"/>
      <c r="AU325" s="22" t="n"/>
      <c r="AV325" s="22" t="n"/>
      <c r="AW325" s="18">
        <f>IF(OR(O325="",AV325=""),"",O325*AV325)</f>
        <v/>
      </c>
      <c r="AX325" s="16" t="n"/>
      <c r="AY325" s="16" t="n"/>
      <c r="AZ325" s="16" t="n"/>
      <c r="BA325" s="16" t="n"/>
      <c r="BB325" s="16" t="n"/>
      <c r="BC325" s="18" t="n"/>
      <c r="BD325" s="16" t="n"/>
      <c r="BE325" s="16">
        <f>IF(C325="","",IF(AND(ISNUMBER(P325),P325&gt;MAX_PRICE),"Price too high",IF(AND(ISNUMBER(AB325),AB325&lt;=2),"Quality risk",IF(AND(ISNUMBER(U325),U325&lt;=2),"Aesthetic mismatch",IF(AY325="High","Too fragile",IF(AND(ISNUMBER(R325),R325&lt;LOW_PROFIT_PCT),"Low profit",IF(AND(ISNUMBER(AT325),AT325&gt;MOQ_WARNING),"MOQ too high",IF(OR(AD325="Maybe",AD325="Price Review"),"Needs partner review",IF(AD325="Buy","Good candidate","")))))))))</f>
        <v/>
      </c>
      <c r="BF325" s="16" t="n"/>
      <c r="BG325" s="16" t="n"/>
      <c r="BH325" s="16" t="n"/>
      <c r="BI325" s="16" t="n"/>
      <c r="BJ325" s="16" t="n"/>
      <c r="BK325" s="16" t="n"/>
      <c r="BL325" s="16">
        <f>IF(C325="","",IF(AND(BG325="Yes",BH325="Yes",BI325="Yes",BJ325="Yes",BK325="Yes"),"Yes","No"))</f>
        <v/>
      </c>
      <c r="BM325" s="18" t="n"/>
      <c r="BN325" s="18" t="n"/>
      <c r="BO325" s="18">
        <f>IF(OR(BM325="",BN325=""),"",BM325+BN325)</f>
        <v/>
      </c>
      <c r="BP325" s="18" t="n"/>
      <c r="BQ325" s="18">
        <f>IF(OR(BP325="",BO325=""),"",BP325-BO325)</f>
        <v/>
      </c>
      <c r="BR325" s="19">
        <f>IF(OR(BP325="",BP325=0,BQ325=""),"",BQ325/BP325)</f>
        <v/>
      </c>
      <c r="BS325" s="17" t="n"/>
      <c r="BT325" s="22" t="n"/>
      <c r="BU325" s="22" t="n"/>
      <c r="BV325" s="16" t="n"/>
      <c r="BW325" s="16" t="n"/>
      <c r="BX325" s="22">
        <f>IF(OR(BT325="",BU325=""),"",BT325-BU325)</f>
        <v/>
      </c>
      <c r="BY325" s="16" t="n"/>
      <c r="BZ325" s="17" t="n"/>
      <c r="CA325" s="16" t="n"/>
      <c r="CB325" s="16" t="n"/>
    </row>
    <row r="326">
      <c r="A326" s="23">
        <f>IF(C326="","","AYN-"&amp;IFERROR(VLOOKUP(E326,CATEGORY_PREFIX_TABLE,2,FALSE),"OTH")&amp;"-"&amp;TEXT(ROW()-2,"0000"))</f>
        <v/>
      </c>
      <c r="B326" s="24" t="n"/>
      <c r="C326" s="23" t="n"/>
      <c r="D326" s="23" t="n"/>
      <c r="E326" s="23" t="n"/>
      <c r="F326" s="23" t="n"/>
      <c r="G326" s="23" t="n"/>
      <c r="H326" s="23" t="n"/>
      <c r="I326" s="23" t="n"/>
      <c r="J326" s="23" t="n"/>
      <c r="K326" s="25">
        <f>IF(I326="","",IF(J326="BDT",I326,IF(J326="USD",I326*USD_BDT,IF(J326="RMB",I326*RMB_BDT,""))))</f>
        <v/>
      </c>
      <c r="L326" s="25" t="n"/>
      <c r="M326" s="26" t="n"/>
      <c r="N326" s="25" t="n"/>
      <c r="O326" s="25">
        <f>IF(K326="","",K326+IFERROR(L326,0)+(K326*IF(M326="",CUSTOMS_PCT,M326))+IF(N326="",MISC_FEE,N326))</f>
        <v/>
      </c>
      <c r="P326" s="25">
        <f>IF(O326="","",ROUND(O326*(1+MARKUP_PCT),-1)-1)</f>
        <v/>
      </c>
      <c r="Q326" s="25">
        <f>IF(P326="","",P326-O326)</f>
        <v/>
      </c>
      <c r="R326" s="26">
        <f>IF(OR(P326="",P326=0),"",Q326/P326)</f>
        <v/>
      </c>
      <c r="S326" s="23" t="n"/>
      <c r="T326" s="23" t="n"/>
      <c r="U326" s="23" t="n"/>
      <c r="V326" s="23" t="n"/>
      <c r="W326" s="23" t="n"/>
      <c r="X326" s="23" t="n"/>
      <c r="Y326" s="23" t="n"/>
      <c r="Z326" s="23" t="n"/>
      <c r="AA326" s="23" t="n"/>
      <c r="AB326" s="23" t="n"/>
      <c r="AC326" s="27">
        <f>IF(COUNT(S326:AB326)&lt;10,"",(S326*W_FEMININE+T326*W_TREND+U326*W_AESTHETIC+V326*W_STYLE+W326*W_LIGHT+X326*W_REELS+Y326*W_GIFT+Z326*W_PRICEFIT+AA326*W_DEMAND+AB326*W_QUALITY)/5*100)</f>
        <v/>
      </c>
      <c r="AD326" s="23">
        <f>IF(P326="","",IF(P326&gt;HARD_REJECT_PRICE,"Reject",IF(P326&gt;MAX_PRICE,"Price Review",IF(AC326="","",IF(AND(AC326&gt;=BUY_THRESHOLD,OR(AB326&lt;=2,U326&lt;=2)),"Maybe",IF(AC326&gt;=BUY_THRESHOLD,"Buy",IF(AC326&gt;=MAYBE_THRESHOLD,"Maybe","Reject")))))))</f>
        <v/>
      </c>
      <c r="AE326" s="23" t="n"/>
      <c r="AF326" s="23" t="n"/>
      <c r="AG326" s="23" t="n"/>
      <c r="AH326" s="23" t="n"/>
      <c r="AI326" s="24" t="n"/>
      <c r="AJ326">
        <f>IF(AC326="",-9999-ROW()*0.0000001,AC326-ROW()*0.0000001)</f>
        <v/>
      </c>
      <c r="AK326">
        <f>IF(OR(AC326="",P326="",P326&gt;MAX_PRICE),-9999-ROW()*0.0000001,AC326-ROW()*0.0000001)</f>
        <v/>
      </c>
      <c r="AL326">
        <f>IF(AC326="",-9999-ROW()*0.0000001,X326*1000+AC326-ROW()*0.0000001)</f>
        <v/>
      </c>
      <c r="AM326">
        <f>IF(AC326="",-9999-ROW()*0.0000001,Y326*1000+AC326-ROW()*0.0000001)</f>
        <v/>
      </c>
      <c r="AN326">
        <f>IF(AND(OR(AD326="Maybe",AD326="Price Review"),AG326&lt;&gt;"Approved",AG326&lt;&gt;"Rejected"),IF(AC326="",0,AC326)-ROW()*0.0000001,-9999-ROW()*0.0000001)</f>
        <v/>
      </c>
      <c r="AO326" s="28" t="n"/>
      <c r="AP326" s="28" t="n"/>
      <c r="AQ326" s="29" t="n"/>
      <c r="AR326" s="29" t="n"/>
      <c r="AS326" s="23" t="n"/>
      <c r="AT326" s="29" t="n"/>
      <c r="AU326" s="29" t="n"/>
      <c r="AV326" s="29" t="n"/>
      <c r="AW326" s="25">
        <f>IF(OR(O326="",AV326=""),"",O326*AV326)</f>
        <v/>
      </c>
      <c r="AX326" s="23" t="n"/>
      <c r="AY326" s="23" t="n"/>
      <c r="AZ326" s="23" t="n"/>
      <c r="BA326" s="23" t="n"/>
      <c r="BB326" s="23" t="n"/>
      <c r="BC326" s="25" t="n"/>
      <c r="BD326" s="23" t="n"/>
      <c r="BE326" s="23">
        <f>IF(C326="","",IF(AND(ISNUMBER(P326),P326&gt;MAX_PRICE),"Price too high",IF(AND(ISNUMBER(AB326),AB326&lt;=2),"Quality risk",IF(AND(ISNUMBER(U326),U326&lt;=2),"Aesthetic mismatch",IF(AY326="High","Too fragile",IF(AND(ISNUMBER(R326),R326&lt;LOW_PROFIT_PCT),"Low profit",IF(AND(ISNUMBER(AT326),AT326&gt;MOQ_WARNING),"MOQ too high",IF(OR(AD326="Maybe",AD326="Price Review"),"Needs partner review",IF(AD326="Buy","Good candidate","")))))))))</f>
        <v/>
      </c>
      <c r="BF326" s="23" t="n"/>
      <c r="BG326" s="23" t="n"/>
      <c r="BH326" s="23" t="n"/>
      <c r="BI326" s="23" t="n"/>
      <c r="BJ326" s="23" t="n"/>
      <c r="BK326" s="23" t="n"/>
      <c r="BL326" s="23">
        <f>IF(C326="","",IF(AND(BG326="Yes",BH326="Yes",BI326="Yes",BJ326="Yes",BK326="Yes"),"Yes","No"))</f>
        <v/>
      </c>
      <c r="BM326" s="25" t="n"/>
      <c r="BN326" s="25" t="n"/>
      <c r="BO326" s="25">
        <f>IF(OR(BM326="",BN326=""),"",BM326+BN326)</f>
        <v/>
      </c>
      <c r="BP326" s="25" t="n"/>
      <c r="BQ326" s="25">
        <f>IF(OR(BP326="",BO326=""),"",BP326-BO326)</f>
        <v/>
      </c>
      <c r="BR326" s="26">
        <f>IF(OR(BP326="",BP326=0,BQ326=""),"",BQ326/BP326)</f>
        <v/>
      </c>
      <c r="BS326" s="24" t="n"/>
      <c r="BT326" s="29" t="n"/>
      <c r="BU326" s="29" t="n"/>
      <c r="BV326" s="23" t="n"/>
      <c r="BW326" s="23" t="n"/>
      <c r="BX326" s="29">
        <f>IF(OR(BT326="",BU326=""),"",BT326-BU326)</f>
        <v/>
      </c>
      <c r="BY326" s="23" t="n"/>
      <c r="BZ326" s="24" t="n"/>
      <c r="CA326" s="23" t="n"/>
      <c r="CB326" s="23" t="n"/>
    </row>
    <row r="327">
      <c r="A327" s="16">
        <f>IF(C327="","","AYN-"&amp;IFERROR(VLOOKUP(E327,CATEGORY_PREFIX_TABLE,2,FALSE),"OTH")&amp;"-"&amp;TEXT(ROW()-2,"0000"))</f>
        <v/>
      </c>
      <c r="B327" s="17" t="n"/>
      <c r="C327" s="16" t="n"/>
      <c r="D327" s="16" t="n"/>
      <c r="E327" s="16" t="n"/>
      <c r="F327" s="16" t="n"/>
      <c r="G327" s="16" t="n"/>
      <c r="H327" s="16" t="n"/>
      <c r="I327" s="16" t="n"/>
      <c r="J327" s="16" t="n"/>
      <c r="K327" s="18">
        <f>IF(I327="","",IF(J327="BDT",I327,IF(J327="USD",I327*USD_BDT,IF(J327="RMB",I327*RMB_BDT,""))))</f>
        <v/>
      </c>
      <c r="L327" s="18" t="n"/>
      <c r="M327" s="19" t="n"/>
      <c r="N327" s="18" t="n"/>
      <c r="O327" s="18">
        <f>IF(K327="","",K327+IFERROR(L327,0)+(K327*IF(M327="",CUSTOMS_PCT,M327))+IF(N327="",MISC_FEE,N327))</f>
        <v/>
      </c>
      <c r="P327" s="18">
        <f>IF(O327="","",ROUND(O327*(1+MARKUP_PCT),-1)-1)</f>
        <v/>
      </c>
      <c r="Q327" s="18">
        <f>IF(P327="","",P327-O327)</f>
        <v/>
      </c>
      <c r="R327" s="19">
        <f>IF(OR(P327="",P327=0),"",Q327/P327)</f>
        <v/>
      </c>
      <c r="S327" s="16" t="n"/>
      <c r="T327" s="16" t="n"/>
      <c r="U327" s="16" t="n"/>
      <c r="V327" s="16" t="n"/>
      <c r="W327" s="16" t="n"/>
      <c r="X327" s="16" t="n"/>
      <c r="Y327" s="16" t="n"/>
      <c r="Z327" s="16" t="n"/>
      <c r="AA327" s="16" t="n"/>
      <c r="AB327" s="16" t="n"/>
      <c r="AC327" s="20">
        <f>IF(COUNT(S327:AB327)&lt;10,"",(S327*W_FEMININE+T327*W_TREND+U327*W_AESTHETIC+V327*W_STYLE+W327*W_LIGHT+X327*W_REELS+Y327*W_GIFT+Z327*W_PRICEFIT+AA327*W_DEMAND+AB327*W_QUALITY)/5*100)</f>
        <v/>
      </c>
      <c r="AD327" s="16">
        <f>IF(P327="","",IF(P327&gt;HARD_REJECT_PRICE,"Reject",IF(P327&gt;MAX_PRICE,"Price Review",IF(AC327="","",IF(AND(AC327&gt;=BUY_THRESHOLD,OR(AB327&lt;=2,U327&lt;=2)),"Maybe",IF(AC327&gt;=BUY_THRESHOLD,"Buy",IF(AC327&gt;=MAYBE_THRESHOLD,"Maybe","Reject")))))))</f>
        <v/>
      </c>
      <c r="AE327" s="16" t="n"/>
      <c r="AF327" s="16" t="n"/>
      <c r="AG327" s="16" t="n"/>
      <c r="AH327" s="16" t="n"/>
      <c r="AI327" s="17" t="n"/>
      <c r="AJ327">
        <f>IF(AC327="",-9999-ROW()*0.0000001,AC327-ROW()*0.0000001)</f>
        <v/>
      </c>
      <c r="AK327">
        <f>IF(OR(AC327="",P327="",P327&gt;MAX_PRICE),-9999-ROW()*0.0000001,AC327-ROW()*0.0000001)</f>
        <v/>
      </c>
      <c r="AL327">
        <f>IF(AC327="",-9999-ROW()*0.0000001,X327*1000+AC327-ROW()*0.0000001)</f>
        <v/>
      </c>
      <c r="AM327">
        <f>IF(AC327="",-9999-ROW()*0.0000001,Y327*1000+AC327-ROW()*0.0000001)</f>
        <v/>
      </c>
      <c r="AN327">
        <f>IF(AND(OR(AD327="Maybe",AD327="Price Review"),AG327&lt;&gt;"Approved",AG327&lt;&gt;"Rejected"),IF(AC327="",0,AC327)-ROW()*0.0000001,-9999-ROW()*0.0000001)</f>
        <v/>
      </c>
      <c r="AO327" s="21" t="n"/>
      <c r="AP327" s="21" t="n"/>
      <c r="AQ327" s="22" t="n"/>
      <c r="AR327" s="22" t="n"/>
      <c r="AS327" s="16" t="n"/>
      <c r="AT327" s="22" t="n"/>
      <c r="AU327" s="22" t="n"/>
      <c r="AV327" s="22" t="n"/>
      <c r="AW327" s="18">
        <f>IF(OR(O327="",AV327=""),"",O327*AV327)</f>
        <v/>
      </c>
      <c r="AX327" s="16" t="n"/>
      <c r="AY327" s="16" t="n"/>
      <c r="AZ327" s="16" t="n"/>
      <c r="BA327" s="16" t="n"/>
      <c r="BB327" s="16" t="n"/>
      <c r="BC327" s="18" t="n"/>
      <c r="BD327" s="16" t="n"/>
      <c r="BE327" s="16">
        <f>IF(C327="","",IF(AND(ISNUMBER(P327),P327&gt;MAX_PRICE),"Price too high",IF(AND(ISNUMBER(AB327),AB327&lt;=2),"Quality risk",IF(AND(ISNUMBER(U327),U327&lt;=2),"Aesthetic mismatch",IF(AY327="High","Too fragile",IF(AND(ISNUMBER(R327),R327&lt;LOW_PROFIT_PCT),"Low profit",IF(AND(ISNUMBER(AT327),AT327&gt;MOQ_WARNING),"MOQ too high",IF(OR(AD327="Maybe",AD327="Price Review"),"Needs partner review",IF(AD327="Buy","Good candidate","")))))))))</f>
        <v/>
      </c>
      <c r="BF327" s="16" t="n"/>
      <c r="BG327" s="16" t="n"/>
      <c r="BH327" s="16" t="n"/>
      <c r="BI327" s="16" t="n"/>
      <c r="BJ327" s="16" t="n"/>
      <c r="BK327" s="16" t="n"/>
      <c r="BL327" s="16">
        <f>IF(C327="","",IF(AND(BG327="Yes",BH327="Yes",BI327="Yes",BJ327="Yes",BK327="Yes"),"Yes","No"))</f>
        <v/>
      </c>
      <c r="BM327" s="18" t="n"/>
      <c r="BN327" s="18" t="n"/>
      <c r="BO327" s="18">
        <f>IF(OR(BM327="",BN327=""),"",BM327+BN327)</f>
        <v/>
      </c>
      <c r="BP327" s="18" t="n"/>
      <c r="BQ327" s="18">
        <f>IF(OR(BP327="",BO327=""),"",BP327-BO327)</f>
        <v/>
      </c>
      <c r="BR327" s="19">
        <f>IF(OR(BP327="",BP327=0,BQ327=""),"",BQ327/BP327)</f>
        <v/>
      </c>
      <c r="BS327" s="17" t="n"/>
      <c r="BT327" s="22" t="n"/>
      <c r="BU327" s="22" t="n"/>
      <c r="BV327" s="16" t="n"/>
      <c r="BW327" s="16" t="n"/>
      <c r="BX327" s="22">
        <f>IF(OR(BT327="",BU327=""),"",BT327-BU327)</f>
        <v/>
      </c>
      <c r="BY327" s="16" t="n"/>
      <c r="BZ327" s="17" t="n"/>
      <c r="CA327" s="16" t="n"/>
      <c r="CB327" s="16" t="n"/>
    </row>
    <row r="328">
      <c r="A328" s="23">
        <f>IF(C328="","","AYN-"&amp;IFERROR(VLOOKUP(E328,CATEGORY_PREFIX_TABLE,2,FALSE),"OTH")&amp;"-"&amp;TEXT(ROW()-2,"0000"))</f>
        <v/>
      </c>
      <c r="B328" s="24" t="n"/>
      <c r="C328" s="23" t="n"/>
      <c r="D328" s="23" t="n"/>
      <c r="E328" s="23" t="n"/>
      <c r="F328" s="23" t="n"/>
      <c r="G328" s="23" t="n"/>
      <c r="H328" s="23" t="n"/>
      <c r="I328" s="23" t="n"/>
      <c r="J328" s="23" t="n"/>
      <c r="K328" s="25">
        <f>IF(I328="","",IF(J328="BDT",I328,IF(J328="USD",I328*USD_BDT,IF(J328="RMB",I328*RMB_BDT,""))))</f>
        <v/>
      </c>
      <c r="L328" s="25" t="n"/>
      <c r="M328" s="26" t="n"/>
      <c r="N328" s="25" t="n"/>
      <c r="O328" s="25">
        <f>IF(K328="","",K328+IFERROR(L328,0)+(K328*IF(M328="",CUSTOMS_PCT,M328))+IF(N328="",MISC_FEE,N328))</f>
        <v/>
      </c>
      <c r="P328" s="25">
        <f>IF(O328="","",ROUND(O328*(1+MARKUP_PCT),-1)-1)</f>
        <v/>
      </c>
      <c r="Q328" s="25">
        <f>IF(P328="","",P328-O328)</f>
        <v/>
      </c>
      <c r="R328" s="26">
        <f>IF(OR(P328="",P328=0),"",Q328/P328)</f>
        <v/>
      </c>
      <c r="S328" s="23" t="n"/>
      <c r="T328" s="23" t="n"/>
      <c r="U328" s="23" t="n"/>
      <c r="V328" s="23" t="n"/>
      <c r="W328" s="23" t="n"/>
      <c r="X328" s="23" t="n"/>
      <c r="Y328" s="23" t="n"/>
      <c r="Z328" s="23" t="n"/>
      <c r="AA328" s="23" t="n"/>
      <c r="AB328" s="23" t="n"/>
      <c r="AC328" s="27">
        <f>IF(COUNT(S328:AB328)&lt;10,"",(S328*W_FEMININE+T328*W_TREND+U328*W_AESTHETIC+V328*W_STYLE+W328*W_LIGHT+X328*W_REELS+Y328*W_GIFT+Z328*W_PRICEFIT+AA328*W_DEMAND+AB328*W_QUALITY)/5*100)</f>
        <v/>
      </c>
      <c r="AD328" s="23">
        <f>IF(P328="","",IF(P328&gt;HARD_REJECT_PRICE,"Reject",IF(P328&gt;MAX_PRICE,"Price Review",IF(AC328="","",IF(AND(AC328&gt;=BUY_THRESHOLD,OR(AB328&lt;=2,U328&lt;=2)),"Maybe",IF(AC328&gt;=BUY_THRESHOLD,"Buy",IF(AC328&gt;=MAYBE_THRESHOLD,"Maybe","Reject")))))))</f>
        <v/>
      </c>
      <c r="AE328" s="23" t="n"/>
      <c r="AF328" s="23" t="n"/>
      <c r="AG328" s="23" t="n"/>
      <c r="AH328" s="23" t="n"/>
      <c r="AI328" s="24" t="n"/>
      <c r="AJ328">
        <f>IF(AC328="",-9999-ROW()*0.0000001,AC328-ROW()*0.0000001)</f>
        <v/>
      </c>
      <c r="AK328">
        <f>IF(OR(AC328="",P328="",P328&gt;MAX_PRICE),-9999-ROW()*0.0000001,AC328-ROW()*0.0000001)</f>
        <v/>
      </c>
      <c r="AL328">
        <f>IF(AC328="",-9999-ROW()*0.0000001,X328*1000+AC328-ROW()*0.0000001)</f>
        <v/>
      </c>
      <c r="AM328">
        <f>IF(AC328="",-9999-ROW()*0.0000001,Y328*1000+AC328-ROW()*0.0000001)</f>
        <v/>
      </c>
      <c r="AN328">
        <f>IF(AND(OR(AD328="Maybe",AD328="Price Review"),AG328&lt;&gt;"Approved",AG328&lt;&gt;"Rejected"),IF(AC328="",0,AC328)-ROW()*0.0000001,-9999-ROW()*0.0000001)</f>
        <v/>
      </c>
      <c r="AO328" s="28" t="n"/>
      <c r="AP328" s="28" t="n"/>
      <c r="AQ328" s="29" t="n"/>
      <c r="AR328" s="29" t="n"/>
      <c r="AS328" s="23" t="n"/>
      <c r="AT328" s="29" t="n"/>
      <c r="AU328" s="29" t="n"/>
      <c r="AV328" s="29" t="n"/>
      <c r="AW328" s="25">
        <f>IF(OR(O328="",AV328=""),"",O328*AV328)</f>
        <v/>
      </c>
      <c r="AX328" s="23" t="n"/>
      <c r="AY328" s="23" t="n"/>
      <c r="AZ328" s="23" t="n"/>
      <c r="BA328" s="23" t="n"/>
      <c r="BB328" s="23" t="n"/>
      <c r="BC328" s="25" t="n"/>
      <c r="BD328" s="23" t="n"/>
      <c r="BE328" s="23">
        <f>IF(C328="","",IF(AND(ISNUMBER(P328),P328&gt;MAX_PRICE),"Price too high",IF(AND(ISNUMBER(AB328),AB328&lt;=2),"Quality risk",IF(AND(ISNUMBER(U328),U328&lt;=2),"Aesthetic mismatch",IF(AY328="High","Too fragile",IF(AND(ISNUMBER(R328),R328&lt;LOW_PROFIT_PCT),"Low profit",IF(AND(ISNUMBER(AT328),AT328&gt;MOQ_WARNING),"MOQ too high",IF(OR(AD328="Maybe",AD328="Price Review"),"Needs partner review",IF(AD328="Buy","Good candidate","")))))))))</f>
        <v/>
      </c>
      <c r="BF328" s="23" t="n"/>
      <c r="BG328" s="23" t="n"/>
      <c r="BH328" s="23" t="n"/>
      <c r="BI328" s="23" t="n"/>
      <c r="BJ328" s="23" t="n"/>
      <c r="BK328" s="23" t="n"/>
      <c r="BL328" s="23">
        <f>IF(C328="","",IF(AND(BG328="Yes",BH328="Yes",BI328="Yes",BJ328="Yes",BK328="Yes"),"Yes","No"))</f>
        <v/>
      </c>
      <c r="BM328" s="25" t="n"/>
      <c r="BN328" s="25" t="n"/>
      <c r="BO328" s="25">
        <f>IF(OR(BM328="",BN328=""),"",BM328+BN328)</f>
        <v/>
      </c>
      <c r="BP328" s="25" t="n"/>
      <c r="BQ328" s="25">
        <f>IF(OR(BP328="",BO328=""),"",BP328-BO328)</f>
        <v/>
      </c>
      <c r="BR328" s="26">
        <f>IF(OR(BP328="",BP328=0,BQ328=""),"",BQ328/BP328)</f>
        <v/>
      </c>
      <c r="BS328" s="24" t="n"/>
      <c r="BT328" s="29" t="n"/>
      <c r="BU328" s="29" t="n"/>
      <c r="BV328" s="23" t="n"/>
      <c r="BW328" s="23" t="n"/>
      <c r="BX328" s="29">
        <f>IF(OR(BT328="",BU328=""),"",BT328-BU328)</f>
        <v/>
      </c>
      <c r="BY328" s="23" t="n"/>
      <c r="BZ328" s="24" t="n"/>
      <c r="CA328" s="23" t="n"/>
      <c r="CB328" s="23" t="n"/>
    </row>
    <row r="329">
      <c r="A329" s="16">
        <f>IF(C329="","","AYN-"&amp;IFERROR(VLOOKUP(E329,CATEGORY_PREFIX_TABLE,2,FALSE),"OTH")&amp;"-"&amp;TEXT(ROW()-2,"0000"))</f>
        <v/>
      </c>
      <c r="B329" s="17" t="n"/>
      <c r="C329" s="16" t="n"/>
      <c r="D329" s="16" t="n"/>
      <c r="E329" s="16" t="n"/>
      <c r="F329" s="16" t="n"/>
      <c r="G329" s="16" t="n"/>
      <c r="H329" s="16" t="n"/>
      <c r="I329" s="16" t="n"/>
      <c r="J329" s="16" t="n"/>
      <c r="K329" s="18">
        <f>IF(I329="","",IF(J329="BDT",I329,IF(J329="USD",I329*USD_BDT,IF(J329="RMB",I329*RMB_BDT,""))))</f>
        <v/>
      </c>
      <c r="L329" s="18" t="n"/>
      <c r="M329" s="19" t="n"/>
      <c r="N329" s="18" t="n"/>
      <c r="O329" s="18">
        <f>IF(K329="","",K329+IFERROR(L329,0)+(K329*IF(M329="",CUSTOMS_PCT,M329))+IF(N329="",MISC_FEE,N329))</f>
        <v/>
      </c>
      <c r="P329" s="18">
        <f>IF(O329="","",ROUND(O329*(1+MARKUP_PCT),-1)-1)</f>
        <v/>
      </c>
      <c r="Q329" s="18">
        <f>IF(P329="","",P329-O329)</f>
        <v/>
      </c>
      <c r="R329" s="19">
        <f>IF(OR(P329="",P329=0),"",Q329/P329)</f>
        <v/>
      </c>
      <c r="S329" s="16" t="n"/>
      <c r="T329" s="16" t="n"/>
      <c r="U329" s="16" t="n"/>
      <c r="V329" s="16" t="n"/>
      <c r="W329" s="16" t="n"/>
      <c r="X329" s="16" t="n"/>
      <c r="Y329" s="16" t="n"/>
      <c r="Z329" s="16" t="n"/>
      <c r="AA329" s="16" t="n"/>
      <c r="AB329" s="16" t="n"/>
      <c r="AC329" s="20">
        <f>IF(COUNT(S329:AB329)&lt;10,"",(S329*W_FEMININE+T329*W_TREND+U329*W_AESTHETIC+V329*W_STYLE+W329*W_LIGHT+X329*W_REELS+Y329*W_GIFT+Z329*W_PRICEFIT+AA329*W_DEMAND+AB329*W_QUALITY)/5*100)</f>
        <v/>
      </c>
      <c r="AD329" s="16">
        <f>IF(P329="","",IF(P329&gt;HARD_REJECT_PRICE,"Reject",IF(P329&gt;MAX_PRICE,"Price Review",IF(AC329="","",IF(AND(AC329&gt;=BUY_THRESHOLD,OR(AB329&lt;=2,U329&lt;=2)),"Maybe",IF(AC329&gt;=BUY_THRESHOLD,"Buy",IF(AC329&gt;=MAYBE_THRESHOLD,"Maybe","Reject")))))))</f>
        <v/>
      </c>
      <c r="AE329" s="16" t="n"/>
      <c r="AF329" s="16" t="n"/>
      <c r="AG329" s="16" t="n"/>
      <c r="AH329" s="16" t="n"/>
      <c r="AI329" s="17" t="n"/>
      <c r="AJ329">
        <f>IF(AC329="",-9999-ROW()*0.0000001,AC329-ROW()*0.0000001)</f>
        <v/>
      </c>
      <c r="AK329">
        <f>IF(OR(AC329="",P329="",P329&gt;MAX_PRICE),-9999-ROW()*0.0000001,AC329-ROW()*0.0000001)</f>
        <v/>
      </c>
      <c r="AL329">
        <f>IF(AC329="",-9999-ROW()*0.0000001,X329*1000+AC329-ROW()*0.0000001)</f>
        <v/>
      </c>
      <c r="AM329">
        <f>IF(AC329="",-9999-ROW()*0.0000001,Y329*1000+AC329-ROW()*0.0000001)</f>
        <v/>
      </c>
      <c r="AN329">
        <f>IF(AND(OR(AD329="Maybe",AD329="Price Review"),AG329&lt;&gt;"Approved",AG329&lt;&gt;"Rejected"),IF(AC329="",0,AC329)-ROW()*0.0000001,-9999-ROW()*0.0000001)</f>
        <v/>
      </c>
      <c r="AO329" s="21" t="n"/>
      <c r="AP329" s="21" t="n"/>
      <c r="AQ329" s="22" t="n"/>
      <c r="AR329" s="22" t="n"/>
      <c r="AS329" s="16" t="n"/>
      <c r="AT329" s="22" t="n"/>
      <c r="AU329" s="22" t="n"/>
      <c r="AV329" s="22" t="n"/>
      <c r="AW329" s="18">
        <f>IF(OR(O329="",AV329=""),"",O329*AV329)</f>
        <v/>
      </c>
      <c r="AX329" s="16" t="n"/>
      <c r="AY329" s="16" t="n"/>
      <c r="AZ329" s="16" t="n"/>
      <c r="BA329" s="16" t="n"/>
      <c r="BB329" s="16" t="n"/>
      <c r="BC329" s="18" t="n"/>
      <c r="BD329" s="16" t="n"/>
      <c r="BE329" s="16">
        <f>IF(C329="","",IF(AND(ISNUMBER(P329),P329&gt;MAX_PRICE),"Price too high",IF(AND(ISNUMBER(AB329),AB329&lt;=2),"Quality risk",IF(AND(ISNUMBER(U329),U329&lt;=2),"Aesthetic mismatch",IF(AY329="High","Too fragile",IF(AND(ISNUMBER(R329),R329&lt;LOW_PROFIT_PCT),"Low profit",IF(AND(ISNUMBER(AT329),AT329&gt;MOQ_WARNING),"MOQ too high",IF(OR(AD329="Maybe",AD329="Price Review"),"Needs partner review",IF(AD329="Buy","Good candidate","")))))))))</f>
        <v/>
      </c>
      <c r="BF329" s="16" t="n"/>
      <c r="BG329" s="16" t="n"/>
      <c r="BH329" s="16" t="n"/>
      <c r="BI329" s="16" t="n"/>
      <c r="BJ329" s="16" t="n"/>
      <c r="BK329" s="16" t="n"/>
      <c r="BL329" s="16">
        <f>IF(C329="","",IF(AND(BG329="Yes",BH329="Yes",BI329="Yes",BJ329="Yes",BK329="Yes"),"Yes","No"))</f>
        <v/>
      </c>
      <c r="BM329" s="18" t="n"/>
      <c r="BN329" s="18" t="n"/>
      <c r="BO329" s="18">
        <f>IF(OR(BM329="",BN329=""),"",BM329+BN329)</f>
        <v/>
      </c>
      <c r="BP329" s="18" t="n"/>
      <c r="BQ329" s="18">
        <f>IF(OR(BP329="",BO329=""),"",BP329-BO329)</f>
        <v/>
      </c>
      <c r="BR329" s="19">
        <f>IF(OR(BP329="",BP329=0,BQ329=""),"",BQ329/BP329)</f>
        <v/>
      </c>
      <c r="BS329" s="17" t="n"/>
      <c r="BT329" s="22" t="n"/>
      <c r="BU329" s="22" t="n"/>
      <c r="BV329" s="16" t="n"/>
      <c r="BW329" s="16" t="n"/>
      <c r="BX329" s="22">
        <f>IF(OR(BT329="",BU329=""),"",BT329-BU329)</f>
        <v/>
      </c>
      <c r="BY329" s="16" t="n"/>
      <c r="BZ329" s="17" t="n"/>
      <c r="CA329" s="16" t="n"/>
      <c r="CB329" s="16" t="n"/>
    </row>
    <row r="330">
      <c r="A330" s="23">
        <f>IF(C330="","","AYN-"&amp;IFERROR(VLOOKUP(E330,CATEGORY_PREFIX_TABLE,2,FALSE),"OTH")&amp;"-"&amp;TEXT(ROW()-2,"0000"))</f>
        <v/>
      </c>
      <c r="B330" s="24" t="n"/>
      <c r="C330" s="23" t="n"/>
      <c r="D330" s="23" t="n"/>
      <c r="E330" s="23" t="n"/>
      <c r="F330" s="23" t="n"/>
      <c r="G330" s="23" t="n"/>
      <c r="H330" s="23" t="n"/>
      <c r="I330" s="23" t="n"/>
      <c r="J330" s="23" t="n"/>
      <c r="K330" s="25">
        <f>IF(I330="","",IF(J330="BDT",I330,IF(J330="USD",I330*USD_BDT,IF(J330="RMB",I330*RMB_BDT,""))))</f>
        <v/>
      </c>
      <c r="L330" s="25" t="n"/>
      <c r="M330" s="26" t="n"/>
      <c r="N330" s="25" t="n"/>
      <c r="O330" s="25">
        <f>IF(K330="","",K330+IFERROR(L330,0)+(K330*IF(M330="",CUSTOMS_PCT,M330))+IF(N330="",MISC_FEE,N330))</f>
        <v/>
      </c>
      <c r="P330" s="25">
        <f>IF(O330="","",ROUND(O330*(1+MARKUP_PCT),-1)-1)</f>
        <v/>
      </c>
      <c r="Q330" s="25">
        <f>IF(P330="","",P330-O330)</f>
        <v/>
      </c>
      <c r="R330" s="26">
        <f>IF(OR(P330="",P330=0),"",Q330/P330)</f>
        <v/>
      </c>
      <c r="S330" s="23" t="n"/>
      <c r="T330" s="23" t="n"/>
      <c r="U330" s="23" t="n"/>
      <c r="V330" s="23" t="n"/>
      <c r="W330" s="23" t="n"/>
      <c r="X330" s="23" t="n"/>
      <c r="Y330" s="23" t="n"/>
      <c r="Z330" s="23" t="n"/>
      <c r="AA330" s="23" t="n"/>
      <c r="AB330" s="23" t="n"/>
      <c r="AC330" s="27">
        <f>IF(COUNT(S330:AB330)&lt;10,"",(S330*W_FEMININE+T330*W_TREND+U330*W_AESTHETIC+V330*W_STYLE+W330*W_LIGHT+X330*W_REELS+Y330*W_GIFT+Z330*W_PRICEFIT+AA330*W_DEMAND+AB330*W_QUALITY)/5*100)</f>
        <v/>
      </c>
      <c r="AD330" s="23">
        <f>IF(P330="","",IF(P330&gt;HARD_REJECT_PRICE,"Reject",IF(P330&gt;MAX_PRICE,"Price Review",IF(AC330="","",IF(AND(AC330&gt;=BUY_THRESHOLD,OR(AB330&lt;=2,U330&lt;=2)),"Maybe",IF(AC330&gt;=BUY_THRESHOLD,"Buy",IF(AC330&gt;=MAYBE_THRESHOLD,"Maybe","Reject")))))))</f>
        <v/>
      </c>
      <c r="AE330" s="23" t="n"/>
      <c r="AF330" s="23" t="n"/>
      <c r="AG330" s="23" t="n"/>
      <c r="AH330" s="23" t="n"/>
      <c r="AI330" s="24" t="n"/>
      <c r="AJ330">
        <f>IF(AC330="",-9999-ROW()*0.0000001,AC330-ROW()*0.0000001)</f>
        <v/>
      </c>
      <c r="AK330">
        <f>IF(OR(AC330="",P330="",P330&gt;MAX_PRICE),-9999-ROW()*0.0000001,AC330-ROW()*0.0000001)</f>
        <v/>
      </c>
      <c r="AL330">
        <f>IF(AC330="",-9999-ROW()*0.0000001,X330*1000+AC330-ROW()*0.0000001)</f>
        <v/>
      </c>
      <c r="AM330">
        <f>IF(AC330="",-9999-ROW()*0.0000001,Y330*1000+AC330-ROW()*0.0000001)</f>
        <v/>
      </c>
      <c r="AN330">
        <f>IF(AND(OR(AD330="Maybe",AD330="Price Review"),AG330&lt;&gt;"Approved",AG330&lt;&gt;"Rejected"),IF(AC330="",0,AC330)-ROW()*0.0000001,-9999-ROW()*0.0000001)</f>
        <v/>
      </c>
      <c r="AO330" s="28" t="n"/>
      <c r="AP330" s="28" t="n"/>
      <c r="AQ330" s="29" t="n"/>
      <c r="AR330" s="29" t="n"/>
      <c r="AS330" s="23" t="n"/>
      <c r="AT330" s="29" t="n"/>
      <c r="AU330" s="29" t="n"/>
      <c r="AV330" s="29" t="n"/>
      <c r="AW330" s="25">
        <f>IF(OR(O330="",AV330=""),"",O330*AV330)</f>
        <v/>
      </c>
      <c r="AX330" s="23" t="n"/>
      <c r="AY330" s="23" t="n"/>
      <c r="AZ330" s="23" t="n"/>
      <c r="BA330" s="23" t="n"/>
      <c r="BB330" s="23" t="n"/>
      <c r="BC330" s="25" t="n"/>
      <c r="BD330" s="23" t="n"/>
      <c r="BE330" s="23">
        <f>IF(C330="","",IF(AND(ISNUMBER(P330),P330&gt;MAX_PRICE),"Price too high",IF(AND(ISNUMBER(AB330),AB330&lt;=2),"Quality risk",IF(AND(ISNUMBER(U330),U330&lt;=2),"Aesthetic mismatch",IF(AY330="High","Too fragile",IF(AND(ISNUMBER(R330),R330&lt;LOW_PROFIT_PCT),"Low profit",IF(AND(ISNUMBER(AT330),AT330&gt;MOQ_WARNING),"MOQ too high",IF(OR(AD330="Maybe",AD330="Price Review"),"Needs partner review",IF(AD330="Buy","Good candidate","")))))))))</f>
        <v/>
      </c>
      <c r="BF330" s="23" t="n"/>
      <c r="BG330" s="23" t="n"/>
      <c r="BH330" s="23" t="n"/>
      <c r="BI330" s="23" t="n"/>
      <c r="BJ330" s="23" t="n"/>
      <c r="BK330" s="23" t="n"/>
      <c r="BL330" s="23">
        <f>IF(C330="","",IF(AND(BG330="Yes",BH330="Yes",BI330="Yes",BJ330="Yes",BK330="Yes"),"Yes","No"))</f>
        <v/>
      </c>
      <c r="BM330" s="25" t="n"/>
      <c r="BN330" s="25" t="n"/>
      <c r="BO330" s="25">
        <f>IF(OR(BM330="",BN330=""),"",BM330+BN330)</f>
        <v/>
      </c>
      <c r="BP330" s="25" t="n"/>
      <c r="BQ330" s="25">
        <f>IF(OR(BP330="",BO330=""),"",BP330-BO330)</f>
        <v/>
      </c>
      <c r="BR330" s="26">
        <f>IF(OR(BP330="",BP330=0,BQ330=""),"",BQ330/BP330)</f>
        <v/>
      </c>
      <c r="BS330" s="24" t="n"/>
      <c r="BT330" s="29" t="n"/>
      <c r="BU330" s="29" t="n"/>
      <c r="BV330" s="23" t="n"/>
      <c r="BW330" s="23" t="n"/>
      <c r="BX330" s="29">
        <f>IF(OR(BT330="",BU330=""),"",BT330-BU330)</f>
        <v/>
      </c>
      <c r="BY330" s="23" t="n"/>
      <c r="BZ330" s="24" t="n"/>
      <c r="CA330" s="23" t="n"/>
      <c r="CB330" s="23" t="n"/>
    </row>
    <row r="331">
      <c r="A331" s="16">
        <f>IF(C331="","","AYN-"&amp;IFERROR(VLOOKUP(E331,CATEGORY_PREFIX_TABLE,2,FALSE),"OTH")&amp;"-"&amp;TEXT(ROW()-2,"0000"))</f>
        <v/>
      </c>
      <c r="B331" s="17" t="n"/>
      <c r="C331" s="16" t="n"/>
      <c r="D331" s="16" t="n"/>
      <c r="E331" s="16" t="n"/>
      <c r="F331" s="16" t="n"/>
      <c r="G331" s="16" t="n"/>
      <c r="H331" s="16" t="n"/>
      <c r="I331" s="16" t="n"/>
      <c r="J331" s="16" t="n"/>
      <c r="K331" s="18">
        <f>IF(I331="","",IF(J331="BDT",I331,IF(J331="USD",I331*USD_BDT,IF(J331="RMB",I331*RMB_BDT,""))))</f>
        <v/>
      </c>
      <c r="L331" s="18" t="n"/>
      <c r="M331" s="19" t="n"/>
      <c r="N331" s="18" t="n"/>
      <c r="O331" s="18">
        <f>IF(K331="","",K331+IFERROR(L331,0)+(K331*IF(M331="",CUSTOMS_PCT,M331))+IF(N331="",MISC_FEE,N331))</f>
        <v/>
      </c>
      <c r="P331" s="18">
        <f>IF(O331="","",ROUND(O331*(1+MARKUP_PCT),-1)-1)</f>
        <v/>
      </c>
      <c r="Q331" s="18">
        <f>IF(P331="","",P331-O331)</f>
        <v/>
      </c>
      <c r="R331" s="19">
        <f>IF(OR(P331="",P331=0),"",Q331/P331)</f>
        <v/>
      </c>
      <c r="S331" s="16" t="n"/>
      <c r="T331" s="16" t="n"/>
      <c r="U331" s="16" t="n"/>
      <c r="V331" s="16" t="n"/>
      <c r="W331" s="16" t="n"/>
      <c r="X331" s="16" t="n"/>
      <c r="Y331" s="16" t="n"/>
      <c r="Z331" s="16" t="n"/>
      <c r="AA331" s="16" t="n"/>
      <c r="AB331" s="16" t="n"/>
      <c r="AC331" s="20">
        <f>IF(COUNT(S331:AB331)&lt;10,"",(S331*W_FEMININE+T331*W_TREND+U331*W_AESTHETIC+V331*W_STYLE+W331*W_LIGHT+X331*W_REELS+Y331*W_GIFT+Z331*W_PRICEFIT+AA331*W_DEMAND+AB331*W_QUALITY)/5*100)</f>
        <v/>
      </c>
      <c r="AD331" s="16">
        <f>IF(P331="","",IF(P331&gt;HARD_REJECT_PRICE,"Reject",IF(P331&gt;MAX_PRICE,"Price Review",IF(AC331="","",IF(AND(AC331&gt;=BUY_THRESHOLD,OR(AB331&lt;=2,U331&lt;=2)),"Maybe",IF(AC331&gt;=BUY_THRESHOLD,"Buy",IF(AC331&gt;=MAYBE_THRESHOLD,"Maybe","Reject")))))))</f>
        <v/>
      </c>
      <c r="AE331" s="16" t="n"/>
      <c r="AF331" s="16" t="n"/>
      <c r="AG331" s="16" t="n"/>
      <c r="AH331" s="16" t="n"/>
      <c r="AI331" s="17" t="n"/>
      <c r="AJ331">
        <f>IF(AC331="",-9999-ROW()*0.0000001,AC331-ROW()*0.0000001)</f>
        <v/>
      </c>
      <c r="AK331">
        <f>IF(OR(AC331="",P331="",P331&gt;MAX_PRICE),-9999-ROW()*0.0000001,AC331-ROW()*0.0000001)</f>
        <v/>
      </c>
      <c r="AL331">
        <f>IF(AC331="",-9999-ROW()*0.0000001,X331*1000+AC331-ROW()*0.0000001)</f>
        <v/>
      </c>
      <c r="AM331">
        <f>IF(AC331="",-9999-ROW()*0.0000001,Y331*1000+AC331-ROW()*0.0000001)</f>
        <v/>
      </c>
      <c r="AN331">
        <f>IF(AND(OR(AD331="Maybe",AD331="Price Review"),AG331&lt;&gt;"Approved",AG331&lt;&gt;"Rejected"),IF(AC331="",0,AC331)-ROW()*0.0000001,-9999-ROW()*0.0000001)</f>
        <v/>
      </c>
      <c r="AO331" s="21" t="n"/>
      <c r="AP331" s="21" t="n"/>
      <c r="AQ331" s="22" t="n"/>
      <c r="AR331" s="22" t="n"/>
      <c r="AS331" s="16" t="n"/>
      <c r="AT331" s="22" t="n"/>
      <c r="AU331" s="22" t="n"/>
      <c r="AV331" s="22" t="n"/>
      <c r="AW331" s="18">
        <f>IF(OR(O331="",AV331=""),"",O331*AV331)</f>
        <v/>
      </c>
      <c r="AX331" s="16" t="n"/>
      <c r="AY331" s="16" t="n"/>
      <c r="AZ331" s="16" t="n"/>
      <c r="BA331" s="16" t="n"/>
      <c r="BB331" s="16" t="n"/>
      <c r="BC331" s="18" t="n"/>
      <c r="BD331" s="16" t="n"/>
      <c r="BE331" s="16">
        <f>IF(C331="","",IF(AND(ISNUMBER(P331),P331&gt;MAX_PRICE),"Price too high",IF(AND(ISNUMBER(AB331),AB331&lt;=2),"Quality risk",IF(AND(ISNUMBER(U331),U331&lt;=2),"Aesthetic mismatch",IF(AY331="High","Too fragile",IF(AND(ISNUMBER(R331),R331&lt;LOW_PROFIT_PCT),"Low profit",IF(AND(ISNUMBER(AT331),AT331&gt;MOQ_WARNING),"MOQ too high",IF(OR(AD331="Maybe",AD331="Price Review"),"Needs partner review",IF(AD331="Buy","Good candidate","")))))))))</f>
        <v/>
      </c>
      <c r="BF331" s="16" t="n"/>
      <c r="BG331" s="16" t="n"/>
      <c r="BH331" s="16" t="n"/>
      <c r="BI331" s="16" t="n"/>
      <c r="BJ331" s="16" t="n"/>
      <c r="BK331" s="16" t="n"/>
      <c r="BL331" s="16">
        <f>IF(C331="","",IF(AND(BG331="Yes",BH331="Yes",BI331="Yes",BJ331="Yes",BK331="Yes"),"Yes","No"))</f>
        <v/>
      </c>
      <c r="BM331" s="18" t="n"/>
      <c r="BN331" s="18" t="n"/>
      <c r="BO331" s="18">
        <f>IF(OR(BM331="",BN331=""),"",BM331+BN331)</f>
        <v/>
      </c>
      <c r="BP331" s="18" t="n"/>
      <c r="BQ331" s="18">
        <f>IF(OR(BP331="",BO331=""),"",BP331-BO331)</f>
        <v/>
      </c>
      <c r="BR331" s="19">
        <f>IF(OR(BP331="",BP331=0,BQ331=""),"",BQ331/BP331)</f>
        <v/>
      </c>
      <c r="BS331" s="17" t="n"/>
      <c r="BT331" s="22" t="n"/>
      <c r="BU331" s="22" t="n"/>
      <c r="BV331" s="16" t="n"/>
      <c r="BW331" s="16" t="n"/>
      <c r="BX331" s="22">
        <f>IF(OR(BT331="",BU331=""),"",BT331-BU331)</f>
        <v/>
      </c>
      <c r="BY331" s="16" t="n"/>
      <c r="BZ331" s="17" t="n"/>
      <c r="CA331" s="16" t="n"/>
      <c r="CB331" s="16" t="n"/>
    </row>
    <row r="332">
      <c r="A332" s="23">
        <f>IF(C332="","","AYN-"&amp;IFERROR(VLOOKUP(E332,CATEGORY_PREFIX_TABLE,2,FALSE),"OTH")&amp;"-"&amp;TEXT(ROW()-2,"0000"))</f>
        <v/>
      </c>
      <c r="B332" s="24" t="n"/>
      <c r="C332" s="23" t="n"/>
      <c r="D332" s="23" t="n"/>
      <c r="E332" s="23" t="n"/>
      <c r="F332" s="23" t="n"/>
      <c r="G332" s="23" t="n"/>
      <c r="H332" s="23" t="n"/>
      <c r="I332" s="23" t="n"/>
      <c r="J332" s="23" t="n"/>
      <c r="K332" s="25">
        <f>IF(I332="","",IF(J332="BDT",I332,IF(J332="USD",I332*USD_BDT,IF(J332="RMB",I332*RMB_BDT,""))))</f>
        <v/>
      </c>
      <c r="L332" s="25" t="n"/>
      <c r="M332" s="26" t="n"/>
      <c r="N332" s="25" t="n"/>
      <c r="O332" s="25">
        <f>IF(K332="","",K332+IFERROR(L332,0)+(K332*IF(M332="",CUSTOMS_PCT,M332))+IF(N332="",MISC_FEE,N332))</f>
        <v/>
      </c>
      <c r="P332" s="25">
        <f>IF(O332="","",ROUND(O332*(1+MARKUP_PCT),-1)-1)</f>
        <v/>
      </c>
      <c r="Q332" s="25">
        <f>IF(P332="","",P332-O332)</f>
        <v/>
      </c>
      <c r="R332" s="26">
        <f>IF(OR(P332="",P332=0),"",Q332/P332)</f>
        <v/>
      </c>
      <c r="S332" s="23" t="n"/>
      <c r="T332" s="23" t="n"/>
      <c r="U332" s="23" t="n"/>
      <c r="V332" s="23" t="n"/>
      <c r="W332" s="23" t="n"/>
      <c r="X332" s="23" t="n"/>
      <c r="Y332" s="23" t="n"/>
      <c r="Z332" s="23" t="n"/>
      <c r="AA332" s="23" t="n"/>
      <c r="AB332" s="23" t="n"/>
      <c r="AC332" s="27">
        <f>IF(COUNT(S332:AB332)&lt;10,"",(S332*W_FEMININE+T332*W_TREND+U332*W_AESTHETIC+V332*W_STYLE+W332*W_LIGHT+X332*W_REELS+Y332*W_GIFT+Z332*W_PRICEFIT+AA332*W_DEMAND+AB332*W_QUALITY)/5*100)</f>
        <v/>
      </c>
      <c r="AD332" s="23">
        <f>IF(P332="","",IF(P332&gt;HARD_REJECT_PRICE,"Reject",IF(P332&gt;MAX_PRICE,"Price Review",IF(AC332="","",IF(AND(AC332&gt;=BUY_THRESHOLD,OR(AB332&lt;=2,U332&lt;=2)),"Maybe",IF(AC332&gt;=BUY_THRESHOLD,"Buy",IF(AC332&gt;=MAYBE_THRESHOLD,"Maybe","Reject")))))))</f>
        <v/>
      </c>
      <c r="AE332" s="23" t="n"/>
      <c r="AF332" s="23" t="n"/>
      <c r="AG332" s="23" t="n"/>
      <c r="AH332" s="23" t="n"/>
      <c r="AI332" s="24" t="n"/>
      <c r="AJ332">
        <f>IF(AC332="",-9999-ROW()*0.0000001,AC332-ROW()*0.0000001)</f>
        <v/>
      </c>
      <c r="AK332">
        <f>IF(OR(AC332="",P332="",P332&gt;MAX_PRICE),-9999-ROW()*0.0000001,AC332-ROW()*0.0000001)</f>
        <v/>
      </c>
      <c r="AL332">
        <f>IF(AC332="",-9999-ROW()*0.0000001,X332*1000+AC332-ROW()*0.0000001)</f>
        <v/>
      </c>
      <c r="AM332">
        <f>IF(AC332="",-9999-ROW()*0.0000001,Y332*1000+AC332-ROW()*0.0000001)</f>
        <v/>
      </c>
      <c r="AN332">
        <f>IF(AND(OR(AD332="Maybe",AD332="Price Review"),AG332&lt;&gt;"Approved",AG332&lt;&gt;"Rejected"),IF(AC332="",0,AC332)-ROW()*0.0000001,-9999-ROW()*0.0000001)</f>
        <v/>
      </c>
      <c r="AO332" s="28" t="n"/>
      <c r="AP332" s="28" t="n"/>
      <c r="AQ332" s="29" t="n"/>
      <c r="AR332" s="29" t="n"/>
      <c r="AS332" s="23" t="n"/>
      <c r="AT332" s="29" t="n"/>
      <c r="AU332" s="29" t="n"/>
      <c r="AV332" s="29" t="n"/>
      <c r="AW332" s="25">
        <f>IF(OR(O332="",AV332=""),"",O332*AV332)</f>
        <v/>
      </c>
      <c r="AX332" s="23" t="n"/>
      <c r="AY332" s="23" t="n"/>
      <c r="AZ332" s="23" t="n"/>
      <c r="BA332" s="23" t="n"/>
      <c r="BB332" s="23" t="n"/>
      <c r="BC332" s="25" t="n"/>
      <c r="BD332" s="23" t="n"/>
      <c r="BE332" s="23">
        <f>IF(C332="","",IF(AND(ISNUMBER(P332),P332&gt;MAX_PRICE),"Price too high",IF(AND(ISNUMBER(AB332),AB332&lt;=2),"Quality risk",IF(AND(ISNUMBER(U332),U332&lt;=2),"Aesthetic mismatch",IF(AY332="High","Too fragile",IF(AND(ISNUMBER(R332),R332&lt;LOW_PROFIT_PCT),"Low profit",IF(AND(ISNUMBER(AT332),AT332&gt;MOQ_WARNING),"MOQ too high",IF(OR(AD332="Maybe",AD332="Price Review"),"Needs partner review",IF(AD332="Buy","Good candidate","")))))))))</f>
        <v/>
      </c>
      <c r="BF332" s="23" t="n"/>
      <c r="BG332" s="23" t="n"/>
      <c r="BH332" s="23" t="n"/>
      <c r="BI332" s="23" t="n"/>
      <c r="BJ332" s="23" t="n"/>
      <c r="BK332" s="23" t="n"/>
      <c r="BL332" s="23">
        <f>IF(C332="","",IF(AND(BG332="Yes",BH332="Yes",BI332="Yes",BJ332="Yes",BK332="Yes"),"Yes","No"))</f>
        <v/>
      </c>
      <c r="BM332" s="25" t="n"/>
      <c r="BN332" s="25" t="n"/>
      <c r="BO332" s="25">
        <f>IF(OR(BM332="",BN332=""),"",BM332+BN332)</f>
        <v/>
      </c>
      <c r="BP332" s="25" t="n"/>
      <c r="BQ332" s="25">
        <f>IF(OR(BP332="",BO332=""),"",BP332-BO332)</f>
        <v/>
      </c>
      <c r="BR332" s="26">
        <f>IF(OR(BP332="",BP332=0,BQ332=""),"",BQ332/BP332)</f>
        <v/>
      </c>
      <c r="BS332" s="24" t="n"/>
      <c r="BT332" s="29" t="n"/>
      <c r="BU332" s="29" t="n"/>
      <c r="BV332" s="23" t="n"/>
      <c r="BW332" s="23" t="n"/>
      <c r="BX332" s="29">
        <f>IF(OR(BT332="",BU332=""),"",BT332-BU332)</f>
        <v/>
      </c>
      <c r="BY332" s="23" t="n"/>
      <c r="BZ332" s="24" t="n"/>
      <c r="CA332" s="23" t="n"/>
      <c r="CB332" s="23" t="n"/>
    </row>
    <row r="333">
      <c r="A333" s="16">
        <f>IF(C333="","","AYN-"&amp;IFERROR(VLOOKUP(E333,CATEGORY_PREFIX_TABLE,2,FALSE),"OTH")&amp;"-"&amp;TEXT(ROW()-2,"0000"))</f>
        <v/>
      </c>
      <c r="B333" s="17" t="n"/>
      <c r="C333" s="16" t="n"/>
      <c r="D333" s="16" t="n"/>
      <c r="E333" s="16" t="n"/>
      <c r="F333" s="16" t="n"/>
      <c r="G333" s="16" t="n"/>
      <c r="H333" s="16" t="n"/>
      <c r="I333" s="16" t="n"/>
      <c r="J333" s="16" t="n"/>
      <c r="K333" s="18">
        <f>IF(I333="","",IF(J333="BDT",I333,IF(J333="USD",I333*USD_BDT,IF(J333="RMB",I333*RMB_BDT,""))))</f>
        <v/>
      </c>
      <c r="L333" s="18" t="n"/>
      <c r="M333" s="19" t="n"/>
      <c r="N333" s="18" t="n"/>
      <c r="O333" s="18">
        <f>IF(K333="","",K333+IFERROR(L333,0)+(K333*IF(M333="",CUSTOMS_PCT,M333))+IF(N333="",MISC_FEE,N333))</f>
        <v/>
      </c>
      <c r="P333" s="18">
        <f>IF(O333="","",ROUND(O333*(1+MARKUP_PCT),-1)-1)</f>
        <v/>
      </c>
      <c r="Q333" s="18">
        <f>IF(P333="","",P333-O333)</f>
        <v/>
      </c>
      <c r="R333" s="19">
        <f>IF(OR(P333="",P333=0),"",Q333/P333)</f>
        <v/>
      </c>
      <c r="S333" s="16" t="n"/>
      <c r="T333" s="16" t="n"/>
      <c r="U333" s="16" t="n"/>
      <c r="V333" s="16" t="n"/>
      <c r="W333" s="16" t="n"/>
      <c r="X333" s="16" t="n"/>
      <c r="Y333" s="16" t="n"/>
      <c r="Z333" s="16" t="n"/>
      <c r="AA333" s="16" t="n"/>
      <c r="AB333" s="16" t="n"/>
      <c r="AC333" s="20">
        <f>IF(COUNT(S333:AB333)&lt;10,"",(S333*W_FEMININE+T333*W_TREND+U333*W_AESTHETIC+V333*W_STYLE+W333*W_LIGHT+X333*W_REELS+Y333*W_GIFT+Z333*W_PRICEFIT+AA333*W_DEMAND+AB333*W_QUALITY)/5*100)</f>
        <v/>
      </c>
      <c r="AD333" s="16">
        <f>IF(P333="","",IF(P333&gt;HARD_REJECT_PRICE,"Reject",IF(P333&gt;MAX_PRICE,"Price Review",IF(AC333="","",IF(AND(AC333&gt;=BUY_THRESHOLD,OR(AB333&lt;=2,U333&lt;=2)),"Maybe",IF(AC333&gt;=BUY_THRESHOLD,"Buy",IF(AC333&gt;=MAYBE_THRESHOLD,"Maybe","Reject")))))))</f>
        <v/>
      </c>
      <c r="AE333" s="16" t="n"/>
      <c r="AF333" s="16" t="n"/>
      <c r="AG333" s="16" t="n"/>
      <c r="AH333" s="16" t="n"/>
      <c r="AI333" s="17" t="n"/>
      <c r="AJ333">
        <f>IF(AC333="",-9999-ROW()*0.0000001,AC333-ROW()*0.0000001)</f>
        <v/>
      </c>
      <c r="AK333">
        <f>IF(OR(AC333="",P333="",P333&gt;MAX_PRICE),-9999-ROW()*0.0000001,AC333-ROW()*0.0000001)</f>
        <v/>
      </c>
      <c r="AL333">
        <f>IF(AC333="",-9999-ROW()*0.0000001,X333*1000+AC333-ROW()*0.0000001)</f>
        <v/>
      </c>
      <c r="AM333">
        <f>IF(AC333="",-9999-ROW()*0.0000001,Y333*1000+AC333-ROW()*0.0000001)</f>
        <v/>
      </c>
      <c r="AN333">
        <f>IF(AND(OR(AD333="Maybe",AD333="Price Review"),AG333&lt;&gt;"Approved",AG333&lt;&gt;"Rejected"),IF(AC333="",0,AC333)-ROW()*0.0000001,-9999-ROW()*0.0000001)</f>
        <v/>
      </c>
      <c r="AO333" s="21" t="n"/>
      <c r="AP333" s="21" t="n"/>
      <c r="AQ333" s="22" t="n"/>
      <c r="AR333" s="22" t="n"/>
      <c r="AS333" s="16" t="n"/>
      <c r="AT333" s="22" t="n"/>
      <c r="AU333" s="22" t="n"/>
      <c r="AV333" s="22" t="n"/>
      <c r="AW333" s="18">
        <f>IF(OR(O333="",AV333=""),"",O333*AV333)</f>
        <v/>
      </c>
      <c r="AX333" s="16" t="n"/>
      <c r="AY333" s="16" t="n"/>
      <c r="AZ333" s="16" t="n"/>
      <c r="BA333" s="16" t="n"/>
      <c r="BB333" s="16" t="n"/>
      <c r="BC333" s="18" t="n"/>
      <c r="BD333" s="16" t="n"/>
      <c r="BE333" s="16">
        <f>IF(C333="","",IF(AND(ISNUMBER(P333),P333&gt;MAX_PRICE),"Price too high",IF(AND(ISNUMBER(AB333),AB333&lt;=2),"Quality risk",IF(AND(ISNUMBER(U333),U333&lt;=2),"Aesthetic mismatch",IF(AY333="High","Too fragile",IF(AND(ISNUMBER(R333),R333&lt;LOW_PROFIT_PCT),"Low profit",IF(AND(ISNUMBER(AT333),AT333&gt;MOQ_WARNING),"MOQ too high",IF(OR(AD333="Maybe",AD333="Price Review"),"Needs partner review",IF(AD333="Buy","Good candidate","")))))))))</f>
        <v/>
      </c>
      <c r="BF333" s="16" t="n"/>
      <c r="BG333" s="16" t="n"/>
      <c r="BH333" s="16" t="n"/>
      <c r="BI333" s="16" t="n"/>
      <c r="BJ333" s="16" t="n"/>
      <c r="BK333" s="16" t="n"/>
      <c r="BL333" s="16">
        <f>IF(C333="","",IF(AND(BG333="Yes",BH333="Yes",BI333="Yes",BJ333="Yes",BK333="Yes"),"Yes","No"))</f>
        <v/>
      </c>
      <c r="BM333" s="18" t="n"/>
      <c r="BN333" s="18" t="n"/>
      <c r="BO333" s="18">
        <f>IF(OR(BM333="",BN333=""),"",BM333+BN333)</f>
        <v/>
      </c>
      <c r="BP333" s="18" t="n"/>
      <c r="BQ333" s="18">
        <f>IF(OR(BP333="",BO333=""),"",BP333-BO333)</f>
        <v/>
      </c>
      <c r="BR333" s="19">
        <f>IF(OR(BP333="",BP333=0,BQ333=""),"",BQ333/BP333)</f>
        <v/>
      </c>
      <c r="BS333" s="17" t="n"/>
      <c r="BT333" s="22" t="n"/>
      <c r="BU333" s="22" t="n"/>
      <c r="BV333" s="16" t="n"/>
      <c r="BW333" s="16" t="n"/>
      <c r="BX333" s="22">
        <f>IF(OR(BT333="",BU333=""),"",BT333-BU333)</f>
        <v/>
      </c>
      <c r="BY333" s="16" t="n"/>
      <c r="BZ333" s="17" t="n"/>
      <c r="CA333" s="16" t="n"/>
      <c r="CB333" s="16" t="n"/>
    </row>
    <row r="334">
      <c r="A334" s="23">
        <f>IF(C334="","","AYN-"&amp;IFERROR(VLOOKUP(E334,CATEGORY_PREFIX_TABLE,2,FALSE),"OTH")&amp;"-"&amp;TEXT(ROW()-2,"0000"))</f>
        <v/>
      </c>
      <c r="B334" s="24" t="n"/>
      <c r="C334" s="23" t="n"/>
      <c r="D334" s="23" t="n"/>
      <c r="E334" s="23" t="n"/>
      <c r="F334" s="23" t="n"/>
      <c r="G334" s="23" t="n"/>
      <c r="H334" s="23" t="n"/>
      <c r="I334" s="23" t="n"/>
      <c r="J334" s="23" t="n"/>
      <c r="K334" s="25">
        <f>IF(I334="","",IF(J334="BDT",I334,IF(J334="USD",I334*USD_BDT,IF(J334="RMB",I334*RMB_BDT,""))))</f>
        <v/>
      </c>
      <c r="L334" s="25" t="n"/>
      <c r="M334" s="26" t="n"/>
      <c r="N334" s="25" t="n"/>
      <c r="O334" s="25">
        <f>IF(K334="","",K334+IFERROR(L334,0)+(K334*IF(M334="",CUSTOMS_PCT,M334))+IF(N334="",MISC_FEE,N334))</f>
        <v/>
      </c>
      <c r="P334" s="25">
        <f>IF(O334="","",ROUND(O334*(1+MARKUP_PCT),-1)-1)</f>
        <v/>
      </c>
      <c r="Q334" s="25">
        <f>IF(P334="","",P334-O334)</f>
        <v/>
      </c>
      <c r="R334" s="26">
        <f>IF(OR(P334="",P334=0),"",Q334/P334)</f>
        <v/>
      </c>
      <c r="S334" s="23" t="n"/>
      <c r="T334" s="23" t="n"/>
      <c r="U334" s="23" t="n"/>
      <c r="V334" s="23" t="n"/>
      <c r="W334" s="23" t="n"/>
      <c r="X334" s="23" t="n"/>
      <c r="Y334" s="23" t="n"/>
      <c r="Z334" s="23" t="n"/>
      <c r="AA334" s="23" t="n"/>
      <c r="AB334" s="23" t="n"/>
      <c r="AC334" s="27">
        <f>IF(COUNT(S334:AB334)&lt;10,"",(S334*W_FEMININE+T334*W_TREND+U334*W_AESTHETIC+V334*W_STYLE+W334*W_LIGHT+X334*W_REELS+Y334*W_GIFT+Z334*W_PRICEFIT+AA334*W_DEMAND+AB334*W_QUALITY)/5*100)</f>
        <v/>
      </c>
      <c r="AD334" s="23">
        <f>IF(P334="","",IF(P334&gt;HARD_REJECT_PRICE,"Reject",IF(P334&gt;MAX_PRICE,"Price Review",IF(AC334="","",IF(AND(AC334&gt;=BUY_THRESHOLD,OR(AB334&lt;=2,U334&lt;=2)),"Maybe",IF(AC334&gt;=BUY_THRESHOLD,"Buy",IF(AC334&gt;=MAYBE_THRESHOLD,"Maybe","Reject")))))))</f>
        <v/>
      </c>
      <c r="AE334" s="23" t="n"/>
      <c r="AF334" s="23" t="n"/>
      <c r="AG334" s="23" t="n"/>
      <c r="AH334" s="23" t="n"/>
      <c r="AI334" s="24" t="n"/>
      <c r="AJ334">
        <f>IF(AC334="",-9999-ROW()*0.0000001,AC334-ROW()*0.0000001)</f>
        <v/>
      </c>
      <c r="AK334">
        <f>IF(OR(AC334="",P334="",P334&gt;MAX_PRICE),-9999-ROW()*0.0000001,AC334-ROW()*0.0000001)</f>
        <v/>
      </c>
      <c r="AL334">
        <f>IF(AC334="",-9999-ROW()*0.0000001,X334*1000+AC334-ROW()*0.0000001)</f>
        <v/>
      </c>
      <c r="AM334">
        <f>IF(AC334="",-9999-ROW()*0.0000001,Y334*1000+AC334-ROW()*0.0000001)</f>
        <v/>
      </c>
      <c r="AN334">
        <f>IF(AND(OR(AD334="Maybe",AD334="Price Review"),AG334&lt;&gt;"Approved",AG334&lt;&gt;"Rejected"),IF(AC334="",0,AC334)-ROW()*0.0000001,-9999-ROW()*0.0000001)</f>
        <v/>
      </c>
      <c r="AO334" s="28" t="n"/>
      <c r="AP334" s="28" t="n"/>
      <c r="AQ334" s="29" t="n"/>
      <c r="AR334" s="29" t="n"/>
      <c r="AS334" s="23" t="n"/>
      <c r="AT334" s="29" t="n"/>
      <c r="AU334" s="29" t="n"/>
      <c r="AV334" s="29" t="n"/>
      <c r="AW334" s="25">
        <f>IF(OR(O334="",AV334=""),"",O334*AV334)</f>
        <v/>
      </c>
      <c r="AX334" s="23" t="n"/>
      <c r="AY334" s="23" t="n"/>
      <c r="AZ334" s="23" t="n"/>
      <c r="BA334" s="23" t="n"/>
      <c r="BB334" s="23" t="n"/>
      <c r="BC334" s="25" t="n"/>
      <c r="BD334" s="23" t="n"/>
      <c r="BE334" s="23">
        <f>IF(C334="","",IF(AND(ISNUMBER(P334),P334&gt;MAX_PRICE),"Price too high",IF(AND(ISNUMBER(AB334),AB334&lt;=2),"Quality risk",IF(AND(ISNUMBER(U334),U334&lt;=2),"Aesthetic mismatch",IF(AY334="High","Too fragile",IF(AND(ISNUMBER(R334),R334&lt;LOW_PROFIT_PCT),"Low profit",IF(AND(ISNUMBER(AT334),AT334&gt;MOQ_WARNING),"MOQ too high",IF(OR(AD334="Maybe",AD334="Price Review"),"Needs partner review",IF(AD334="Buy","Good candidate","")))))))))</f>
        <v/>
      </c>
      <c r="BF334" s="23" t="n"/>
      <c r="BG334" s="23" t="n"/>
      <c r="BH334" s="23" t="n"/>
      <c r="BI334" s="23" t="n"/>
      <c r="BJ334" s="23" t="n"/>
      <c r="BK334" s="23" t="n"/>
      <c r="BL334" s="23">
        <f>IF(C334="","",IF(AND(BG334="Yes",BH334="Yes",BI334="Yes",BJ334="Yes",BK334="Yes"),"Yes","No"))</f>
        <v/>
      </c>
      <c r="BM334" s="25" t="n"/>
      <c r="BN334" s="25" t="n"/>
      <c r="BO334" s="25">
        <f>IF(OR(BM334="",BN334=""),"",BM334+BN334)</f>
        <v/>
      </c>
      <c r="BP334" s="25" t="n"/>
      <c r="BQ334" s="25">
        <f>IF(OR(BP334="",BO334=""),"",BP334-BO334)</f>
        <v/>
      </c>
      <c r="BR334" s="26">
        <f>IF(OR(BP334="",BP334=0,BQ334=""),"",BQ334/BP334)</f>
        <v/>
      </c>
      <c r="BS334" s="24" t="n"/>
      <c r="BT334" s="29" t="n"/>
      <c r="BU334" s="29" t="n"/>
      <c r="BV334" s="23" t="n"/>
      <c r="BW334" s="23" t="n"/>
      <c r="BX334" s="29">
        <f>IF(OR(BT334="",BU334=""),"",BT334-BU334)</f>
        <v/>
      </c>
      <c r="BY334" s="23" t="n"/>
      <c r="BZ334" s="24" t="n"/>
      <c r="CA334" s="23" t="n"/>
      <c r="CB334" s="23" t="n"/>
    </row>
    <row r="335">
      <c r="A335" s="16">
        <f>IF(C335="","","AYN-"&amp;IFERROR(VLOOKUP(E335,CATEGORY_PREFIX_TABLE,2,FALSE),"OTH")&amp;"-"&amp;TEXT(ROW()-2,"0000"))</f>
        <v/>
      </c>
      <c r="B335" s="17" t="n"/>
      <c r="C335" s="16" t="n"/>
      <c r="D335" s="16" t="n"/>
      <c r="E335" s="16" t="n"/>
      <c r="F335" s="16" t="n"/>
      <c r="G335" s="16" t="n"/>
      <c r="H335" s="16" t="n"/>
      <c r="I335" s="16" t="n"/>
      <c r="J335" s="16" t="n"/>
      <c r="K335" s="18">
        <f>IF(I335="","",IF(J335="BDT",I335,IF(J335="USD",I335*USD_BDT,IF(J335="RMB",I335*RMB_BDT,""))))</f>
        <v/>
      </c>
      <c r="L335" s="18" t="n"/>
      <c r="M335" s="19" t="n"/>
      <c r="N335" s="18" t="n"/>
      <c r="O335" s="18">
        <f>IF(K335="","",K335+IFERROR(L335,0)+(K335*IF(M335="",CUSTOMS_PCT,M335))+IF(N335="",MISC_FEE,N335))</f>
        <v/>
      </c>
      <c r="P335" s="18">
        <f>IF(O335="","",ROUND(O335*(1+MARKUP_PCT),-1)-1)</f>
        <v/>
      </c>
      <c r="Q335" s="18">
        <f>IF(P335="","",P335-O335)</f>
        <v/>
      </c>
      <c r="R335" s="19">
        <f>IF(OR(P335="",P335=0),"",Q335/P335)</f>
        <v/>
      </c>
      <c r="S335" s="16" t="n"/>
      <c r="T335" s="16" t="n"/>
      <c r="U335" s="16" t="n"/>
      <c r="V335" s="16" t="n"/>
      <c r="W335" s="16" t="n"/>
      <c r="X335" s="16" t="n"/>
      <c r="Y335" s="16" t="n"/>
      <c r="Z335" s="16" t="n"/>
      <c r="AA335" s="16" t="n"/>
      <c r="AB335" s="16" t="n"/>
      <c r="AC335" s="20">
        <f>IF(COUNT(S335:AB335)&lt;10,"",(S335*W_FEMININE+T335*W_TREND+U335*W_AESTHETIC+V335*W_STYLE+W335*W_LIGHT+X335*W_REELS+Y335*W_GIFT+Z335*W_PRICEFIT+AA335*W_DEMAND+AB335*W_QUALITY)/5*100)</f>
        <v/>
      </c>
      <c r="AD335" s="16">
        <f>IF(P335="","",IF(P335&gt;HARD_REJECT_PRICE,"Reject",IF(P335&gt;MAX_PRICE,"Price Review",IF(AC335="","",IF(AND(AC335&gt;=BUY_THRESHOLD,OR(AB335&lt;=2,U335&lt;=2)),"Maybe",IF(AC335&gt;=BUY_THRESHOLD,"Buy",IF(AC335&gt;=MAYBE_THRESHOLD,"Maybe","Reject")))))))</f>
        <v/>
      </c>
      <c r="AE335" s="16" t="n"/>
      <c r="AF335" s="16" t="n"/>
      <c r="AG335" s="16" t="n"/>
      <c r="AH335" s="16" t="n"/>
      <c r="AI335" s="17" t="n"/>
      <c r="AJ335">
        <f>IF(AC335="",-9999-ROW()*0.0000001,AC335-ROW()*0.0000001)</f>
        <v/>
      </c>
      <c r="AK335">
        <f>IF(OR(AC335="",P335="",P335&gt;MAX_PRICE),-9999-ROW()*0.0000001,AC335-ROW()*0.0000001)</f>
        <v/>
      </c>
      <c r="AL335">
        <f>IF(AC335="",-9999-ROW()*0.0000001,X335*1000+AC335-ROW()*0.0000001)</f>
        <v/>
      </c>
      <c r="AM335">
        <f>IF(AC335="",-9999-ROW()*0.0000001,Y335*1000+AC335-ROW()*0.0000001)</f>
        <v/>
      </c>
      <c r="AN335">
        <f>IF(AND(OR(AD335="Maybe",AD335="Price Review"),AG335&lt;&gt;"Approved",AG335&lt;&gt;"Rejected"),IF(AC335="",0,AC335)-ROW()*0.0000001,-9999-ROW()*0.0000001)</f>
        <v/>
      </c>
      <c r="AO335" s="21" t="n"/>
      <c r="AP335" s="21" t="n"/>
      <c r="AQ335" s="22" t="n"/>
      <c r="AR335" s="22" t="n"/>
      <c r="AS335" s="16" t="n"/>
      <c r="AT335" s="22" t="n"/>
      <c r="AU335" s="22" t="n"/>
      <c r="AV335" s="22" t="n"/>
      <c r="AW335" s="18">
        <f>IF(OR(O335="",AV335=""),"",O335*AV335)</f>
        <v/>
      </c>
      <c r="AX335" s="16" t="n"/>
      <c r="AY335" s="16" t="n"/>
      <c r="AZ335" s="16" t="n"/>
      <c r="BA335" s="16" t="n"/>
      <c r="BB335" s="16" t="n"/>
      <c r="BC335" s="18" t="n"/>
      <c r="BD335" s="16" t="n"/>
      <c r="BE335" s="16">
        <f>IF(C335="","",IF(AND(ISNUMBER(P335),P335&gt;MAX_PRICE),"Price too high",IF(AND(ISNUMBER(AB335),AB335&lt;=2),"Quality risk",IF(AND(ISNUMBER(U335),U335&lt;=2),"Aesthetic mismatch",IF(AY335="High","Too fragile",IF(AND(ISNUMBER(R335),R335&lt;LOW_PROFIT_PCT),"Low profit",IF(AND(ISNUMBER(AT335),AT335&gt;MOQ_WARNING),"MOQ too high",IF(OR(AD335="Maybe",AD335="Price Review"),"Needs partner review",IF(AD335="Buy","Good candidate","")))))))))</f>
        <v/>
      </c>
      <c r="BF335" s="16" t="n"/>
      <c r="BG335" s="16" t="n"/>
      <c r="BH335" s="16" t="n"/>
      <c r="BI335" s="16" t="n"/>
      <c r="BJ335" s="16" t="n"/>
      <c r="BK335" s="16" t="n"/>
      <c r="BL335" s="16">
        <f>IF(C335="","",IF(AND(BG335="Yes",BH335="Yes",BI335="Yes",BJ335="Yes",BK335="Yes"),"Yes","No"))</f>
        <v/>
      </c>
      <c r="BM335" s="18" t="n"/>
      <c r="BN335" s="18" t="n"/>
      <c r="BO335" s="18">
        <f>IF(OR(BM335="",BN335=""),"",BM335+BN335)</f>
        <v/>
      </c>
      <c r="BP335" s="18" t="n"/>
      <c r="BQ335" s="18">
        <f>IF(OR(BP335="",BO335=""),"",BP335-BO335)</f>
        <v/>
      </c>
      <c r="BR335" s="19">
        <f>IF(OR(BP335="",BP335=0,BQ335=""),"",BQ335/BP335)</f>
        <v/>
      </c>
      <c r="BS335" s="17" t="n"/>
      <c r="BT335" s="22" t="n"/>
      <c r="BU335" s="22" t="n"/>
      <c r="BV335" s="16" t="n"/>
      <c r="BW335" s="16" t="n"/>
      <c r="BX335" s="22">
        <f>IF(OR(BT335="",BU335=""),"",BT335-BU335)</f>
        <v/>
      </c>
      <c r="BY335" s="16" t="n"/>
      <c r="BZ335" s="17" t="n"/>
      <c r="CA335" s="16" t="n"/>
      <c r="CB335" s="16" t="n"/>
    </row>
    <row r="336">
      <c r="A336" s="23">
        <f>IF(C336="","","AYN-"&amp;IFERROR(VLOOKUP(E336,CATEGORY_PREFIX_TABLE,2,FALSE),"OTH")&amp;"-"&amp;TEXT(ROW()-2,"0000"))</f>
        <v/>
      </c>
      <c r="B336" s="24" t="n"/>
      <c r="C336" s="23" t="n"/>
      <c r="D336" s="23" t="n"/>
      <c r="E336" s="23" t="n"/>
      <c r="F336" s="23" t="n"/>
      <c r="G336" s="23" t="n"/>
      <c r="H336" s="23" t="n"/>
      <c r="I336" s="23" t="n"/>
      <c r="J336" s="23" t="n"/>
      <c r="K336" s="25">
        <f>IF(I336="","",IF(J336="BDT",I336,IF(J336="USD",I336*USD_BDT,IF(J336="RMB",I336*RMB_BDT,""))))</f>
        <v/>
      </c>
      <c r="L336" s="25" t="n"/>
      <c r="M336" s="26" t="n"/>
      <c r="N336" s="25" t="n"/>
      <c r="O336" s="25">
        <f>IF(K336="","",K336+IFERROR(L336,0)+(K336*IF(M336="",CUSTOMS_PCT,M336))+IF(N336="",MISC_FEE,N336))</f>
        <v/>
      </c>
      <c r="P336" s="25">
        <f>IF(O336="","",ROUND(O336*(1+MARKUP_PCT),-1)-1)</f>
        <v/>
      </c>
      <c r="Q336" s="25">
        <f>IF(P336="","",P336-O336)</f>
        <v/>
      </c>
      <c r="R336" s="26">
        <f>IF(OR(P336="",P336=0),"",Q336/P336)</f>
        <v/>
      </c>
      <c r="S336" s="23" t="n"/>
      <c r="T336" s="23" t="n"/>
      <c r="U336" s="23" t="n"/>
      <c r="V336" s="23" t="n"/>
      <c r="W336" s="23" t="n"/>
      <c r="X336" s="23" t="n"/>
      <c r="Y336" s="23" t="n"/>
      <c r="Z336" s="23" t="n"/>
      <c r="AA336" s="23" t="n"/>
      <c r="AB336" s="23" t="n"/>
      <c r="AC336" s="27">
        <f>IF(COUNT(S336:AB336)&lt;10,"",(S336*W_FEMININE+T336*W_TREND+U336*W_AESTHETIC+V336*W_STYLE+W336*W_LIGHT+X336*W_REELS+Y336*W_GIFT+Z336*W_PRICEFIT+AA336*W_DEMAND+AB336*W_QUALITY)/5*100)</f>
        <v/>
      </c>
      <c r="AD336" s="23">
        <f>IF(P336="","",IF(P336&gt;HARD_REJECT_PRICE,"Reject",IF(P336&gt;MAX_PRICE,"Price Review",IF(AC336="","",IF(AND(AC336&gt;=BUY_THRESHOLD,OR(AB336&lt;=2,U336&lt;=2)),"Maybe",IF(AC336&gt;=BUY_THRESHOLD,"Buy",IF(AC336&gt;=MAYBE_THRESHOLD,"Maybe","Reject")))))))</f>
        <v/>
      </c>
      <c r="AE336" s="23" t="n"/>
      <c r="AF336" s="23" t="n"/>
      <c r="AG336" s="23" t="n"/>
      <c r="AH336" s="23" t="n"/>
      <c r="AI336" s="24" t="n"/>
      <c r="AJ336">
        <f>IF(AC336="",-9999-ROW()*0.0000001,AC336-ROW()*0.0000001)</f>
        <v/>
      </c>
      <c r="AK336">
        <f>IF(OR(AC336="",P336="",P336&gt;MAX_PRICE),-9999-ROW()*0.0000001,AC336-ROW()*0.0000001)</f>
        <v/>
      </c>
      <c r="AL336">
        <f>IF(AC336="",-9999-ROW()*0.0000001,X336*1000+AC336-ROW()*0.0000001)</f>
        <v/>
      </c>
      <c r="AM336">
        <f>IF(AC336="",-9999-ROW()*0.0000001,Y336*1000+AC336-ROW()*0.0000001)</f>
        <v/>
      </c>
      <c r="AN336">
        <f>IF(AND(OR(AD336="Maybe",AD336="Price Review"),AG336&lt;&gt;"Approved",AG336&lt;&gt;"Rejected"),IF(AC336="",0,AC336)-ROW()*0.0000001,-9999-ROW()*0.0000001)</f>
        <v/>
      </c>
      <c r="AO336" s="28" t="n"/>
      <c r="AP336" s="28" t="n"/>
      <c r="AQ336" s="29" t="n"/>
      <c r="AR336" s="29" t="n"/>
      <c r="AS336" s="23" t="n"/>
      <c r="AT336" s="29" t="n"/>
      <c r="AU336" s="29" t="n"/>
      <c r="AV336" s="29" t="n"/>
      <c r="AW336" s="25">
        <f>IF(OR(O336="",AV336=""),"",O336*AV336)</f>
        <v/>
      </c>
      <c r="AX336" s="23" t="n"/>
      <c r="AY336" s="23" t="n"/>
      <c r="AZ336" s="23" t="n"/>
      <c r="BA336" s="23" t="n"/>
      <c r="BB336" s="23" t="n"/>
      <c r="BC336" s="25" t="n"/>
      <c r="BD336" s="23" t="n"/>
      <c r="BE336" s="23">
        <f>IF(C336="","",IF(AND(ISNUMBER(P336),P336&gt;MAX_PRICE),"Price too high",IF(AND(ISNUMBER(AB336),AB336&lt;=2),"Quality risk",IF(AND(ISNUMBER(U336),U336&lt;=2),"Aesthetic mismatch",IF(AY336="High","Too fragile",IF(AND(ISNUMBER(R336),R336&lt;LOW_PROFIT_PCT),"Low profit",IF(AND(ISNUMBER(AT336),AT336&gt;MOQ_WARNING),"MOQ too high",IF(OR(AD336="Maybe",AD336="Price Review"),"Needs partner review",IF(AD336="Buy","Good candidate","")))))))))</f>
        <v/>
      </c>
      <c r="BF336" s="23" t="n"/>
      <c r="BG336" s="23" t="n"/>
      <c r="BH336" s="23" t="n"/>
      <c r="BI336" s="23" t="n"/>
      <c r="BJ336" s="23" t="n"/>
      <c r="BK336" s="23" t="n"/>
      <c r="BL336" s="23">
        <f>IF(C336="","",IF(AND(BG336="Yes",BH336="Yes",BI336="Yes",BJ336="Yes",BK336="Yes"),"Yes","No"))</f>
        <v/>
      </c>
      <c r="BM336" s="25" t="n"/>
      <c r="BN336" s="25" t="n"/>
      <c r="BO336" s="25">
        <f>IF(OR(BM336="",BN336=""),"",BM336+BN336)</f>
        <v/>
      </c>
      <c r="BP336" s="25" t="n"/>
      <c r="BQ336" s="25">
        <f>IF(OR(BP336="",BO336=""),"",BP336-BO336)</f>
        <v/>
      </c>
      <c r="BR336" s="26">
        <f>IF(OR(BP336="",BP336=0,BQ336=""),"",BQ336/BP336)</f>
        <v/>
      </c>
      <c r="BS336" s="24" t="n"/>
      <c r="BT336" s="29" t="n"/>
      <c r="BU336" s="29" t="n"/>
      <c r="BV336" s="23" t="n"/>
      <c r="BW336" s="23" t="n"/>
      <c r="BX336" s="29">
        <f>IF(OR(BT336="",BU336=""),"",BT336-BU336)</f>
        <v/>
      </c>
      <c r="BY336" s="23" t="n"/>
      <c r="BZ336" s="24" t="n"/>
      <c r="CA336" s="23" t="n"/>
      <c r="CB336" s="23" t="n"/>
    </row>
    <row r="337">
      <c r="A337" s="16">
        <f>IF(C337="","","AYN-"&amp;IFERROR(VLOOKUP(E337,CATEGORY_PREFIX_TABLE,2,FALSE),"OTH")&amp;"-"&amp;TEXT(ROW()-2,"0000"))</f>
        <v/>
      </c>
      <c r="B337" s="17" t="n"/>
      <c r="C337" s="16" t="n"/>
      <c r="D337" s="16" t="n"/>
      <c r="E337" s="16" t="n"/>
      <c r="F337" s="16" t="n"/>
      <c r="G337" s="16" t="n"/>
      <c r="H337" s="16" t="n"/>
      <c r="I337" s="16" t="n"/>
      <c r="J337" s="16" t="n"/>
      <c r="K337" s="18">
        <f>IF(I337="","",IF(J337="BDT",I337,IF(J337="USD",I337*USD_BDT,IF(J337="RMB",I337*RMB_BDT,""))))</f>
        <v/>
      </c>
      <c r="L337" s="18" t="n"/>
      <c r="M337" s="19" t="n"/>
      <c r="N337" s="18" t="n"/>
      <c r="O337" s="18">
        <f>IF(K337="","",K337+IFERROR(L337,0)+(K337*IF(M337="",CUSTOMS_PCT,M337))+IF(N337="",MISC_FEE,N337))</f>
        <v/>
      </c>
      <c r="P337" s="18">
        <f>IF(O337="","",ROUND(O337*(1+MARKUP_PCT),-1)-1)</f>
        <v/>
      </c>
      <c r="Q337" s="18">
        <f>IF(P337="","",P337-O337)</f>
        <v/>
      </c>
      <c r="R337" s="19">
        <f>IF(OR(P337="",P337=0),"",Q337/P337)</f>
        <v/>
      </c>
      <c r="S337" s="16" t="n"/>
      <c r="T337" s="16" t="n"/>
      <c r="U337" s="16" t="n"/>
      <c r="V337" s="16" t="n"/>
      <c r="W337" s="16" t="n"/>
      <c r="X337" s="16" t="n"/>
      <c r="Y337" s="16" t="n"/>
      <c r="Z337" s="16" t="n"/>
      <c r="AA337" s="16" t="n"/>
      <c r="AB337" s="16" t="n"/>
      <c r="AC337" s="20">
        <f>IF(COUNT(S337:AB337)&lt;10,"",(S337*W_FEMININE+T337*W_TREND+U337*W_AESTHETIC+V337*W_STYLE+W337*W_LIGHT+X337*W_REELS+Y337*W_GIFT+Z337*W_PRICEFIT+AA337*W_DEMAND+AB337*W_QUALITY)/5*100)</f>
        <v/>
      </c>
      <c r="AD337" s="16">
        <f>IF(P337="","",IF(P337&gt;HARD_REJECT_PRICE,"Reject",IF(P337&gt;MAX_PRICE,"Price Review",IF(AC337="","",IF(AND(AC337&gt;=BUY_THRESHOLD,OR(AB337&lt;=2,U337&lt;=2)),"Maybe",IF(AC337&gt;=BUY_THRESHOLD,"Buy",IF(AC337&gt;=MAYBE_THRESHOLD,"Maybe","Reject")))))))</f>
        <v/>
      </c>
      <c r="AE337" s="16" t="n"/>
      <c r="AF337" s="16" t="n"/>
      <c r="AG337" s="16" t="n"/>
      <c r="AH337" s="16" t="n"/>
      <c r="AI337" s="17" t="n"/>
      <c r="AJ337">
        <f>IF(AC337="",-9999-ROW()*0.0000001,AC337-ROW()*0.0000001)</f>
        <v/>
      </c>
      <c r="AK337">
        <f>IF(OR(AC337="",P337="",P337&gt;MAX_PRICE),-9999-ROW()*0.0000001,AC337-ROW()*0.0000001)</f>
        <v/>
      </c>
      <c r="AL337">
        <f>IF(AC337="",-9999-ROW()*0.0000001,X337*1000+AC337-ROW()*0.0000001)</f>
        <v/>
      </c>
      <c r="AM337">
        <f>IF(AC337="",-9999-ROW()*0.0000001,Y337*1000+AC337-ROW()*0.0000001)</f>
        <v/>
      </c>
      <c r="AN337">
        <f>IF(AND(OR(AD337="Maybe",AD337="Price Review"),AG337&lt;&gt;"Approved",AG337&lt;&gt;"Rejected"),IF(AC337="",0,AC337)-ROW()*0.0000001,-9999-ROW()*0.0000001)</f>
        <v/>
      </c>
      <c r="AO337" s="21" t="n"/>
      <c r="AP337" s="21" t="n"/>
      <c r="AQ337" s="22" t="n"/>
      <c r="AR337" s="22" t="n"/>
      <c r="AS337" s="16" t="n"/>
      <c r="AT337" s="22" t="n"/>
      <c r="AU337" s="22" t="n"/>
      <c r="AV337" s="22" t="n"/>
      <c r="AW337" s="18">
        <f>IF(OR(O337="",AV337=""),"",O337*AV337)</f>
        <v/>
      </c>
      <c r="AX337" s="16" t="n"/>
      <c r="AY337" s="16" t="n"/>
      <c r="AZ337" s="16" t="n"/>
      <c r="BA337" s="16" t="n"/>
      <c r="BB337" s="16" t="n"/>
      <c r="BC337" s="18" t="n"/>
      <c r="BD337" s="16" t="n"/>
      <c r="BE337" s="16">
        <f>IF(C337="","",IF(AND(ISNUMBER(P337),P337&gt;MAX_PRICE),"Price too high",IF(AND(ISNUMBER(AB337),AB337&lt;=2),"Quality risk",IF(AND(ISNUMBER(U337),U337&lt;=2),"Aesthetic mismatch",IF(AY337="High","Too fragile",IF(AND(ISNUMBER(R337),R337&lt;LOW_PROFIT_PCT),"Low profit",IF(AND(ISNUMBER(AT337),AT337&gt;MOQ_WARNING),"MOQ too high",IF(OR(AD337="Maybe",AD337="Price Review"),"Needs partner review",IF(AD337="Buy","Good candidate","")))))))))</f>
        <v/>
      </c>
      <c r="BF337" s="16" t="n"/>
      <c r="BG337" s="16" t="n"/>
      <c r="BH337" s="16" t="n"/>
      <c r="BI337" s="16" t="n"/>
      <c r="BJ337" s="16" t="n"/>
      <c r="BK337" s="16" t="n"/>
      <c r="BL337" s="16">
        <f>IF(C337="","",IF(AND(BG337="Yes",BH337="Yes",BI337="Yes",BJ337="Yes",BK337="Yes"),"Yes","No"))</f>
        <v/>
      </c>
      <c r="BM337" s="18" t="n"/>
      <c r="BN337" s="18" t="n"/>
      <c r="BO337" s="18">
        <f>IF(OR(BM337="",BN337=""),"",BM337+BN337)</f>
        <v/>
      </c>
      <c r="BP337" s="18" t="n"/>
      <c r="BQ337" s="18">
        <f>IF(OR(BP337="",BO337=""),"",BP337-BO337)</f>
        <v/>
      </c>
      <c r="BR337" s="19">
        <f>IF(OR(BP337="",BP337=0,BQ337=""),"",BQ337/BP337)</f>
        <v/>
      </c>
      <c r="BS337" s="17" t="n"/>
      <c r="BT337" s="22" t="n"/>
      <c r="BU337" s="22" t="n"/>
      <c r="BV337" s="16" t="n"/>
      <c r="BW337" s="16" t="n"/>
      <c r="BX337" s="22">
        <f>IF(OR(BT337="",BU337=""),"",BT337-BU337)</f>
        <v/>
      </c>
      <c r="BY337" s="16" t="n"/>
      <c r="BZ337" s="17" t="n"/>
      <c r="CA337" s="16" t="n"/>
      <c r="CB337" s="16" t="n"/>
    </row>
    <row r="338">
      <c r="A338" s="23">
        <f>IF(C338="","","AYN-"&amp;IFERROR(VLOOKUP(E338,CATEGORY_PREFIX_TABLE,2,FALSE),"OTH")&amp;"-"&amp;TEXT(ROW()-2,"0000"))</f>
        <v/>
      </c>
      <c r="B338" s="24" t="n"/>
      <c r="C338" s="23" t="n"/>
      <c r="D338" s="23" t="n"/>
      <c r="E338" s="23" t="n"/>
      <c r="F338" s="23" t="n"/>
      <c r="G338" s="23" t="n"/>
      <c r="H338" s="23" t="n"/>
      <c r="I338" s="23" t="n"/>
      <c r="J338" s="23" t="n"/>
      <c r="K338" s="25">
        <f>IF(I338="","",IF(J338="BDT",I338,IF(J338="USD",I338*USD_BDT,IF(J338="RMB",I338*RMB_BDT,""))))</f>
        <v/>
      </c>
      <c r="L338" s="25" t="n"/>
      <c r="M338" s="26" t="n"/>
      <c r="N338" s="25" t="n"/>
      <c r="O338" s="25">
        <f>IF(K338="","",K338+IFERROR(L338,0)+(K338*IF(M338="",CUSTOMS_PCT,M338))+IF(N338="",MISC_FEE,N338))</f>
        <v/>
      </c>
      <c r="P338" s="25">
        <f>IF(O338="","",ROUND(O338*(1+MARKUP_PCT),-1)-1)</f>
        <v/>
      </c>
      <c r="Q338" s="25">
        <f>IF(P338="","",P338-O338)</f>
        <v/>
      </c>
      <c r="R338" s="26">
        <f>IF(OR(P338="",P338=0),"",Q338/P338)</f>
        <v/>
      </c>
      <c r="S338" s="23" t="n"/>
      <c r="T338" s="23" t="n"/>
      <c r="U338" s="23" t="n"/>
      <c r="V338" s="23" t="n"/>
      <c r="W338" s="23" t="n"/>
      <c r="X338" s="23" t="n"/>
      <c r="Y338" s="23" t="n"/>
      <c r="Z338" s="23" t="n"/>
      <c r="AA338" s="23" t="n"/>
      <c r="AB338" s="23" t="n"/>
      <c r="AC338" s="27">
        <f>IF(COUNT(S338:AB338)&lt;10,"",(S338*W_FEMININE+T338*W_TREND+U338*W_AESTHETIC+V338*W_STYLE+W338*W_LIGHT+X338*W_REELS+Y338*W_GIFT+Z338*W_PRICEFIT+AA338*W_DEMAND+AB338*W_QUALITY)/5*100)</f>
        <v/>
      </c>
      <c r="AD338" s="23">
        <f>IF(P338="","",IF(P338&gt;HARD_REJECT_PRICE,"Reject",IF(P338&gt;MAX_PRICE,"Price Review",IF(AC338="","",IF(AND(AC338&gt;=BUY_THRESHOLD,OR(AB338&lt;=2,U338&lt;=2)),"Maybe",IF(AC338&gt;=BUY_THRESHOLD,"Buy",IF(AC338&gt;=MAYBE_THRESHOLD,"Maybe","Reject")))))))</f>
        <v/>
      </c>
      <c r="AE338" s="23" t="n"/>
      <c r="AF338" s="23" t="n"/>
      <c r="AG338" s="23" t="n"/>
      <c r="AH338" s="23" t="n"/>
      <c r="AI338" s="24" t="n"/>
      <c r="AJ338">
        <f>IF(AC338="",-9999-ROW()*0.0000001,AC338-ROW()*0.0000001)</f>
        <v/>
      </c>
      <c r="AK338">
        <f>IF(OR(AC338="",P338="",P338&gt;MAX_PRICE),-9999-ROW()*0.0000001,AC338-ROW()*0.0000001)</f>
        <v/>
      </c>
      <c r="AL338">
        <f>IF(AC338="",-9999-ROW()*0.0000001,X338*1000+AC338-ROW()*0.0000001)</f>
        <v/>
      </c>
      <c r="AM338">
        <f>IF(AC338="",-9999-ROW()*0.0000001,Y338*1000+AC338-ROW()*0.0000001)</f>
        <v/>
      </c>
      <c r="AN338">
        <f>IF(AND(OR(AD338="Maybe",AD338="Price Review"),AG338&lt;&gt;"Approved",AG338&lt;&gt;"Rejected"),IF(AC338="",0,AC338)-ROW()*0.0000001,-9999-ROW()*0.0000001)</f>
        <v/>
      </c>
      <c r="AO338" s="28" t="n"/>
      <c r="AP338" s="28" t="n"/>
      <c r="AQ338" s="29" t="n"/>
      <c r="AR338" s="29" t="n"/>
      <c r="AS338" s="23" t="n"/>
      <c r="AT338" s="29" t="n"/>
      <c r="AU338" s="29" t="n"/>
      <c r="AV338" s="29" t="n"/>
      <c r="AW338" s="25">
        <f>IF(OR(O338="",AV338=""),"",O338*AV338)</f>
        <v/>
      </c>
      <c r="AX338" s="23" t="n"/>
      <c r="AY338" s="23" t="n"/>
      <c r="AZ338" s="23" t="n"/>
      <c r="BA338" s="23" t="n"/>
      <c r="BB338" s="23" t="n"/>
      <c r="BC338" s="25" t="n"/>
      <c r="BD338" s="23" t="n"/>
      <c r="BE338" s="23">
        <f>IF(C338="","",IF(AND(ISNUMBER(P338),P338&gt;MAX_PRICE),"Price too high",IF(AND(ISNUMBER(AB338),AB338&lt;=2),"Quality risk",IF(AND(ISNUMBER(U338),U338&lt;=2),"Aesthetic mismatch",IF(AY338="High","Too fragile",IF(AND(ISNUMBER(R338),R338&lt;LOW_PROFIT_PCT),"Low profit",IF(AND(ISNUMBER(AT338),AT338&gt;MOQ_WARNING),"MOQ too high",IF(OR(AD338="Maybe",AD338="Price Review"),"Needs partner review",IF(AD338="Buy","Good candidate","")))))))))</f>
        <v/>
      </c>
      <c r="BF338" s="23" t="n"/>
      <c r="BG338" s="23" t="n"/>
      <c r="BH338" s="23" t="n"/>
      <c r="BI338" s="23" t="n"/>
      <c r="BJ338" s="23" t="n"/>
      <c r="BK338" s="23" t="n"/>
      <c r="BL338" s="23">
        <f>IF(C338="","",IF(AND(BG338="Yes",BH338="Yes",BI338="Yes",BJ338="Yes",BK338="Yes"),"Yes","No"))</f>
        <v/>
      </c>
      <c r="BM338" s="25" t="n"/>
      <c r="BN338" s="25" t="n"/>
      <c r="BO338" s="25">
        <f>IF(OR(BM338="",BN338=""),"",BM338+BN338)</f>
        <v/>
      </c>
      <c r="BP338" s="25" t="n"/>
      <c r="BQ338" s="25">
        <f>IF(OR(BP338="",BO338=""),"",BP338-BO338)</f>
        <v/>
      </c>
      <c r="BR338" s="26">
        <f>IF(OR(BP338="",BP338=0,BQ338=""),"",BQ338/BP338)</f>
        <v/>
      </c>
      <c r="BS338" s="24" t="n"/>
      <c r="BT338" s="29" t="n"/>
      <c r="BU338" s="29" t="n"/>
      <c r="BV338" s="23" t="n"/>
      <c r="BW338" s="23" t="n"/>
      <c r="BX338" s="29">
        <f>IF(OR(BT338="",BU338=""),"",BT338-BU338)</f>
        <v/>
      </c>
      <c r="BY338" s="23" t="n"/>
      <c r="BZ338" s="24" t="n"/>
      <c r="CA338" s="23" t="n"/>
      <c r="CB338" s="23" t="n"/>
    </row>
    <row r="339">
      <c r="A339" s="16">
        <f>IF(C339="","","AYN-"&amp;IFERROR(VLOOKUP(E339,CATEGORY_PREFIX_TABLE,2,FALSE),"OTH")&amp;"-"&amp;TEXT(ROW()-2,"0000"))</f>
        <v/>
      </c>
      <c r="B339" s="17" t="n"/>
      <c r="C339" s="16" t="n"/>
      <c r="D339" s="16" t="n"/>
      <c r="E339" s="16" t="n"/>
      <c r="F339" s="16" t="n"/>
      <c r="G339" s="16" t="n"/>
      <c r="H339" s="16" t="n"/>
      <c r="I339" s="16" t="n"/>
      <c r="J339" s="16" t="n"/>
      <c r="K339" s="18">
        <f>IF(I339="","",IF(J339="BDT",I339,IF(J339="USD",I339*USD_BDT,IF(J339="RMB",I339*RMB_BDT,""))))</f>
        <v/>
      </c>
      <c r="L339" s="18" t="n"/>
      <c r="M339" s="19" t="n"/>
      <c r="N339" s="18" t="n"/>
      <c r="O339" s="18">
        <f>IF(K339="","",K339+IFERROR(L339,0)+(K339*IF(M339="",CUSTOMS_PCT,M339))+IF(N339="",MISC_FEE,N339))</f>
        <v/>
      </c>
      <c r="P339" s="18">
        <f>IF(O339="","",ROUND(O339*(1+MARKUP_PCT),-1)-1)</f>
        <v/>
      </c>
      <c r="Q339" s="18">
        <f>IF(P339="","",P339-O339)</f>
        <v/>
      </c>
      <c r="R339" s="19">
        <f>IF(OR(P339="",P339=0),"",Q339/P339)</f>
        <v/>
      </c>
      <c r="S339" s="16" t="n"/>
      <c r="T339" s="16" t="n"/>
      <c r="U339" s="16" t="n"/>
      <c r="V339" s="16" t="n"/>
      <c r="W339" s="16" t="n"/>
      <c r="X339" s="16" t="n"/>
      <c r="Y339" s="16" t="n"/>
      <c r="Z339" s="16" t="n"/>
      <c r="AA339" s="16" t="n"/>
      <c r="AB339" s="16" t="n"/>
      <c r="AC339" s="20">
        <f>IF(COUNT(S339:AB339)&lt;10,"",(S339*W_FEMININE+T339*W_TREND+U339*W_AESTHETIC+V339*W_STYLE+W339*W_LIGHT+X339*W_REELS+Y339*W_GIFT+Z339*W_PRICEFIT+AA339*W_DEMAND+AB339*W_QUALITY)/5*100)</f>
        <v/>
      </c>
      <c r="AD339" s="16">
        <f>IF(P339="","",IF(P339&gt;HARD_REJECT_PRICE,"Reject",IF(P339&gt;MAX_PRICE,"Price Review",IF(AC339="","",IF(AND(AC339&gt;=BUY_THRESHOLD,OR(AB339&lt;=2,U339&lt;=2)),"Maybe",IF(AC339&gt;=BUY_THRESHOLD,"Buy",IF(AC339&gt;=MAYBE_THRESHOLD,"Maybe","Reject")))))))</f>
        <v/>
      </c>
      <c r="AE339" s="16" t="n"/>
      <c r="AF339" s="16" t="n"/>
      <c r="AG339" s="16" t="n"/>
      <c r="AH339" s="16" t="n"/>
      <c r="AI339" s="17" t="n"/>
      <c r="AJ339">
        <f>IF(AC339="",-9999-ROW()*0.0000001,AC339-ROW()*0.0000001)</f>
        <v/>
      </c>
      <c r="AK339">
        <f>IF(OR(AC339="",P339="",P339&gt;MAX_PRICE),-9999-ROW()*0.0000001,AC339-ROW()*0.0000001)</f>
        <v/>
      </c>
      <c r="AL339">
        <f>IF(AC339="",-9999-ROW()*0.0000001,X339*1000+AC339-ROW()*0.0000001)</f>
        <v/>
      </c>
      <c r="AM339">
        <f>IF(AC339="",-9999-ROW()*0.0000001,Y339*1000+AC339-ROW()*0.0000001)</f>
        <v/>
      </c>
      <c r="AN339">
        <f>IF(AND(OR(AD339="Maybe",AD339="Price Review"),AG339&lt;&gt;"Approved",AG339&lt;&gt;"Rejected"),IF(AC339="",0,AC339)-ROW()*0.0000001,-9999-ROW()*0.0000001)</f>
        <v/>
      </c>
      <c r="AO339" s="21" t="n"/>
      <c r="AP339" s="21" t="n"/>
      <c r="AQ339" s="22" t="n"/>
      <c r="AR339" s="22" t="n"/>
      <c r="AS339" s="16" t="n"/>
      <c r="AT339" s="22" t="n"/>
      <c r="AU339" s="22" t="n"/>
      <c r="AV339" s="22" t="n"/>
      <c r="AW339" s="18">
        <f>IF(OR(O339="",AV339=""),"",O339*AV339)</f>
        <v/>
      </c>
      <c r="AX339" s="16" t="n"/>
      <c r="AY339" s="16" t="n"/>
      <c r="AZ339" s="16" t="n"/>
      <c r="BA339" s="16" t="n"/>
      <c r="BB339" s="16" t="n"/>
      <c r="BC339" s="18" t="n"/>
      <c r="BD339" s="16" t="n"/>
      <c r="BE339" s="16">
        <f>IF(C339="","",IF(AND(ISNUMBER(P339),P339&gt;MAX_PRICE),"Price too high",IF(AND(ISNUMBER(AB339),AB339&lt;=2),"Quality risk",IF(AND(ISNUMBER(U339),U339&lt;=2),"Aesthetic mismatch",IF(AY339="High","Too fragile",IF(AND(ISNUMBER(R339),R339&lt;LOW_PROFIT_PCT),"Low profit",IF(AND(ISNUMBER(AT339),AT339&gt;MOQ_WARNING),"MOQ too high",IF(OR(AD339="Maybe",AD339="Price Review"),"Needs partner review",IF(AD339="Buy","Good candidate","")))))))))</f>
        <v/>
      </c>
      <c r="BF339" s="16" t="n"/>
      <c r="BG339" s="16" t="n"/>
      <c r="BH339" s="16" t="n"/>
      <c r="BI339" s="16" t="n"/>
      <c r="BJ339" s="16" t="n"/>
      <c r="BK339" s="16" t="n"/>
      <c r="BL339" s="16">
        <f>IF(C339="","",IF(AND(BG339="Yes",BH339="Yes",BI339="Yes",BJ339="Yes",BK339="Yes"),"Yes","No"))</f>
        <v/>
      </c>
      <c r="BM339" s="18" t="n"/>
      <c r="BN339" s="18" t="n"/>
      <c r="BO339" s="18">
        <f>IF(OR(BM339="",BN339=""),"",BM339+BN339)</f>
        <v/>
      </c>
      <c r="BP339" s="18" t="n"/>
      <c r="BQ339" s="18">
        <f>IF(OR(BP339="",BO339=""),"",BP339-BO339)</f>
        <v/>
      </c>
      <c r="BR339" s="19">
        <f>IF(OR(BP339="",BP339=0,BQ339=""),"",BQ339/BP339)</f>
        <v/>
      </c>
      <c r="BS339" s="17" t="n"/>
      <c r="BT339" s="22" t="n"/>
      <c r="BU339" s="22" t="n"/>
      <c r="BV339" s="16" t="n"/>
      <c r="BW339" s="16" t="n"/>
      <c r="BX339" s="22">
        <f>IF(OR(BT339="",BU339=""),"",BT339-BU339)</f>
        <v/>
      </c>
      <c r="BY339" s="16" t="n"/>
      <c r="BZ339" s="17" t="n"/>
      <c r="CA339" s="16" t="n"/>
      <c r="CB339" s="16" t="n"/>
    </row>
    <row r="340">
      <c r="A340" s="23">
        <f>IF(C340="","","AYN-"&amp;IFERROR(VLOOKUP(E340,CATEGORY_PREFIX_TABLE,2,FALSE),"OTH")&amp;"-"&amp;TEXT(ROW()-2,"0000"))</f>
        <v/>
      </c>
      <c r="B340" s="24" t="n"/>
      <c r="C340" s="23" t="n"/>
      <c r="D340" s="23" t="n"/>
      <c r="E340" s="23" t="n"/>
      <c r="F340" s="23" t="n"/>
      <c r="G340" s="23" t="n"/>
      <c r="H340" s="23" t="n"/>
      <c r="I340" s="23" t="n"/>
      <c r="J340" s="23" t="n"/>
      <c r="K340" s="25">
        <f>IF(I340="","",IF(J340="BDT",I340,IF(J340="USD",I340*USD_BDT,IF(J340="RMB",I340*RMB_BDT,""))))</f>
        <v/>
      </c>
      <c r="L340" s="25" t="n"/>
      <c r="M340" s="26" t="n"/>
      <c r="N340" s="25" t="n"/>
      <c r="O340" s="25">
        <f>IF(K340="","",K340+IFERROR(L340,0)+(K340*IF(M340="",CUSTOMS_PCT,M340))+IF(N340="",MISC_FEE,N340))</f>
        <v/>
      </c>
      <c r="P340" s="25">
        <f>IF(O340="","",ROUND(O340*(1+MARKUP_PCT),-1)-1)</f>
        <v/>
      </c>
      <c r="Q340" s="25">
        <f>IF(P340="","",P340-O340)</f>
        <v/>
      </c>
      <c r="R340" s="26">
        <f>IF(OR(P340="",P340=0),"",Q340/P340)</f>
        <v/>
      </c>
      <c r="S340" s="23" t="n"/>
      <c r="T340" s="23" t="n"/>
      <c r="U340" s="23" t="n"/>
      <c r="V340" s="23" t="n"/>
      <c r="W340" s="23" t="n"/>
      <c r="X340" s="23" t="n"/>
      <c r="Y340" s="23" t="n"/>
      <c r="Z340" s="23" t="n"/>
      <c r="AA340" s="23" t="n"/>
      <c r="AB340" s="23" t="n"/>
      <c r="AC340" s="27">
        <f>IF(COUNT(S340:AB340)&lt;10,"",(S340*W_FEMININE+T340*W_TREND+U340*W_AESTHETIC+V340*W_STYLE+W340*W_LIGHT+X340*W_REELS+Y340*W_GIFT+Z340*W_PRICEFIT+AA340*W_DEMAND+AB340*W_QUALITY)/5*100)</f>
        <v/>
      </c>
      <c r="AD340" s="23">
        <f>IF(P340="","",IF(P340&gt;HARD_REJECT_PRICE,"Reject",IF(P340&gt;MAX_PRICE,"Price Review",IF(AC340="","",IF(AND(AC340&gt;=BUY_THRESHOLD,OR(AB340&lt;=2,U340&lt;=2)),"Maybe",IF(AC340&gt;=BUY_THRESHOLD,"Buy",IF(AC340&gt;=MAYBE_THRESHOLD,"Maybe","Reject")))))))</f>
        <v/>
      </c>
      <c r="AE340" s="23" t="n"/>
      <c r="AF340" s="23" t="n"/>
      <c r="AG340" s="23" t="n"/>
      <c r="AH340" s="23" t="n"/>
      <c r="AI340" s="24" t="n"/>
      <c r="AJ340">
        <f>IF(AC340="",-9999-ROW()*0.0000001,AC340-ROW()*0.0000001)</f>
        <v/>
      </c>
      <c r="AK340">
        <f>IF(OR(AC340="",P340="",P340&gt;MAX_PRICE),-9999-ROW()*0.0000001,AC340-ROW()*0.0000001)</f>
        <v/>
      </c>
      <c r="AL340">
        <f>IF(AC340="",-9999-ROW()*0.0000001,X340*1000+AC340-ROW()*0.0000001)</f>
        <v/>
      </c>
      <c r="AM340">
        <f>IF(AC340="",-9999-ROW()*0.0000001,Y340*1000+AC340-ROW()*0.0000001)</f>
        <v/>
      </c>
      <c r="AN340">
        <f>IF(AND(OR(AD340="Maybe",AD340="Price Review"),AG340&lt;&gt;"Approved",AG340&lt;&gt;"Rejected"),IF(AC340="",0,AC340)-ROW()*0.0000001,-9999-ROW()*0.0000001)</f>
        <v/>
      </c>
      <c r="AO340" s="28" t="n"/>
      <c r="AP340" s="28" t="n"/>
      <c r="AQ340" s="29" t="n"/>
      <c r="AR340" s="29" t="n"/>
      <c r="AS340" s="23" t="n"/>
      <c r="AT340" s="29" t="n"/>
      <c r="AU340" s="29" t="n"/>
      <c r="AV340" s="29" t="n"/>
      <c r="AW340" s="25">
        <f>IF(OR(O340="",AV340=""),"",O340*AV340)</f>
        <v/>
      </c>
      <c r="AX340" s="23" t="n"/>
      <c r="AY340" s="23" t="n"/>
      <c r="AZ340" s="23" t="n"/>
      <c r="BA340" s="23" t="n"/>
      <c r="BB340" s="23" t="n"/>
      <c r="BC340" s="25" t="n"/>
      <c r="BD340" s="23" t="n"/>
      <c r="BE340" s="23">
        <f>IF(C340="","",IF(AND(ISNUMBER(P340),P340&gt;MAX_PRICE),"Price too high",IF(AND(ISNUMBER(AB340),AB340&lt;=2),"Quality risk",IF(AND(ISNUMBER(U340),U340&lt;=2),"Aesthetic mismatch",IF(AY340="High","Too fragile",IF(AND(ISNUMBER(R340),R340&lt;LOW_PROFIT_PCT),"Low profit",IF(AND(ISNUMBER(AT340),AT340&gt;MOQ_WARNING),"MOQ too high",IF(OR(AD340="Maybe",AD340="Price Review"),"Needs partner review",IF(AD340="Buy","Good candidate","")))))))))</f>
        <v/>
      </c>
      <c r="BF340" s="23" t="n"/>
      <c r="BG340" s="23" t="n"/>
      <c r="BH340" s="23" t="n"/>
      <c r="BI340" s="23" t="n"/>
      <c r="BJ340" s="23" t="n"/>
      <c r="BK340" s="23" t="n"/>
      <c r="BL340" s="23">
        <f>IF(C340="","",IF(AND(BG340="Yes",BH340="Yes",BI340="Yes",BJ340="Yes",BK340="Yes"),"Yes","No"))</f>
        <v/>
      </c>
      <c r="BM340" s="25" t="n"/>
      <c r="BN340" s="25" t="n"/>
      <c r="BO340" s="25">
        <f>IF(OR(BM340="",BN340=""),"",BM340+BN340)</f>
        <v/>
      </c>
      <c r="BP340" s="25" t="n"/>
      <c r="BQ340" s="25">
        <f>IF(OR(BP340="",BO340=""),"",BP340-BO340)</f>
        <v/>
      </c>
      <c r="BR340" s="26">
        <f>IF(OR(BP340="",BP340=0,BQ340=""),"",BQ340/BP340)</f>
        <v/>
      </c>
      <c r="BS340" s="24" t="n"/>
      <c r="BT340" s="29" t="n"/>
      <c r="BU340" s="29" t="n"/>
      <c r="BV340" s="23" t="n"/>
      <c r="BW340" s="23" t="n"/>
      <c r="BX340" s="29">
        <f>IF(OR(BT340="",BU340=""),"",BT340-BU340)</f>
        <v/>
      </c>
      <c r="BY340" s="23" t="n"/>
      <c r="BZ340" s="24" t="n"/>
      <c r="CA340" s="23" t="n"/>
      <c r="CB340" s="23" t="n"/>
    </row>
    <row r="341">
      <c r="A341" s="16">
        <f>IF(C341="","","AYN-"&amp;IFERROR(VLOOKUP(E341,CATEGORY_PREFIX_TABLE,2,FALSE),"OTH")&amp;"-"&amp;TEXT(ROW()-2,"0000"))</f>
        <v/>
      </c>
      <c r="B341" s="17" t="n"/>
      <c r="C341" s="16" t="n"/>
      <c r="D341" s="16" t="n"/>
      <c r="E341" s="16" t="n"/>
      <c r="F341" s="16" t="n"/>
      <c r="G341" s="16" t="n"/>
      <c r="H341" s="16" t="n"/>
      <c r="I341" s="16" t="n"/>
      <c r="J341" s="16" t="n"/>
      <c r="K341" s="18">
        <f>IF(I341="","",IF(J341="BDT",I341,IF(J341="USD",I341*USD_BDT,IF(J341="RMB",I341*RMB_BDT,""))))</f>
        <v/>
      </c>
      <c r="L341" s="18" t="n"/>
      <c r="M341" s="19" t="n"/>
      <c r="N341" s="18" t="n"/>
      <c r="O341" s="18">
        <f>IF(K341="","",K341+IFERROR(L341,0)+(K341*IF(M341="",CUSTOMS_PCT,M341))+IF(N341="",MISC_FEE,N341))</f>
        <v/>
      </c>
      <c r="P341" s="18">
        <f>IF(O341="","",ROUND(O341*(1+MARKUP_PCT),-1)-1)</f>
        <v/>
      </c>
      <c r="Q341" s="18">
        <f>IF(P341="","",P341-O341)</f>
        <v/>
      </c>
      <c r="R341" s="19">
        <f>IF(OR(P341="",P341=0),"",Q341/P341)</f>
        <v/>
      </c>
      <c r="S341" s="16" t="n"/>
      <c r="T341" s="16" t="n"/>
      <c r="U341" s="16" t="n"/>
      <c r="V341" s="16" t="n"/>
      <c r="W341" s="16" t="n"/>
      <c r="X341" s="16" t="n"/>
      <c r="Y341" s="16" t="n"/>
      <c r="Z341" s="16" t="n"/>
      <c r="AA341" s="16" t="n"/>
      <c r="AB341" s="16" t="n"/>
      <c r="AC341" s="20">
        <f>IF(COUNT(S341:AB341)&lt;10,"",(S341*W_FEMININE+T341*W_TREND+U341*W_AESTHETIC+V341*W_STYLE+W341*W_LIGHT+X341*W_REELS+Y341*W_GIFT+Z341*W_PRICEFIT+AA341*W_DEMAND+AB341*W_QUALITY)/5*100)</f>
        <v/>
      </c>
      <c r="AD341" s="16">
        <f>IF(P341="","",IF(P341&gt;HARD_REJECT_PRICE,"Reject",IF(P341&gt;MAX_PRICE,"Price Review",IF(AC341="","",IF(AND(AC341&gt;=BUY_THRESHOLD,OR(AB341&lt;=2,U341&lt;=2)),"Maybe",IF(AC341&gt;=BUY_THRESHOLD,"Buy",IF(AC341&gt;=MAYBE_THRESHOLD,"Maybe","Reject")))))))</f>
        <v/>
      </c>
      <c r="AE341" s="16" t="n"/>
      <c r="AF341" s="16" t="n"/>
      <c r="AG341" s="16" t="n"/>
      <c r="AH341" s="16" t="n"/>
      <c r="AI341" s="17" t="n"/>
      <c r="AJ341">
        <f>IF(AC341="",-9999-ROW()*0.0000001,AC341-ROW()*0.0000001)</f>
        <v/>
      </c>
      <c r="AK341">
        <f>IF(OR(AC341="",P341="",P341&gt;MAX_PRICE),-9999-ROW()*0.0000001,AC341-ROW()*0.0000001)</f>
        <v/>
      </c>
      <c r="AL341">
        <f>IF(AC341="",-9999-ROW()*0.0000001,X341*1000+AC341-ROW()*0.0000001)</f>
        <v/>
      </c>
      <c r="AM341">
        <f>IF(AC341="",-9999-ROW()*0.0000001,Y341*1000+AC341-ROW()*0.0000001)</f>
        <v/>
      </c>
      <c r="AN341">
        <f>IF(AND(OR(AD341="Maybe",AD341="Price Review"),AG341&lt;&gt;"Approved",AG341&lt;&gt;"Rejected"),IF(AC341="",0,AC341)-ROW()*0.0000001,-9999-ROW()*0.0000001)</f>
        <v/>
      </c>
      <c r="AO341" s="21" t="n"/>
      <c r="AP341" s="21" t="n"/>
      <c r="AQ341" s="22" t="n"/>
      <c r="AR341" s="22" t="n"/>
      <c r="AS341" s="16" t="n"/>
      <c r="AT341" s="22" t="n"/>
      <c r="AU341" s="22" t="n"/>
      <c r="AV341" s="22" t="n"/>
      <c r="AW341" s="18">
        <f>IF(OR(O341="",AV341=""),"",O341*AV341)</f>
        <v/>
      </c>
      <c r="AX341" s="16" t="n"/>
      <c r="AY341" s="16" t="n"/>
      <c r="AZ341" s="16" t="n"/>
      <c r="BA341" s="16" t="n"/>
      <c r="BB341" s="16" t="n"/>
      <c r="BC341" s="18" t="n"/>
      <c r="BD341" s="16" t="n"/>
      <c r="BE341" s="16">
        <f>IF(C341="","",IF(AND(ISNUMBER(P341),P341&gt;MAX_PRICE),"Price too high",IF(AND(ISNUMBER(AB341),AB341&lt;=2),"Quality risk",IF(AND(ISNUMBER(U341),U341&lt;=2),"Aesthetic mismatch",IF(AY341="High","Too fragile",IF(AND(ISNUMBER(R341),R341&lt;LOW_PROFIT_PCT),"Low profit",IF(AND(ISNUMBER(AT341),AT341&gt;MOQ_WARNING),"MOQ too high",IF(OR(AD341="Maybe",AD341="Price Review"),"Needs partner review",IF(AD341="Buy","Good candidate","")))))))))</f>
        <v/>
      </c>
      <c r="BF341" s="16" t="n"/>
      <c r="BG341" s="16" t="n"/>
      <c r="BH341" s="16" t="n"/>
      <c r="BI341" s="16" t="n"/>
      <c r="BJ341" s="16" t="n"/>
      <c r="BK341" s="16" t="n"/>
      <c r="BL341" s="16">
        <f>IF(C341="","",IF(AND(BG341="Yes",BH341="Yes",BI341="Yes",BJ341="Yes",BK341="Yes"),"Yes","No"))</f>
        <v/>
      </c>
      <c r="BM341" s="18" t="n"/>
      <c r="BN341" s="18" t="n"/>
      <c r="BO341" s="18">
        <f>IF(OR(BM341="",BN341=""),"",BM341+BN341)</f>
        <v/>
      </c>
      <c r="BP341" s="18" t="n"/>
      <c r="BQ341" s="18">
        <f>IF(OR(BP341="",BO341=""),"",BP341-BO341)</f>
        <v/>
      </c>
      <c r="BR341" s="19">
        <f>IF(OR(BP341="",BP341=0,BQ341=""),"",BQ341/BP341)</f>
        <v/>
      </c>
      <c r="BS341" s="17" t="n"/>
      <c r="BT341" s="22" t="n"/>
      <c r="BU341" s="22" t="n"/>
      <c r="BV341" s="16" t="n"/>
      <c r="BW341" s="16" t="n"/>
      <c r="BX341" s="22">
        <f>IF(OR(BT341="",BU341=""),"",BT341-BU341)</f>
        <v/>
      </c>
      <c r="BY341" s="16" t="n"/>
      <c r="BZ341" s="17" t="n"/>
      <c r="CA341" s="16" t="n"/>
      <c r="CB341" s="16" t="n"/>
    </row>
    <row r="342">
      <c r="A342" s="23">
        <f>IF(C342="","","AYN-"&amp;IFERROR(VLOOKUP(E342,CATEGORY_PREFIX_TABLE,2,FALSE),"OTH")&amp;"-"&amp;TEXT(ROW()-2,"0000"))</f>
        <v/>
      </c>
      <c r="B342" s="24" t="n"/>
      <c r="C342" s="23" t="n"/>
      <c r="D342" s="23" t="n"/>
      <c r="E342" s="23" t="n"/>
      <c r="F342" s="23" t="n"/>
      <c r="G342" s="23" t="n"/>
      <c r="H342" s="23" t="n"/>
      <c r="I342" s="23" t="n"/>
      <c r="J342" s="23" t="n"/>
      <c r="K342" s="25">
        <f>IF(I342="","",IF(J342="BDT",I342,IF(J342="USD",I342*USD_BDT,IF(J342="RMB",I342*RMB_BDT,""))))</f>
        <v/>
      </c>
      <c r="L342" s="25" t="n"/>
      <c r="M342" s="26" t="n"/>
      <c r="N342" s="25" t="n"/>
      <c r="O342" s="25">
        <f>IF(K342="","",K342+IFERROR(L342,0)+(K342*IF(M342="",CUSTOMS_PCT,M342))+IF(N342="",MISC_FEE,N342))</f>
        <v/>
      </c>
      <c r="P342" s="25">
        <f>IF(O342="","",ROUND(O342*(1+MARKUP_PCT),-1)-1)</f>
        <v/>
      </c>
      <c r="Q342" s="25">
        <f>IF(P342="","",P342-O342)</f>
        <v/>
      </c>
      <c r="R342" s="26">
        <f>IF(OR(P342="",P342=0),"",Q342/P342)</f>
        <v/>
      </c>
      <c r="S342" s="23" t="n"/>
      <c r="T342" s="23" t="n"/>
      <c r="U342" s="23" t="n"/>
      <c r="V342" s="23" t="n"/>
      <c r="W342" s="23" t="n"/>
      <c r="X342" s="23" t="n"/>
      <c r="Y342" s="23" t="n"/>
      <c r="Z342" s="23" t="n"/>
      <c r="AA342" s="23" t="n"/>
      <c r="AB342" s="23" t="n"/>
      <c r="AC342" s="27">
        <f>IF(COUNT(S342:AB342)&lt;10,"",(S342*W_FEMININE+T342*W_TREND+U342*W_AESTHETIC+V342*W_STYLE+W342*W_LIGHT+X342*W_REELS+Y342*W_GIFT+Z342*W_PRICEFIT+AA342*W_DEMAND+AB342*W_QUALITY)/5*100)</f>
        <v/>
      </c>
      <c r="AD342" s="23">
        <f>IF(P342="","",IF(P342&gt;HARD_REJECT_PRICE,"Reject",IF(P342&gt;MAX_PRICE,"Price Review",IF(AC342="","",IF(AND(AC342&gt;=BUY_THRESHOLD,OR(AB342&lt;=2,U342&lt;=2)),"Maybe",IF(AC342&gt;=BUY_THRESHOLD,"Buy",IF(AC342&gt;=MAYBE_THRESHOLD,"Maybe","Reject")))))))</f>
        <v/>
      </c>
      <c r="AE342" s="23" t="n"/>
      <c r="AF342" s="23" t="n"/>
      <c r="AG342" s="23" t="n"/>
      <c r="AH342" s="23" t="n"/>
      <c r="AI342" s="24" t="n"/>
      <c r="AJ342">
        <f>IF(AC342="",-9999-ROW()*0.0000001,AC342-ROW()*0.0000001)</f>
        <v/>
      </c>
      <c r="AK342">
        <f>IF(OR(AC342="",P342="",P342&gt;MAX_PRICE),-9999-ROW()*0.0000001,AC342-ROW()*0.0000001)</f>
        <v/>
      </c>
      <c r="AL342">
        <f>IF(AC342="",-9999-ROW()*0.0000001,X342*1000+AC342-ROW()*0.0000001)</f>
        <v/>
      </c>
      <c r="AM342">
        <f>IF(AC342="",-9999-ROW()*0.0000001,Y342*1000+AC342-ROW()*0.0000001)</f>
        <v/>
      </c>
      <c r="AN342">
        <f>IF(AND(OR(AD342="Maybe",AD342="Price Review"),AG342&lt;&gt;"Approved",AG342&lt;&gt;"Rejected"),IF(AC342="",0,AC342)-ROW()*0.0000001,-9999-ROW()*0.0000001)</f>
        <v/>
      </c>
      <c r="AO342" s="28" t="n"/>
      <c r="AP342" s="28" t="n"/>
      <c r="AQ342" s="29" t="n"/>
      <c r="AR342" s="29" t="n"/>
      <c r="AS342" s="23" t="n"/>
      <c r="AT342" s="29" t="n"/>
      <c r="AU342" s="29" t="n"/>
      <c r="AV342" s="29" t="n"/>
      <c r="AW342" s="25">
        <f>IF(OR(O342="",AV342=""),"",O342*AV342)</f>
        <v/>
      </c>
      <c r="AX342" s="23" t="n"/>
      <c r="AY342" s="23" t="n"/>
      <c r="AZ342" s="23" t="n"/>
      <c r="BA342" s="23" t="n"/>
      <c r="BB342" s="23" t="n"/>
      <c r="BC342" s="25" t="n"/>
      <c r="BD342" s="23" t="n"/>
      <c r="BE342" s="23">
        <f>IF(C342="","",IF(AND(ISNUMBER(P342),P342&gt;MAX_PRICE),"Price too high",IF(AND(ISNUMBER(AB342),AB342&lt;=2),"Quality risk",IF(AND(ISNUMBER(U342),U342&lt;=2),"Aesthetic mismatch",IF(AY342="High","Too fragile",IF(AND(ISNUMBER(R342),R342&lt;LOW_PROFIT_PCT),"Low profit",IF(AND(ISNUMBER(AT342),AT342&gt;MOQ_WARNING),"MOQ too high",IF(OR(AD342="Maybe",AD342="Price Review"),"Needs partner review",IF(AD342="Buy","Good candidate","")))))))))</f>
        <v/>
      </c>
      <c r="BF342" s="23" t="n"/>
      <c r="BG342" s="23" t="n"/>
      <c r="BH342" s="23" t="n"/>
      <c r="BI342" s="23" t="n"/>
      <c r="BJ342" s="23" t="n"/>
      <c r="BK342" s="23" t="n"/>
      <c r="BL342" s="23">
        <f>IF(C342="","",IF(AND(BG342="Yes",BH342="Yes",BI342="Yes",BJ342="Yes",BK342="Yes"),"Yes","No"))</f>
        <v/>
      </c>
      <c r="BM342" s="25" t="n"/>
      <c r="BN342" s="25" t="n"/>
      <c r="BO342" s="25">
        <f>IF(OR(BM342="",BN342=""),"",BM342+BN342)</f>
        <v/>
      </c>
      <c r="BP342" s="25" t="n"/>
      <c r="BQ342" s="25">
        <f>IF(OR(BP342="",BO342=""),"",BP342-BO342)</f>
        <v/>
      </c>
      <c r="BR342" s="26">
        <f>IF(OR(BP342="",BP342=0,BQ342=""),"",BQ342/BP342)</f>
        <v/>
      </c>
      <c r="BS342" s="24" t="n"/>
      <c r="BT342" s="29" t="n"/>
      <c r="BU342" s="29" t="n"/>
      <c r="BV342" s="23" t="n"/>
      <c r="BW342" s="23" t="n"/>
      <c r="BX342" s="29">
        <f>IF(OR(BT342="",BU342=""),"",BT342-BU342)</f>
        <v/>
      </c>
      <c r="BY342" s="23" t="n"/>
      <c r="BZ342" s="24" t="n"/>
      <c r="CA342" s="23" t="n"/>
      <c r="CB342" s="23" t="n"/>
    </row>
    <row r="343">
      <c r="A343" s="16">
        <f>IF(C343="","","AYN-"&amp;IFERROR(VLOOKUP(E343,CATEGORY_PREFIX_TABLE,2,FALSE),"OTH")&amp;"-"&amp;TEXT(ROW()-2,"0000"))</f>
        <v/>
      </c>
      <c r="B343" s="17" t="n"/>
      <c r="C343" s="16" t="n"/>
      <c r="D343" s="16" t="n"/>
      <c r="E343" s="16" t="n"/>
      <c r="F343" s="16" t="n"/>
      <c r="G343" s="16" t="n"/>
      <c r="H343" s="16" t="n"/>
      <c r="I343" s="16" t="n"/>
      <c r="J343" s="16" t="n"/>
      <c r="K343" s="18">
        <f>IF(I343="","",IF(J343="BDT",I343,IF(J343="USD",I343*USD_BDT,IF(J343="RMB",I343*RMB_BDT,""))))</f>
        <v/>
      </c>
      <c r="L343" s="18" t="n"/>
      <c r="M343" s="19" t="n"/>
      <c r="N343" s="18" t="n"/>
      <c r="O343" s="18">
        <f>IF(K343="","",K343+IFERROR(L343,0)+(K343*IF(M343="",CUSTOMS_PCT,M343))+IF(N343="",MISC_FEE,N343))</f>
        <v/>
      </c>
      <c r="P343" s="18">
        <f>IF(O343="","",ROUND(O343*(1+MARKUP_PCT),-1)-1)</f>
        <v/>
      </c>
      <c r="Q343" s="18">
        <f>IF(P343="","",P343-O343)</f>
        <v/>
      </c>
      <c r="R343" s="19">
        <f>IF(OR(P343="",P343=0),"",Q343/P343)</f>
        <v/>
      </c>
      <c r="S343" s="16" t="n"/>
      <c r="T343" s="16" t="n"/>
      <c r="U343" s="16" t="n"/>
      <c r="V343" s="16" t="n"/>
      <c r="W343" s="16" t="n"/>
      <c r="X343" s="16" t="n"/>
      <c r="Y343" s="16" t="n"/>
      <c r="Z343" s="16" t="n"/>
      <c r="AA343" s="16" t="n"/>
      <c r="AB343" s="16" t="n"/>
      <c r="AC343" s="20">
        <f>IF(COUNT(S343:AB343)&lt;10,"",(S343*W_FEMININE+T343*W_TREND+U343*W_AESTHETIC+V343*W_STYLE+W343*W_LIGHT+X343*W_REELS+Y343*W_GIFT+Z343*W_PRICEFIT+AA343*W_DEMAND+AB343*W_QUALITY)/5*100)</f>
        <v/>
      </c>
      <c r="AD343" s="16">
        <f>IF(P343="","",IF(P343&gt;HARD_REJECT_PRICE,"Reject",IF(P343&gt;MAX_PRICE,"Price Review",IF(AC343="","",IF(AND(AC343&gt;=BUY_THRESHOLD,OR(AB343&lt;=2,U343&lt;=2)),"Maybe",IF(AC343&gt;=BUY_THRESHOLD,"Buy",IF(AC343&gt;=MAYBE_THRESHOLD,"Maybe","Reject")))))))</f>
        <v/>
      </c>
      <c r="AE343" s="16" t="n"/>
      <c r="AF343" s="16" t="n"/>
      <c r="AG343" s="16" t="n"/>
      <c r="AH343" s="16" t="n"/>
      <c r="AI343" s="17" t="n"/>
      <c r="AJ343">
        <f>IF(AC343="",-9999-ROW()*0.0000001,AC343-ROW()*0.0000001)</f>
        <v/>
      </c>
      <c r="AK343">
        <f>IF(OR(AC343="",P343="",P343&gt;MAX_PRICE),-9999-ROW()*0.0000001,AC343-ROW()*0.0000001)</f>
        <v/>
      </c>
      <c r="AL343">
        <f>IF(AC343="",-9999-ROW()*0.0000001,X343*1000+AC343-ROW()*0.0000001)</f>
        <v/>
      </c>
      <c r="AM343">
        <f>IF(AC343="",-9999-ROW()*0.0000001,Y343*1000+AC343-ROW()*0.0000001)</f>
        <v/>
      </c>
      <c r="AN343">
        <f>IF(AND(OR(AD343="Maybe",AD343="Price Review"),AG343&lt;&gt;"Approved",AG343&lt;&gt;"Rejected"),IF(AC343="",0,AC343)-ROW()*0.0000001,-9999-ROW()*0.0000001)</f>
        <v/>
      </c>
      <c r="AO343" s="21" t="n"/>
      <c r="AP343" s="21" t="n"/>
      <c r="AQ343" s="22" t="n"/>
      <c r="AR343" s="22" t="n"/>
      <c r="AS343" s="16" t="n"/>
      <c r="AT343" s="22" t="n"/>
      <c r="AU343" s="22" t="n"/>
      <c r="AV343" s="22" t="n"/>
      <c r="AW343" s="18">
        <f>IF(OR(O343="",AV343=""),"",O343*AV343)</f>
        <v/>
      </c>
      <c r="AX343" s="16" t="n"/>
      <c r="AY343" s="16" t="n"/>
      <c r="AZ343" s="16" t="n"/>
      <c r="BA343" s="16" t="n"/>
      <c r="BB343" s="16" t="n"/>
      <c r="BC343" s="18" t="n"/>
      <c r="BD343" s="16" t="n"/>
      <c r="BE343" s="16">
        <f>IF(C343="","",IF(AND(ISNUMBER(P343),P343&gt;MAX_PRICE),"Price too high",IF(AND(ISNUMBER(AB343),AB343&lt;=2),"Quality risk",IF(AND(ISNUMBER(U343),U343&lt;=2),"Aesthetic mismatch",IF(AY343="High","Too fragile",IF(AND(ISNUMBER(R343),R343&lt;LOW_PROFIT_PCT),"Low profit",IF(AND(ISNUMBER(AT343),AT343&gt;MOQ_WARNING),"MOQ too high",IF(OR(AD343="Maybe",AD343="Price Review"),"Needs partner review",IF(AD343="Buy","Good candidate","")))))))))</f>
        <v/>
      </c>
      <c r="BF343" s="16" t="n"/>
      <c r="BG343" s="16" t="n"/>
      <c r="BH343" s="16" t="n"/>
      <c r="BI343" s="16" t="n"/>
      <c r="BJ343" s="16" t="n"/>
      <c r="BK343" s="16" t="n"/>
      <c r="BL343" s="16">
        <f>IF(C343="","",IF(AND(BG343="Yes",BH343="Yes",BI343="Yes",BJ343="Yes",BK343="Yes"),"Yes","No"))</f>
        <v/>
      </c>
      <c r="BM343" s="18" t="n"/>
      <c r="BN343" s="18" t="n"/>
      <c r="BO343" s="18">
        <f>IF(OR(BM343="",BN343=""),"",BM343+BN343)</f>
        <v/>
      </c>
      <c r="BP343" s="18" t="n"/>
      <c r="BQ343" s="18">
        <f>IF(OR(BP343="",BO343=""),"",BP343-BO343)</f>
        <v/>
      </c>
      <c r="BR343" s="19">
        <f>IF(OR(BP343="",BP343=0,BQ343=""),"",BQ343/BP343)</f>
        <v/>
      </c>
      <c r="BS343" s="17" t="n"/>
      <c r="BT343" s="22" t="n"/>
      <c r="BU343" s="22" t="n"/>
      <c r="BV343" s="16" t="n"/>
      <c r="BW343" s="16" t="n"/>
      <c r="BX343" s="22">
        <f>IF(OR(BT343="",BU343=""),"",BT343-BU343)</f>
        <v/>
      </c>
      <c r="BY343" s="16" t="n"/>
      <c r="BZ343" s="17" t="n"/>
      <c r="CA343" s="16" t="n"/>
      <c r="CB343" s="16" t="n"/>
    </row>
    <row r="344">
      <c r="A344" s="23">
        <f>IF(C344="","","AYN-"&amp;IFERROR(VLOOKUP(E344,CATEGORY_PREFIX_TABLE,2,FALSE),"OTH")&amp;"-"&amp;TEXT(ROW()-2,"0000"))</f>
        <v/>
      </c>
      <c r="B344" s="24" t="n"/>
      <c r="C344" s="23" t="n"/>
      <c r="D344" s="23" t="n"/>
      <c r="E344" s="23" t="n"/>
      <c r="F344" s="23" t="n"/>
      <c r="G344" s="23" t="n"/>
      <c r="H344" s="23" t="n"/>
      <c r="I344" s="23" t="n"/>
      <c r="J344" s="23" t="n"/>
      <c r="K344" s="25">
        <f>IF(I344="","",IF(J344="BDT",I344,IF(J344="USD",I344*USD_BDT,IF(J344="RMB",I344*RMB_BDT,""))))</f>
        <v/>
      </c>
      <c r="L344" s="25" t="n"/>
      <c r="M344" s="26" t="n"/>
      <c r="N344" s="25" t="n"/>
      <c r="O344" s="25">
        <f>IF(K344="","",K344+IFERROR(L344,0)+(K344*IF(M344="",CUSTOMS_PCT,M344))+IF(N344="",MISC_FEE,N344))</f>
        <v/>
      </c>
      <c r="P344" s="25">
        <f>IF(O344="","",ROUND(O344*(1+MARKUP_PCT),-1)-1)</f>
        <v/>
      </c>
      <c r="Q344" s="25">
        <f>IF(P344="","",P344-O344)</f>
        <v/>
      </c>
      <c r="R344" s="26">
        <f>IF(OR(P344="",P344=0),"",Q344/P344)</f>
        <v/>
      </c>
      <c r="S344" s="23" t="n"/>
      <c r="T344" s="23" t="n"/>
      <c r="U344" s="23" t="n"/>
      <c r="V344" s="23" t="n"/>
      <c r="W344" s="23" t="n"/>
      <c r="X344" s="23" t="n"/>
      <c r="Y344" s="23" t="n"/>
      <c r="Z344" s="23" t="n"/>
      <c r="AA344" s="23" t="n"/>
      <c r="AB344" s="23" t="n"/>
      <c r="AC344" s="27">
        <f>IF(COUNT(S344:AB344)&lt;10,"",(S344*W_FEMININE+T344*W_TREND+U344*W_AESTHETIC+V344*W_STYLE+W344*W_LIGHT+X344*W_REELS+Y344*W_GIFT+Z344*W_PRICEFIT+AA344*W_DEMAND+AB344*W_QUALITY)/5*100)</f>
        <v/>
      </c>
      <c r="AD344" s="23">
        <f>IF(P344="","",IF(P344&gt;HARD_REJECT_PRICE,"Reject",IF(P344&gt;MAX_PRICE,"Price Review",IF(AC344="","",IF(AND(AC344&gt;=BUY_THRESHOLD,OR(AB344&lt;=2,U344&lt;=2)),"Maybe",IF(AC344&gt;=BUY_THRESHOLD,"Buy",IF(AC344&gt;=MAYBE_THRESHOLD,"Maybe","Reject")))))))</f>
        <v/>
      </c>
      <c r="AE344" s="23" t="n"/>
      <c r="AF344" s="23" t="n"/>
      <c r="AG344" s="23" t="n"/>
      <c r="AH344" s="23" t="n"/>
      <c r="AI344" s="24" t="n"/>
      <c r="AJ344">
        <f>IF(AC344="",-9999-ROW()*0.0000001,AC344-ROW()*0.0000001)</f>
        <v/>
      </c>
      <c r="AK344">
        <f>IF(OR(AC344="",P344="",P344&gt;MAX_PRICE),-9999-ROW()*0.0000001,AC344-ROW()*0.0000001)</f>
        <v/>
      </c>
      <c r="AL344">
        <f>IF(AC344="",-9999-ROW()*0.0000001,X344*1000+AC344-ROW()*0.0000001)</f>
        <v/>
      </c>
      <c r="AM344">
        <f>IF(AC344="",-9999-ROW()*0.0000001,Y344*1000+AC344-ROW()*0.0000001)</f>
        <v/>
      </c>
      <c r="AN344">
        <f>IF(AND(OR(AD344="Maybe",AD344="Price Review"),AG344&lt;&gt;"Approved",AG344&lt;&gt;"Rejected"),IF(AC344="",0,AC344)-ROW()*0.0000001,-9999-ROW()*0.0000001)</f>
        <v/>
      </c>
      <c r="AO344" s="28" t="n"/>
      <c r="AP344" s="28" t="n"/>
      <c r="AQ344" s="29" t="n"/>
      <c r="AR344" s="29" t="n"/>
      <c r="AS344" s="23" t="n"/>
      <c r="AT344" s="29" t="n"/>
      <c r="AU344" s="29" t="n"/>
      <c r="AV344" s="29" t="n"/>
      <c r="AW344" s="25">
        <f>IF(OR(O344="",AV344=""),"",O344*AV344)</f>
        <v/>
      </c>
      <c r="AX344" s="23" t="n"/>
      <c r="AY344" s="23" t="n"/>
      <c r="AZ344" s="23" t="n"/>
      <c r="BA344" s="23" t="n"/>
      <c r="BB344" s="23" t="n"/>
      <c r="BC344" s="25" t="n"/>
      <c r="BD344" s="23" t="n"/>
      <c r="BE344" s="23">
        <f>IF(C344="","",IF(AND(ISNUMBER(P344),P344&gt;MAX_PRICE),"Price too high",IF(AND(ISNUMBER(AB344),AB344&lt;=2),"Quality risk",IF(AND(ISNUMBER(U344),U344&lt;=2),"Aesthetic mismatch",IF(AY344="High","Too fragile",IF(AND(ISNUMBER(R344),R344&lt;LOW_PROFIT_PCT),"Low profit",IF(AND(ISNUMBER(AT344),AT344&gt;MOQ_WARNING),"MOQ too high",IF(OR(AD344="Maybe",AD344="Price Review"),"Needs partner review",IF(AD344="Buy","Good candidate","")))))))))</f>
        <v/>
      </c>
      <c r="BF344" s="23" t="n"/>
      <c r="BG344" s="23" t="n"/>
      <c r="BH344" s="23" t="n"/>
      <c r="BI344" s="23" t="n"/>
      <c r="BJ344" s="23" t="n"/>
      <c r="BK344" s="23" t="n"/>
      <c r="BL344" s="23">
        <f>IF(C344="","",IF(AND(BG344="Yes",BH344="Yes",BI344="Yes",BJ344="Yes",BK344="Yes"),"Yes","No"))</f>
        <v/>
      </c>
      <c r="BM344" s="25" t="n"/>
      <c r="BN344" s="25" t="n"/>
      <c r="BO344" s="25">
        <f>IF(OR(BM344="",BN344=""),"",BM344+BN344)</f>
        <v/>
      </c>
      <c r="BP344" s="25" t="n"/>
      <c r="BQ344" s="25">
        <f>IF(OR(BP344="",BO344=""),"",BP344-BO344)</f>
        <v/>
      </c>
      <c r="BR344" s="26">
        <f>IF(OR(BP344="",BP344=0,BQ344=""),"",BQ344/BP344)</f>
        <v/>
      </c>
      <c r="BS344" s="24" t="n"/>
      <c r="BT344" s="29" t="n"/>
      <c r="BU344" s="29" t="n"/>
      <c r="BV344" s="23" t="n"/>
      <c r="BW344" s="23" t="n"/>
      <c r="BX344" s="29">
        <f>IF(OR(BT344="",BU344=""),"",BT344-BU344)</f>
        <v/>
      </c>
      <c r="BY344" s="23" t="n"/>
      <c r="BZ344" s="24" t="n"/>
      <c r="CA344" s="23" t="n"/>
      <c r="CB344" s="23" t="n"/>
    </row>
    <row r="345">
      <c r="A345" s="16">
        <f>IF(C345="","","AYN-"&amp;IFERROR(VLOOKUP(E345,CATEGORY_PREFIX_TABLE,2,FALSE),"OTH")&amp;"-"&amp;TEXT(ROW()-2,"0000"))</f>
        <v/>
      </c>
      <c r="B345" s="17" t="n"/>
      <c r="C345" s="16" t="n"/>
      <c r="D345" s="16" t="n"/>
      <c r="E345" s="16" t="n"/>
      <c r="F345" s="16" t="n"/>
      <c r="G345" s="16" t="n"/>
      <c r="H345" s="16" t="n"/>
      <c r="I345" s="16" t="n"/>
      <c r="J345" s="16" t="n"/>
      <c r="K345" s="18">
        <f>IF(I345="","",IF(J345="BDT",I345,IF(J345="USD",I345*USD_BDT,IF(J345="RMB",I345*RMB_BDT,""))))</f>
        <v/>
      </c>
      <c r="L345" s="18" t="n"/>
      <c r="M345" s="19" t="n"/>
      <c r="N345" s="18" t="n"/>
      <c r="O345" s="18">
        <f>IF(K345="","",K345+IFERROR(L345,0)+(K345*IF(M345="",CUSTOMS_PCT,M345))+IF(N345="",MISC_FEE,N345))</f>
        <v/>
      </c>
      <c r="P345" s="18">
        <f>IF(O345="","",ROUND(O345*(1+MARKUP_PCT),-1)-1)</f>
        <v/>
      </c>
      <c r="Q345" s="18">
        <f>IF(P345="","",P345-O345)</f>
        <v/>
      </c>
      <c r="R345" s="19">
        <f>IF(OR(P345="",P345=0),"",Q345/P345)</f>
        <v/>
      </c>
      <c r="S345" s="16" t="n"/>
      <c r="T345" s="16" t="n"/>
      <c r="U345" s="16" t="n"/>
      <c r="V345" s="16" t="n"/>
      <c r="W345" s="16" t="n"/>
      <c r="X345" s="16" t="n"/>
      <c r="Y345" s="16" t="n"/>
      <c r="Z345" s="16" t="n"/>
      <c r="AA345" s="16" t="n"/>
      <c r="AB345" s="16" t="n"/>
      <c r="AC345" s="20">
        <f>IF(COUNT(S345:AB345)&lt;10,"",(S345*W_FEMININE+T345*W_TREND+U345*W_AESTHETIC+V345*W_STYLE+W345*W_LIGHT+X345*W_REELS+Y345*W_GIFT+Z345*W_PRICEFIT+AA345*W_DEMAND+AB345*W_QUALITY)/5*100)</f>
        <v/>
      </c>
      <c r="AD345" s="16">
        <f>IF(P345="","",IF(P345&gt;HARD_REJECT_PRICE,"Reject",IF(P345&gt;MAX_PRICE,"Price Review",IF(AC345="","",IF(AND(AC345&gt;=BUY_THRESHOLD,OR(AB345&lt;=2,U345&lt;=2)),"Maybe",IF(AC345&gt;=BUY_THRESHOLD,"Buy",IF(AC345&gt;=MAYBE_THRESHOLD,"Maybe","Reject")))))))</f>
        <v/>
      </c>
      <c r="AE345" s="16" t="n"/>
      <c r="AF345" s="16" t="n"/>
      <c r="AG345" s="16" t="n"/>
      <c r="AH345" s="16" t="n"/>
      <c r="AI345" s="17" t="n"/>
      <c r="AJ345">
        <f>IF(AC345="",-9999-ROW()*0.0000001,AC345-ROW()*0.0000001)</f>
        <v/>
      </c>
      <c r="AK345">
        <f>IF(OR(AC345="",P345="",P345&gt;MAX_PRICE),-9999-ROW()*0.0000001,AC345-ROW()*0.0000001)</f>
        <v/>
      </c>
      <c r="AL345">
        <f>IF(AC345="",-9999-ROW()*0.0000001,X345*1000+AC345-ROW()*0.0000001)</f>
        <v/>
      </c>
      <c r="AM345">
        <f>IF(AC345="",-9999-ROW()*0.0000001,Y345*1000+AC345-ROW()*0.0000001)</f>
        <v/>
      </c>
      <c r="AN345">
        <f>IF(AND(OR(AD345="Maybe",AD345="Price Review"),AG345&lt;&gt;"Approved",AG345&lt;&gt;"Rejected"),IF(AC345="",0,AC345)-ROW()*0.0000001,-9999-ROW()*0.0000001)</f>
        <v/>
      </c>
      <c r="AO345" s="21" t="n"/>
      <c r="AP345" s="21" t="n"/>
      <c r="AQ345" s="22" t="n"/>
      <c r="AR345" s="22" t="n"/>
      <c r="AS345" s="16" t="n"/>
      <c r="AT345" s="22" t="n"/>
      <c r="AU345" s="22" t="n"/>
      <c r="AV345" s="22" t="n"/>
      <c r="AW345" s="18">
        <f>IF(OR(O345="",AV345=""),"",O345*AV345)</f>
        <v/>
      </c>
      <c r="AX345" s="16" t="n"/>
      <c r="AY345" s="16" t="n"/>
      <c r="AZ345" s="16" t="n"/>
      <c r="BA345" s="16" t="n"/>
      <c r="BB345" s="16" t="n"/>
      <c r="BC345" s="18" t="n"/>
      <c r="BD345" s="16" t="n"/>
      <c r="BE345" s="16">
        <f>IF(C345="","",IF(AND(ISNUMBER(P345),P345&gt;MAX_PRICE),"Price too high",IF(AND(ISNUMBER(AB345),AB345&lt;=2),"Quality risk",IF(AND(ISNUMBER(U345),U345&lt;=2),"Aesthetic mismatch",IF(AY345="High","Too fragile",IF(AND(ISNUMBER(R345),R345&lt;LOW_PROFIT_PCT),"Low profit",IF(AND(ISNUMBER(AT345),AT345&gt;MOQ_WARNING),"MOQ too high",IF(OR(AD345="Maybe",AD345="Price Review"),"Needs partner review",IF(AD345="Buy","Good candidate","")))))))))</f>
        <v/>
      </c>
      <c r="BF345" s="16" t="n"/>
      <c r="BG345" s="16" t="n"/>
      <c r="BH345" s="16" t="n"/>
      <c r="BI345" s="16" t="n"/>
      <c r="BJ345" s="16" t="n"/>
      <c r="BK345" s="16" t="n"/>
      <c r="BL345" s="16">
        <f>IF(C345="","",IF(AND(BG345="Yes",BH345="Yes",BI345="Yes",BJ345="Yes",BK345="Yes"),"Yes","No"))</f>
        <v/>
      </c>
      <c r="BM345" s="18" t="n"/>
      <c r="BN345" s="18" t="n"/>
      <c r="BO345" s="18">
        <f>IF(OR(BM345="",BN345=""),"",BM345+BN345)</f>
        <v/>
      </c>
      <c r="BP345" s="18" t="n"/>
      <c r="BQ345" s="18">
        <f>IF(OR(BP345="",BO345=""),"",BP345-BO345)</f>
        <v/>
      </c>
      <c r="BR345" s="19">
        <f>IF(OR(BP345="",BP345=0,BQ345=""),"",BQ345/BP345)</f>
        <v/>
      </c>
      <c r="BS345" s="17" t="n"/>
      <c r="BT345" s="22" t="n"/>
      <c r="BU345" s="22" t="n"/>
      <c r="BV345" s="16" t="n"/>
      <c r="BW345" s="16" t="n"/>
      <c r="BX345" s="22">
        <f>IF(OR(BT345="",BU345=""),"",BT345-BU345)</f>
        <v/>
      </c>
      <c r="BY345" s="16" t="n"/>
      <c r="BZ345" s="17" t="n"/>
      <c r="CA345" s="16" t="n"/>
      <c r="CB345" s="16" t="n"/>
    </row>
    <row r="346">
      <c r="A346" s="23">
        <f>IF(C346="","","AYN-"&amp;IFERROR(VLOOKUP(E346,CATEGORY_PREFIX_TABLE,2,FALSE),"OTH")&amp;"-"&amp;TEXT(ROW()-2,"0000"))</f>
        <v/>
      </c>
      <c r="B346" s="24" t="n"/>
      <c r="C346" s="23" t="n"/>
      <c r="D346" s="23" t="n"/>
      <c r="E346" s="23" t="n"/>
      <c r="F346" s="23" t="n"/>
      <c r="G346" s="23" t="n"/>
      <c r="H346" s="23" t="n"/>
      <c r="I346" s="23" t="n"/>
      <c r="J346" s="23" t="n"/>
      <c r="K346" s="25">
        <f>IF(I346="","",IF(J346="BDT",I346,IF(J346="USD",I346*USD_BDT,IF(J346="RMB",I346*RMB_BDT,""))))</f>
        <v/>
      </c>
      <c r="L346" s="25" t="n"/>
      <c r="M346" s="26" t="n"/>
      <c r="N346" s="25" t="n"/>
      <c r="O346" s="25">
        <f>IF(K346="","",K346+IFERROR(L346,0)+(K346*IF(M346="",CUSTOMS_PCT,M346))+IF(N346="",MISC_FEE,N346))</f>
        <v/>
      </c>
      <c r="P346" s="25">
        <f>IF(O346="","",ROUND(O346*(1+MARKUP_PCT),-1)-1)</f>
        <v/>
      </c>
      <c r="Q346" s="25">
        <f>IF(P346="","",P346-O346)</f>
        <v/>
      </c>
      <c r="R346" s="26">
        <f>IF(OR(P346="",P346=0),"",Q346/P346)</f>
        <v/>
      </c>
      <c r="S346" s="23" t="n"/>
      <c r="T346" s="23" t="n"/>
      <c r="U346" s="23" t="n"/>
      <c r="V346" s="23" t="n"/>
      <c r="W346" s="23" t="n"/>
      <c r="X346" s="23" t="n"/>
      <c r="Y346" s="23" t="n"/>
      <c r="Z346" s="23" t="n"/>
      <c r="AA346" s="23" t="n"/>
      <c r="AB346" s="23" t="n"/>
      <c r="AC346" s="27">
        <f>IF(COUNT(S346:AB346)&lt;10,"",(S346*W_FEMININE+T346*W_TREND+U346*W_AESTHETIC+V346*W_STYLE+W346*W_LIGHT+X346*W_REELS+Y346*W_GIFT+Z346*W_PRICEFIT+AA346*W_DEMAND+AB346*W_QUALITY)/5*100)</f>
        <v/>
      </c>
      <c r="AD346" s="23">
        <f>IF(P346="","",IF(P346&gt;HARD_REJECT_PRICE,"Reject",IF(P346&gt;MAX_PRICE,"Price Review",IF(AC346="","",IF(AND(AC346&gt;=BUY_THRESHOLD,OR(AB346&lt;=2,U346&lt;=2)),"Maybe",IF(AC346&gt;=BUY_THRESHOLD,"Buy",IF(AC346&gt;=MAYBE_THRESHOLD,"Maybe","Reject")))))))</f>
        <v/>
      </c>
      <c r="AE346" s="23" t="n"/>
      <c r="AF346" s="23" t="n"/>
      <c r="AG346" s="23" t="n"/>
      <c r="AH346" s="23" t="n"/>
      <c r="AI346" s="24" t="n"/>
      <c r="AJ346">
        <f>IF(AC346="",-9999-ROW()*0.0000001,AC346-ROW()*0.0000001)</f>
        <v/>
      </c>
      <c r="AK346">
        <f>IF(OR(AC346="",P346="",P346&gt;MAX_PRICE),-9999-ROW()*0.0000001,AC346-ROW()*0.0000001)</f>
        <v/>
      </c>
      <c r="AL346">
        <f>IF(AC346="",-9999-ROW()*0.0000001,X346*1000+AC346-ROW()*0.0000001)</f>
        <v/>
      </c>
      <c r="AM346">
        <f>IF(AC346="",-9999-ROW()*0.0000001,Y346*1000+AC346-ROW()*0.0000001)</f>
        <v/>
      </c>
      <c r="AN346">
        <f>IF(AND(OR(AD346="Maybe",AD346="Price Review"),AG346&lt;&gt;"Approved",AG346&lt;&gt;"Rejected"),IF(AC346="",0,AC346)-ROW()*0.0000001,-9999-ROW()*0.0000001)</f>
        <v/>
      </c>
      <c r="AO346" s="28" t="n"/>
      <c r="AP346" s="28" t="n"/>
      <c r="AQ346" s="29" t="n"/>
      <c r="AR346" s="29" t="n"/>
      <c r="AS346" s="23" t="n"/>
      <c r="AT346" s="29" t="n"/>
      <c r="AU346" s="29" t="n"/>
      <c r="AV346" s="29" t="n"/>
      <c r="AW346" s="25">
        <f>IF(OR(O346="",AV346=""),"",O346*AV346)</f>
        <v/>
      </c>
      <c r="AX346" s="23" t="n"/>
      <c r="AY346" s="23" t="n"/>
      <c r="AZ346" s="23" t="n"/>
      <c r="BA346" s="23" t="n"/>
      <c r="BB346" s="23" t="n"/>
      <c r="BC346" s="25" t="n"/>
      <c r="BD346" s="23" t="n"/>
      <c r="BE346" s="23">
        <f>IF(C346="","",IF(AND(ISNUMBER(P346),P346&gt;MAX_PRICE),"Price too high",IF(AND(ISNUMBER(AB346),AB346&lt;=2),"Quality risk",IF(AND(ISNUMBER(U346),U346&lt;=2),"Aesthetic mismatch",IF(AY346="High","Too fragile",IF(AND(ISNUMBER(R346),R346&lt;LOW_PROFIT_PCT),"Low profit",IF(AND(ISNUMBER(AT346),AT346&gt;MOQ_WARNING),"MOQ too high",IF(OR(AD346="Maybe",AD346="Price Review"),"Needs partner review",IF(AD346="Buy","Good candidate","")))))))))</f>
        <v/>
      </c>
      <c r="BF346" s="23" t="n"/>
      <c r="BG346" s="23" t="n"/>
      <c r="BH346" s="23" t="n"/>
      <c r="BI346" s="23" t="n"/>
      <c r="BJ346" s="23" t="n"/>
      <c r="BK346" s="23" t="n"/>
      <c r="BL346" s="23">
        <f>IF(C346="","",IF(AND(BG346="Yes",BH346="Yes",BI346="Yes",BJ346="Yes",BK346="Yes"),"Yes","No"))</f>
        <v/>
      </c>
      <c r="BM346" s="25" t="n"/>
      <c r="BN346" s="25" t="n"/>
      <c r="BO346" s="25">
        <f>IF(OR(BM346="",BN346=""),"",BM346+BN346)</f>
        <v/>
      </c>
      <c r="BP346" s="25" t="n"/>
      <c r="BQ346" s="25">
        <f>IF(OR(BP346="",BO346=""),"",BP346-BO346)</f>
        <v/>
      </c>
      <c r="BR346" s="26">
        <f>IF(OR(BP346="",BP346=0,BQ346=""),"",BQ346/BP346)</f>
        <v/>
      </c>
      <c r="BS346" s="24" t="n"/>
      <c r="BT346" s="29" t="n"/>
      <c r="BU346" s="29" t="n"/>
      <c r="BV346" s="23" t="n"/>
      <c r="BW346" s="23" t="n"/>
      <c r="BX346" s="29">
        <f>IF(OR(BT346="",BU346=""),"",BT346-BU346)</f>
        <v/>
      </c>
      <c r="BY346" s="23" t="n"/>
      <c r="BZ346" s="24" t="n"/>
      <c r="CA346" s="23" t="n"/>
      <c r="CB346" s="23" t="n"/>
    </row>
    <row r="347">
      <c r="A347" s="16">
        <f>IF(C347="","","AYN-"&amp;IFERROR(VLOOKUP(E347,CATEGORY_PREFIX_TABLE,2,FALSE),"OTH")&amp;"-"&amp;TEXT(ROW()-2,"0000"))</f>
        <v/>
      </c>
      <c r="B347" s="17" t="n"/>
      <c r="C347" s="16" t="n"/>
      <c r="D347" s="16" t="n"/>
      <c r="E347" s="16" t="n"/>
      <c r="F347" s="16" t="n"/>
      <c r="G347" s="16" t="n"/>
      <c r="H347" s="16" t="n"/>
      <c r="I347" s="16" t="n"/>
      <c r="J347" s="16" t="n"/>
      <c r="K347" s="18">
        <f>IF(I347="","",IF(J347="BDT",I347,IF(J347="USD",I347*USD_BDT,IF(J347="RMB",I347*RMB_BDT,""))))</f>
        <v/>
      </c>
      <c r="L347" s="18" t="n"/>
      <c r="M347" s="19" t="n"/>
      <c r="N347" s="18" t="n"/>
      <c r="O347" s="18">
        <f>IF(K347="","",K347+IFERROR(L347,0)+(K347*IF(M347="",CUSTOMS_PCT,M347))+IF(N347="",MISC_FEE,N347))</f>
        <v/>
      </c>
      <c r="P347" s="18">
        <f>IF(O347="","",ROUND(O347*(1+MARKUP_PCT),-1)-1)</f>
        <v/>
      </c>
      <c r="Q347" s="18">
        <f>IF(P347="","",P347-O347)</f>
        <v/>
      </c>
      <c r="R347" s="19">
        <f>IF(OR(P347="",P347=0),"",Q347/P347)</f>
        <v/>
      </c>
      <c r="S347" s="16" t="n"/>
      <c r="T347" s="16" t="n"/>
      <c r="U347" s="16" t="n"/>
      <c r="V347" s="16" t="n"/>
      <c r="W347" s="16" t="n"/>
      <c r="X347" s="16" t="n"/>
      <c r="Y347" s="16" t="n"/>
      <c r="Z347" s="16" t="n"/>
      <c r="AA347" s="16" t="n"/>
      <c r="AB347" s="16" t="n"/>
      <c r="AC347" s="20">
        <f>IF(COUNT(S347:AB347)&lt;10,"",(S347*W_FEMININE+T347*W_TREND+U347*W_AESTHETIC+V347*W_STYLE+W347*W_LIGHT+X347*W_REELS+Y347*W_GIFT+Z347*W_PRICEFIT+AA347*W_DEMAND+AB347*W_QUALITY)/5*100)</f>
        <v/>
      </c>
      <c r="AD347" s="16">
        <f>IF(P347="","",IF(P347&gt;HARD_REJECT_PRICE,"Reject",IF(P347&gt;MAX_PRICE,"Price Review",IF(AC347="","",IF(AND(AC347&gt;=BUY_THRESHOLD,OR(AB347&lt;=2,U347&lt;=2)),"Maybe",IF(AC347&gt;=BUY_THRESHOLD,"Buy",IF(AC347&gt;=MAYBE_THRESHOLD,"Maybe","Reject")))))))</f>
        <v/>
      </c>
      <c r="AE347" s="16" t="n"/>
      <c r="AF347" s="16" t="n"/>
      <c r="AG347" s="16" t="n"/>
      <c r="AH347" s="16" t="n"/>
      <c r="AI347" s="17" t="n"/>
      <c r="AJ347">
        <f>IF(AC347="",-9999-ROW()*0.0000001,AC347-ROW()*0.0000001)</f>
        <v/>
      </c>
      <c r="AK347">
        <f>IF(OR(AC347="",P347="",P347&gt;MAX_PRICE),-9999-ROW()*0.0000001,AC347-ROW()*0.0000001)</f>
        <v/>
      </c>
      <c r="AL347">
        <f>IF(AC347="",-9999-ROW()*0.0000001,X347*1000+AC347-ROW()*0.0000001)</f>
        <v/>
      </c>
      <c r="AM347">
        <f>IF(AC347="",-9999-ROW()*0.0000001,Y347*1000+AC347-ROW()*0.0000001)</f>
        <v/>
      </c>
      <c r="AN347">
        <f>IF(AND(OR(AD347="Maybe",AD347="Price Review"),AG347&lt;&gt;"Approved",AG347&lt;&gt;"Rejected"),IF(AC347="",0,AC347)-ROW()*0.0000001,-9999-ROW()*0.0000001)</f>
        <v/>
      </c>
      <c r="AO347" s="21" t="n"/>
      <c r="AP347" s="21" t="n"/>
      <c r="AQ347" s="22" t="n"/>
      <c r="AR347" s="22" t="n"/>
      <c r="AS347" s="16" t="n"/>
      <c r="AT347" s="22" t="n"/>
      <c r="AU347" s="22" t="n"/>
      <c r="AV347" s="22" t="n"/>
      <c r="AW347" s="18">
        <f>IF(OR(O347="",AV347=""),"",O347*AV347)</f>
        <v/>
      </c>
      <c r="AX347" s="16" t="n"/>
      <c r="AY347" s="16" t="n"/>
      <c r="AZ347" s="16" t="n"/>
      <c r="BA347" s="16" t="n"/>
      <c r="BB347" s="16" t="n"/>
      <c r="BC347" s="18" t="n"/>
      <c r="BD347" s="16" t="n"/>
      <c r="BE347" s="16">
        <f>IF(C347="","",IF(AND(ISNUMBER(P347),P347&gt;MAX_PRICE),"Price too high",IF(AND(ISNUMBER(AB347),AB347&lt;=2),"Quality risk",IF(AND(ISNUMBER(U347),U347&lt;=2),"Aesthetic mismatch",IF(AY347="High","Too fragile",IF(AND(ISNUMBER(R347),R347&lt;LOW_PROFIT_PCT),"Low profit",IF(AND(ISNUMBER(AT347),AT347&gt;MOQ_WARNING),"MOQ too high",IF(OR(AD347="Maybe",AD347="Price Review"),"Needs partner review",IF(AD347="Buy","Good candidate","")))))))))</f>
        <v/>
      </c>
      <c r="BF347" s="16" t="n"/>
      <c r="BG347" s="16" t="n"/>
      <c r="BH347" s="16" t="n"/>
      <c r="BI347" s="16" t="n"/>
      <c r="BJ347" s="16" t="n"/>
      <c r="BK347" s="16" t="n"/>
      <c r="BL347" s="16">
        <f>IF(C347="","",IF(AND(BG347="Yes",BH347="Yes",BI347="Yes",BJ347="Yes",BK347="Yes"),"Yes","No"))</f>
        <v/>
      </c>
      <c r="BM347" s="18" t="n"/>
      <c r="BN347" s="18" t="n"/>
      <c r="BO347" s="18">
        <f>IF(OR(BM347="",BN347=""),"",BM347+BN347)</f>
        <v/>
      </c>
      <c r="BP347" s="18" t="n"/>
      <c r="BQ347" s="18">
        <f>IF(OR(BP347="",BO347=""),"",BP347-BO347)</f>
        <v/>
      </c>
      <c r="BR347" s="19">
        <f>IF(OR(BP347="",BP347=0,BQ347=""),"",BQ347/BP347)</f>
        <v/>
      </c>
      <c r="BS347" s="17" t="n"/>
      <c r="BT347" s="22" t="n"/>
      <c r="BU347" s="22" t="n"/>
      <c r="BV347" s="16" t="n"/>
      <c r="BW347" s="16" t="n"/>
      <c r="BX347" s="22">
        <f>IF(OR(BT347="",BU347=""),"",BT347-BU347)</f>
        <v/>
      </c>
      <c r="BY347" s="16" t="n"/>
      <c r="BZ347" s="17" t="n"/>
      <c r="CA347" s="16" t="n"/>
      <c r="CB347" s="16" t="n"/>
    </row>
    <row r="348">
      <c r="A348" s="23">
        <f>IF(C348="","","AYN-"&amp;IFERROR(VLOOKUP(E348,CATEGORY_PREFIX_TABLE,2,FALSE),"OTH")&amp;"-"&amp;TEXT(ROW()-2,"0000"))</f>
        <v/>
      </c>
      <c r="B348" s="24" t="n"/>
      <c r="C348" s="23" t="n"/>
      <c r="D348" s="23" t="n"/>
      <c r="E348" s="23" t="n"/>
      <c r="F348" s="23" t="n"/>
      <c r="G348" s="23" t="n"/>
      <c r="H348" s="23" t="n"/>
      <c r="I348" s="23" t="n"/>
      <c r="J348" s="23" t="n"/>
      <c r="K348" s="25">
        <f>IF(I348="","",IF(J348="BDT",I348,IF(J348="USD",I348*USD_BDT,IF(J348="RMB",I348*RMB_BDT,""))))</f>
        <v/>
      </c>
      <c r="L348" s="25" t="n"/>
      <c r="M348" s="26" t="n"/>
      <c r="N348" s="25" t="n"/>
      <c r="O348" s="25">
        <f>IF(K348="","",K348+IFERROR(L348,0)+(K348*IF(M348="",CUSTOMS_PCT,M348))+IF(N348="",MISC_FEE,N348))</f>
        <v/>
      </c>
      <c r="P348" s="25">
        <f>IF(O348="","",ROUND(O348*(1+MARKUP_PCT),-1)-1)</f>
        <v/>
      </c>
      <c r="Q348" s="25">
        <f>IF(P348="","",P348-O348)</f>
        <v/>
      </c>
      <c r="R348" s="26">
        <f>IF(OR(P348="",P348=0),"",Q348/P348)</f>
        <v/>
      </c>
      <c r="S348" s="23" t="n"/>
      <c r="T348" s="23" t="n"/>
      <c r="U348" s="23" t="n"/>
      <c r="V348" s="23" t="n"/>
      <c r="W348" s="23" t="n"/>
      <c r="X348" s="23" t="n"/>
      <c r="Y348" s="23" t="n"/>
      <c r="Z348" s="23" t="n"/>
      <c r="AA348" s="23" t="n"/>
      <c r="AB348" s="23" t="n"/>
      <c r="AC348" s="27">
        <f>IF(COUNT(S348:AB348)&lt;10,"",(S348*W_FEMININE+T348*W_TREND+U348*W_AESTHETIC+V348*W_STYLE+W348*W_LIGHT+X348*W_REELS+Y348*W_GIFT+Z348*W_PRICEFIT+AA348*W_DEMAND+AB348*W_QUALITY)/5*100)</f>
        <v/>
      </c>
      <c r="AD348" s="23">
        <f>IF(P348="","",IF(P348&gt;HARD_REJECT_PRICE,"Reject",IF(P348&gt;MAX_PRICE,"Price Review",IF(AC348="","",IF(AND(AC348&gt;=BUY_THRESHOLD,OR(AB348&lt;=2,U348&lt;=2)),"Maybe",IF(AC348&gt;=BUY_THRESHOLD,"Buy",IF(AC348&gt;=MAYBE_THRESHOLD,"Maybe","Reject")))))))</f>
        <v/>
      </c>
      <c r="AE348" s="23" t="n"/>
      <c r="AF348" s="23" t="n"/>
      <c r="AG348" s="23" t="n"/>
      <c r="AH348" s="23" t="n"/>
      <c r="AI348" s="24" t="n"/>
      <c r="AJ348">
        <f>IF(AC348="",-9999-ROW()*0.0000001,AC348-ROW()*0.0000001)</f>
        <v/>
      </c>
      <c r="AK348">
        <f>IF(OR(AC348="",P348="",P348&gt;MAX_PRICE),-9999-ROW()*0.0000001,AC348-ROW()*0.0000001)</f>
        <v/>
      </c>
      <c r="AL348">
        <f>IF(AC348="",-9999-ROW()*0.0000001,X348*1000+AC348-ROW()*0.0000001)</f>
        <v/>
      </c>
      <c r="AM348">
        <f>IF(AC348="",-9999-ROW()*0.0000001,Y348*1000+AC348-ROW()*0.0000001)</f>
        <v/>
      </c>
      <c r="AN348">
        <f>IF(AND(OR(AD348="Maybe",AD348="Price Review"),AG348&lt;&gt;"Approved",AG348&lt;&gt;"Rejected"),IF(AC348="",0,AC348)-ROW()*0.0000001,-9999-ROW()*0.0000001)</f>
        <v/>
      </c>
      <c r="AO348" s="28" t="n"/>
      <c r="AP348" s="28" t="n"/>
      <c r="AQ348" s="29" t="n"/>
      <c r="AR348" s="29" t="n"/>
      <c r="AS348" s="23" t="n"/>
      <c r="AT348" s="29" t="n"/>
      <c r="AU348" s="29" t="n"/>
      <c r="AV348" s="29" t="n"/>
      <c r="AW348" s="25">
        <f>IF(OR(O348="",AV348=""),"",O348*AV348)</f>
        <v/>
      </c>
      <c r="AX348" s="23" t="n"/>
      <c r="AY348" s="23" t="n"/>
      <c r="AZ348" s="23" t="n"/>
      <c r="BA348" s="23" t="n"/>
      <c r="BB348" s="23" t="n"/>
      <c r="BC348" s="25" t="n"/>
      <c r="BD348" s="23" t="n"/>
      <c r="BE348" s="23">
        <f>IF(C348="","",IF(AND(ISNUMBER(P348),P348&gt;MAX_PRICE),"Price too high",IF(AND(ISNUMBER(AB348),AB348&lt;=2),"Quality risk",IF(AND(ISNUMBER(U348),U348&lt;=2),"Aesthetic mismatch",IF(AY348="High","Too fragile",IF(AND(ISNUMBER(R348),R348&lt;LOW_PROFIT_PCT),"Low profit",IF(AND(ISNUMBER(AT348),AT348&gt;MOQ_WARNING),"MOQ too high",IF(OR(AD348="Maybe",AD348="Price Review"),"Needs partner review",IF(AD348="Buy","Good candidate","")))))))))</f>
        <v/>
      </c>
      <c r="BF348" s="23" t="n"/>
      <c r="BG348" s="23" t="n"/>
      <c r="BH348" s="23" t="n"/>
      <c r="BI348" s="23" t="n"/>
      <c r="BJ348" s="23" t="n"/>
      <c r="BK348" s="23" t="n"/>
      <c r="BL348" s="23">
        <f>IF(C348="","",IF(AND(BG348="Yes",BH348="Yes",BI348="Yes",BJ348="Yes",BK348="Yes"),"Yes","No"))</f>
        <v/>
      </c>
      <c r="BM348" s="25" t="n"/>
      <c r="BN348" s="25" t="n"/>
      <c r="BO348" s="25">
        <f>IF(OR(BM348="",BN348=""),"",BM348+BN348)</f>
        <v/>
      </c>
      <c r="BP348" s="25" t="n"/>
      <c r="BQ348" s="25">
        <f>IF(OR(BP348="",BO348=""),"",BP348-BO348)</f>
        <v/>
      </c>
      <c r="BR348" s="26">
        <f>IF(OR(BP348="",BP348=0,BQ348=""),"",BQ348/BP348)</f>
        <v/>
      </c>
      <c r="BS348" s="24" t="n"/>
      <c r="BT348" s="29" t="n"/>
      <c r="BU348" s="29" t="n"/>
      <c r="BV348" s="23" t="n"/>
      <c r="BW348" s="23" t="n"/>
      <c r="BX348" s="29">
        <f>IF(OR(BT348="",BU348=""),"",BT348-BU348)</f>
        <v/>
      </c>
      <c r="BY348" s="23" t="n"/>
      <c r="BZ348" s="24" t="n"/>
      <c r="CA348" s="23" t="n"/>
      <c r="CB348" s="23" t="n"/>
    </row>
    <row r="349">
      <c r="A349" s="16">
        <f>IF(C349="","","AYN-"&amp;IFERROR(VLOOKUP(E349,CATEGORY_PREFIX_TABLE,2,FALSE),"OTH")&amp;"-"&amp;TEXT(ROW()-2,"0000"))</f>
        <v/>
      </c>
      <c r="B349" s="17" t="n"/>
      <c r="C349" s="16" t="n"/>
      <c r="D349" s="16" t="n"/>
      <c r="E349" s="16" t="n"/>
      <c r="F349" s="16" t="n"/>
      <c r="G349" s="16" t="n"/>
      <c r="H349" s="16" t="n"/>
      <c r="I349" s="16" t="n"/>
      <c r="J349" s="16" t="n"/>
      <c r="K349" s="18">
        <f>IF(I349="","",IF(J349="BDT",I349,IF(J349="USD",I349*USD_BDT,IF(J349="RMB",I349*RMB_BDT,""))))</f>
        <v/>
      </c>
      <c r="L349" s="18" t="n"/>
      <c r="M349" s="19" t="n"/>
      <c r="N349" s="18" t="n"/>
      <c r="O349" s="18">
        <f>IF(K349="","",K349+IFERROR(L349,0)+(K349*IF(M349="",CUSTOMS_PCT,M349))+IF(N349="",MISC_FEE,N349))</f>
        <v/>
      </c>
      <c r="P349" s="18">
        <f>IF(O349="","",ROUND(O349*(1+MARKUP_PCT),-1)-1)</f>
        <v/>
      </c>
      <c r="Q349" s="18">
        <f>IF(P349="","",P349-O349)</f>
        <v/>
      </c>
      <c r="R349" s="19">
        <f>IF(OR(P349="",P349=0),"",Q349/P349)</f>
        <v/>
      </c>
      <c r="S349" s="16" t="n"/>
      <c r="T349" s="16" t="n"/>
      <c r="U349" s="16" t="n"/>
      <c r="V349" s="16" t="n"/>
      <c r="W349" s="16" t="n"/>
      <c r="X349" s="16" t="n"/>
      <c r="Y349" s="16" t="n"/>
      <c r="Z349" s="16" t="n"/>
      <c r="AA349" s="16" t="n"/>
      <c r="AB349" s="16" t="n"/>
      <c r="AC349" s="20">
        <f>IF(COUNT(S349:AB349)&lt;10,"",(S349*W_FEMININE+T349*W_TREND+U349*W_AESTHETIC+V349*W_STYLE+W349*W_LIGHT+X349*W_REELS+Y349*W_GIFT+Z349*W_PRICEFIT+AA349*W_DEMAND+AB349*W_QUALITY)/5*100)</f>
        <v/>
      </c>
      <c r="AD349" s="16">
        <f>IF(P349="","",IF(P349&gt;HARD_REJECT_PRICE,"Reject",IF(P349&gt;MAX_PRICE,"Price Review",IF(AC349="","",IF(AND(AC349&gt;=BUY_THRESHOLD,OR(AB349&lt;=2,U349&lt;=2)),"Maybe",IF(AC349&gt;=BUY_THRESHOLD,"Buy",IF(AC349&gt;=MAYBE_THRESHOLD,"Maybe","Reject")))))))</f>
        <v/>
      </c>
      <c r="AE349" s="16" t="n"/>
      <c r="AF349" s="16" t="n"/>
      <c r="AG349" s="16" t="n"/>
      <c r="AH349" s="16" t="n"/>
      <c r="AI349" s="17" t="n"/>
      <c r="AJ349">
        <f>IF(AC349="",-9999-ROW()*0.0000001,AC349-ROW()*0.0000001)</f>
        <v/>
      </c>
      <c r="AK349">
        <f>IF(OR(AC349="",P349="",P349&gt;MAX_PRICE),-9999-ROW()*0.0000001,AC349-ROW()*0.0000001)</f>
        <v/>
      </c>
      <c r="AL349">
        <f>IF(AC349="",-9999-ROW()*0.0000001,X349*1000+AC349-ROW()*0.0000001)</f>
        <v/>
      </c>
      <c r="AM349">
        <f>IF(AC349="",-9999-ROW()*0.0000001,Y349*1000+AC349-ROW()*0.0000001)</f>
        <v/>
      </c>
      <c r="AN349">
        <f>IF(AND(OR(AD349="Maybe",AD349="Price Review"),AG349&lt;&gt;"Approved",AG349&lt;&gt;"Rejected"),IF(AC349="",0,AC349)-ROW()*0.0000001,-9999-ROW()*0.0000001)</f>
        <v/>
      </c>
      <c r="AO349" s="21" t="n"/>
      <c r="AP349" s="21" t="n"/>
      <c r="AQ349" s="22" t="n"/>
      <c r="AR349" s="22" t="n"/>
      <c r="AS349" s="16" t="n"/>
      <c r="AT349" s="22" t="n"/>
      <c r="AU349" s="22" t="n"/>
      <c r="AV349" s="22" t="n"/>
      <c r="AW349" s="18">
        <f>IF(OR(O349="",AV349=""),"",O349*AV349)</f>
        <v/>
      </c>
      <c r="AX349" s="16" t="n"/>
      <c r="AY349" s="16" t="n"/>
      <c r="AZ349" s="16" t="n"/>
      <c r="BA349" s="16" t="n"/>
      <c r="BB349" s="16" t="n"/>
      <c r="BC349" s="18" t="n"/>
      <c r="BD349" s="16" t="n"/>
      <c r="BE349" s="16">
        <f>IF(C349="","",IF(AND(ISNUMBER(P349),P349&gt;MAX_PRICE),"Price too high",IF(AND(ISNUMBER(AB349),AB349&lt;=2),"Quality risk",IF(AND(ISNUMBER(U349),U349&lt;=2),"Aesthetic mismatch",IF(AY349="High","Too fragile",IF(AND(ISNUMBER(R349),R349&lt;LOW_PROFIT_PCT),"Low profit",IF(AND(ISNUMBER(AT349),AT349&gt;MOQ_WARNING),"MOQ too high",IF(OR(AD349="Maybe",AD349="Price Review"),"Needs partner review",IF(AD349="Buy","Good candidate","")))))))))</f>
        <v/>
      </c>
      <c r="BF349" s="16" t="n"/>
      <c r="BG349" s="16" t="n"/>
      <c r="BH349" s="16" t="n"/>
      <c r="BI349" s="16" t="n"/>
      <c r="BJ349" s="16" t="n"/>
      <c r="BK349" s="16" t="n"/>
      <c r="BL349" s="16">
        <f>IF(C349="","",IF(AND(BG349="Yes",BH349="Yes",BI349="Yes",BJ349="Yes",BK349="Yes"),"Yes","No"))</f>
        <v/>
      </c>
      <c r="BM349" s="18" t="n"/>
      <c r="BN349" s="18" t="n"/>
      <c r="BO349" s="18">
        <f>IF(OR(BM349="",BN349=""),"",BM349+BN349)</f>
        <v/>
      </c>
      <c r="BP349" s="18" t="n"/>
      <c r="BQ349" s="18">
        <f>IF(OR(BP349="",BO349=""),"",BP349-BO349)</f>
        <v/>
      </c>
      <c r="BR349" s="19">
        <f>IF(OR(BP349="",BP349=0,BQ349=""),"",BQ349/BP349)</f>
        <v/>
      </c>
      <c r="BS349" s="17" t="n"/>
      <c r="BT349" s="22" t="n"/>
      <c r="BU349" s="22" t="n"/>
      <c r="BV349" s="16" t="n"/>
      <c r="BW349" s="16" t="n"/>
      <c r="BX349" s="22">
        <f>IF(OR(BT349="",BU349=""),"",BT349-BU349)</f>
        <v/>
      </c>
      <c r="BY349" s="16" t="n"/>
      <c r="BZ349" s="17" t="n"/>
      <c r="CA349" s="16" t="n"/>
      <c r="CB349" s="16" t="n"/>
    </row>
    <row r="350">
      <c r="A350" s="23">
        <f>IF(C350="","","AYN-"&amp;IFERROR(VLOOKUP(E350,CATEGORY_PREFIX_TABLE,2,FALSE),"OTH")&amp;"-"&amp;TEXT(ROW()-2,"0000"))</f>
        <v/>
      </c>
      <c r="B350" s="24" t="n"/>
      <c r="C350" s="23" t="n"/>
      <c r="D350" s="23" t="n"/>
      <c r="E350" s="23" t="n"/>
      <c r="F350" s="23" t="n"/>
      <c r="G350" s="23" t="n"/>
      <c r="H350" s="23" t="n"/>
      <c r="I350" s="23" t="n"/>
      <c r="J350" s="23" t="n"/>
      <c r="K350" s="25">
        <f>IF(I350="","",IF(J350="BDT",I350,IF(J350="USD",I350*USD_BDT,IF(J350="RMB",I350*RMB_BDT,""))))</f>
        <v/>
      </c>
      <c r="L350" s="25" t="n"/>
      <c r="M350" s="26" t="n"/>
      <c r="N350" s="25" t="n"/>
      <c r="O350" s="25">
        <f>IF(K350="","",K350+IFERROR(L350,0)+(K350*IF(M350="",CUSTOMS_PCT,M350))+IF(N350="",MISC_FEE,N350))</f>
        <v/>
      </c>
      <c r="P350" s="25">
        <f>IF(O350="","",ROUND(O350*(1+MARKUP_PCT),-1)-1)</f>
        <v/>
      </c>
      <c r="Q350" s="25">
        <f>IF(P350="","",P350-O350)</f>
        <v/>
      </c>
      <c r="R350" s="26">
        <f>IF(OR(P350="",P350=0),"",Q350/P350)</f>
        <v/>
      </c>
      <c r="S350" s="23" t="n"/>
      <c r="T350" s="23" t="n"/>
      <c r="U350" s="23" t="n"/>
      <c r="V350" s="23" t="n"/>
      <c r="W350" s="23" t="n"/>
      <c r="X350" s="23" t="n"/>
      <c r="Y350" s="23" t="n"/>
      <c r="Z350" s="23" t="n"/>
      <c r="AA350" s="23" t="n"/>
      <c r="AB350" s="23" t="n"/>
      <c r="AC350" s="27">
        <f>IF(COUNT(S350:AB350)&lt;10,"",(S350*W_FEMININE+T350*W_TREND+U350*W_AESTHETIC+V350*W_STYLE+W350*W_LIGHT+X350*W_REELS+Y350*W_GIFT+Z350*W_PRICEFIT+AA350*W_DEMAND+AB350*W_QUALITY)/5*100)</f>
        <v/>
      </c>
      <c r="AD350" s="23">
        <f>IF(P350="","",IF(P350&gt;HARD_REJECT_PRICE,"Reject",IF(P350&gt;MAX_PRICE,"Price Review",IF(AC350="","",IF(AND(AC350&gt;=BUY_THRESHOLD,OR(AB350&lt;=2,U350&lt;=2)),"Maybe",IF(AC350&gt;=BUY_THRESHOLD,"Buy",IF(AC350&gt;=MAYBE_THRESHOLD,"Maybe","Reject")))))))</f>
        <v/>
      </c>
      <c r="AE350" s="23" t="n"/>
      <c r="AF350" s="23" t="n"/>
      <c r="AG350" s="23" t="n"/>
      <c r="AH350" s="23" t="n"/>
      <c r="AI350" s="24" t="n"/>
      <c r="AJ350">
        <f>IF(AC350="",-9999-ROW()*0.0000001,AC350-ROW()*0.0000001)</f>
        <v/>
      </c>
      <c r="AK350">
        <f>IF(OR(AC350="",P350="",P350&gt;MAX_PRICE),-9999-ROW()*0.0000001,AC350-ROW()*0.0000001)</f>
        <v/>
      </c>
      <c r="AL350">
        <f>IF(AC350="",-9999-ROW()*0.0000001,X350*1000+AC350-ROW()*0.0000001)</f>
        <v/>
      </c>
      <c r="AM350">
        <f>IF(AC350="",-9999-ROW()*0.0000001,Y350*1000+AC350-ROW()*0.0000001)</f>
        <v/>
      </c>
      <c r="AN350">
        <f>IF(AND(OR(AD350="Maybe",AD350="Price Review"),AG350&lt;&gt;"Approved",AG350&lt;&gt;"Rejected"),IF(AC350="",0,AC350)-ROW()*0.0000001,-9999-ROW()*0.0000001)</f>
        <v/>
      </c>
      <c r="AO350" s="28" t="n"/>
      <c r="AP350" s="28" t="n"/>
      <c r="AQ350" s="29" t="n"/>
      <c r="AR350" s="29" t="n"/>
      <c r="AS350" s="23" t="n"/>
      <c r="AT350" s="29" t="n"/>
      <c r="AU350" s="29" t="n"/>
      <c r="AV350" s="29" t="n"/>
      <c r="AW350" s="25">
        <f>IF(OR(O350="",AV350=""),"",O350*AV350)</f>
        <v/>
      </c>
      <c r="AX350" s="23" t="n"/>
      <c r="AY350" s="23" t="n"/>
      <c r="AZ350" s="23" t="n"/>
      <c r="BA350" s="23" t="n"/>
      <c r="BB350" s="23" t="n"/>
      <c r="BC350" s="25" t="n"/>
      <c r="BD350" s="23" t="n"/>
      <c r="BE350" s="23">
        <f>IF(C350="","",IF(AND(ISNUMBER(P350),P350&gt;MAX_PRICE),"Price too high",IF(AND(ISNUMBER(AB350),AB350&lt;=2),"Quality risk",IF(AND(ISNUMBER(U350),U350&lt;=2),"Aesthetic mismatch",IF(AY350="High","Too fragile",IF(AND(ISNUMBER(R350),R350&lt;LOW_PROFIT_PCT),"Low profit",IF(AND(ISNUMBER(AT350),AT350&gt;MOQ_WARNING),"MOQ too high",IF(OR(AD350="Maybe",AD350="Price Review"),"Needs partner review",IF(AD350="Buy","Good candidate","")))))))))</f>
        <v/>
      </c>
      <c r="BF350" s="23" t="n"/>
      <c r="BG350" s="23" t="n"/>
      <c r="BH350" s="23" t="n"/>
      <c r="BI350" s="23" t="n"/>
      <c r="BJ350" s="23" t="n"/>
      <c r="BK350" s="23" t="n"/>
      <c r="BL350" s="23">
        <f>IF(C350="","",IF(AND(BG350="Yes",BH350="Yes",BI350="Yes",BJ350="Yes",BK350="Yes"),"Yes","No"))</f>
        <v/>
      </c>
      <c r="BM350" s="25" t="n"/>
      <c r="BN350" s="25" t="n"/>
      <c r="BO350" s="25">
        <f>IF(OR(BM350="",BN350=""),"",BM350+BN350)</f>
        <v/>
      </c>
      <c r="BP350" s="25" t="n"/>
      <c r="BQ350" s="25">
        <f>IF(OR(BP350="",BO350=""),"",BP350-BO350)</f>
        <v/>
      </c>
      <c r="BR350" s="26">
        <f>IF(OR(BP350="",BP350=0,BQ350=""),"",BQ350/BP350)</f>
        <v/>
      </c>
      <c r="BS350" s="24" t="n"/>
      <c r="BT350" s="29" t="n"/>
      <c r="BU350" s="29" t="n"/>
      <c r="BV350" s="23" t="n"/>
      <c r="BW350" s="23" t="n"/>
      <c r="BX350" s="29">
        <f>IF(OR(BT350="",BU350=""),"",BT350-BU350)</f>
        <v/>
      </c>
      <c r="BY350" s="23" t="n"/>
      <c r="BZ350" s="24" t="n"/>
      <c r="CA350" s="23" t="n"/>
      <c r="CB350" s="23" t="n"/>
    </row>
    <row r="351">
      <c r="A351" s="16">
        <f>IF(C351="","","AYN-"&amp;IFERROR(VLOOKUP(E351,CATEGORY_PREFIX_TABLE,2,FALSE),"OTH")&amp;"-"&amp;TEXT(ROW()-2,"0000"))</f>
        <v/>
      </c>
      <c r="B351" s="17" t="n"/>
      <c r="C351" s="16" t="n"/>
      <c r="D351" s="16" t="n"/>
      <c r="E351" s="16" t="n"/>
      <c r="F351" s="16" t="n"/>
      <c r="G351" s="16" t="n"/>
      <c r="H351" s="16" t="n"/>
      <c r="I351" s="16" t="n"/>
      <c r="J351" s="16" t="n"/>
      <c r="K351" s="18">
        <f>IF(I351="","",IF(J351="BDT",I351,IF(J351="USD",I351*USD_BDT,IF(J351="RMB",I351*RMB_BDT,""))))</f>
        <v/>
      </c>
      <c r="L351" s="18" t="n"/>
      <c r="M351" s="19" t="n"/>
      <c r="N351" s="18" t="n"/>
      <c r="O351" s="18">
        <f>IF(K351="","",K351+IFERROR(L351,0)+(K351*IF(M351="",CUSTOMS_PCT,M351))+IF(N351="",MISC_FEE,N351))</f>
        <v/>
      </c>
      <c r="P351" s="18">
        <f>IF(O351="","",ROUND(O351*(1+MARKUP_PCT),-1)-1)</f>
        <v/>
      </c>
      <c r="Q351" s="18">
        <f>IF(P351="","",P351-O351)</f>
        <v/>
      </c>
      <c r="R351" s="19">
        <f>IF(OR(P351="",P351=0),"",Q351/P351)</f>
        <v/>
      </c>
      <c r="S351" s="16" t="n"/>
      <c r="T351" s="16" t="n"/>
      <c r="U351" s="16" t="n"/>
      <c r="V351" s="16" t="n"/>
      <c r="W351" s="16" t="n"/>
      <c r="X351" s="16" t="n"/>
      <c r="Y351" s="16" t="n"/>
      <c r="Z351" s="16" t="n"/>
      <c r="AA351" s="16" t="n"/>
      <c r="AB351" s="16" t="n"/>
      <c r="AC351" s="20">
        <f>IF(COUNT(S351:AB351)&lt;10,"",(S351*W_FEMININE+T351*W_TREND+U351*W_AESTHETIC+V351*W_STYLE+W351*W_LIGHT+X351*W_REELS+Y351*W_GIFT+Z351*W_PRICEFIT+AA351*W_DEMAND+AB351*W_QUALITY)/5*100)</f>
        <v/>
      </c>
      <c r="AD351" s="16">
        <f>IF(P351="","",IF(P351&gt;HARD_REJECT_PRICE,"Reject",IF(P351&gt;MAX_PRICE,"Price Review",IF(AC351="","",IF(AND(AC351&gt;=BUY_THRESHOLD,OR(AB351&lt;=2,U351&lt;=2)),"Maybe",IF(AC351&gt;=BUY_THRESHOLD,"Buy",IF(AC351&gt;=MAYBE_THRESHOLD,"Maybe","Reject")))))))</f>
        <v/>
      </c>
      <c r="AE351" s="16" t="n"/>
      <c r="AF351" s="16" t="n"/>
      <c r="AG351" s="16" t="n"/>
      <c r="AH351" s="16" t="n"/>
      <c r="AI351" s="17" t="n"/>
      <c r="AJ351">
        <f>IF(AC351="",-9999-ROW()*0.0000001,AC351-ROW()*0.0000001)</f>
        <v/>
      </c>
      <c r="AK351">
        <f>IF(OR(AC351="",P351="",P351&gt;MAX_PRICE),-9999-ROW()*0.0000001,AC351-ROW()*0.0000001)</f>
        <v/>
      </c>
      <c r="AL351">
        <f>IF(AC351="",-9999-ROW()*0.0000001,X351*1000+AC351-ROW()*0.0000001)</f>
        <v/>
      </c>
      <c r="AM351">
        <f>IF(AC351="",-9999-ROW()*0.0000001,Y351*1000+AC351-ROW()*0.0000001)</f>
        <v/>
      </c>
      <c r="AN351">
        <f>IF(AND(OR(AD351="Maybe",AD351="Price Review"),AG351&lt;&gt;"Approved",AG351&lt;&gt;"Rejected"),IF(AC351="",0,AC351)-ROW()*0.0000001,-9999-ROW()*0.0000001)</f>
        <v/>
      </c>
      <c r="AO351" s="21" t="n"/>
      <c r="AP351" s="21" t="n"/>
      <c r="AQ351" s="22" t="n"/>
      <c r="AR351" s="22" t="n"/>
      <c r="AS351" s="16" t="n"/>
      <c r="AT351" s="22" t="n"/>
      <c r="AU351" s="22" t="n"/>
      <c r="AV351" s="22" t="n"/>
      <c r="AW351" s="18">
        <f>IF(OR(O351="",AV351=""),"",O351*AV351)</f>
        <v/>
      </c>
      <c r="AX351" s="16" t="n"/>
      <c r="AY351" s="16" t="n"/>
      <c r="AZ351" s="16" t="n"/>
      <c r="BA351" s="16" t="n"/>
      <c r="BB351" s="16" t="n"/>
      <c r="BC351" s="18" t="n"/>
      <c r="BD351" s="16" t="n"/>
      <c r="BE351" s="16">
        <f>IF(C351="","",IF(AND(ISNUMBER(P351),P351&gt;MAX_PRICE),"Price too high",IF(AND(ISNUMBER(AB351),AB351&lt;=2),"Quality risk",IF(AND(ISNUMBER(U351),U351&lt;=2),"Aesthetic mismatch",IF(AY351="High","Too fragile",IF(AND(ISNUMBER(R351),R351&lt;LOW_PROFIT_PCT),"Low profit",IF(AND(ISNUMBER(AT351),AT351&gt;MOQ_WARNING),"MOQ too high",IF(OR(AD351="Maybe",AD351="Price Review"),"Needs partner review",IF(AD351="Buy","Good candidate","")))))))))</f>
        <v/>
      </c>
      <c r="BF351" s="16" t="n"/>
      <c r="BG351" s="16" t="n"/>
      <c r="BH351" s="16" t="n"/>
      <c r="BI351" s="16" t="n"/>
      <c r="BJ351" s="16" t="n"/>
      <c r="BK351" s="16" t="n"/>
      <c r="BL351" s="16">
        <f>IF(C351="","",IF(AND(BG351="Yes",BH351="Yes",BI351="Yes",BJ351="Yes",BK351="Yes"),"Yes","No"))</f>
        <v/>
      </c>
      <c r="BM351" s="18" t="n"/>
      <c r="BN351" s="18" t="n"/>
      <c r="BO351" s="18">
        <f>IF(OR(BM351="",BN351=""),"",BM351+BN351)</f>
        <v/>
      </c>
      <c r="BP351" s="18" t="n"/>
      <c r="BQ351" s="18">
        <f>IF(OR(BP351="",BO351=""),"",BP351-BO351)</f>
        <v/>
      </c>
      <c r="BR351" s="19">
        <f>IF(OR(BP351="",BP351=0,BQ351=""),"",BQ351/BP351)</f>
        <v/>
      </c>
      <c r="BS351" s="17" t="n"/>
      <c r="BT351" s="22" t="n"/>
      <c r="BU351" s="22" t="n"/>
      <c r="BV351" s="16" t="n"/>
      <c r="BW351" s="16" t="n"/>
      <c r="BX351" s="22">
        <f>IF(OR(BT351="",BU351=""),"",BT351-BU351)</f>
        <v/>
      </c>
      <c r="BY351" s="16" t="n"/>
      <c r="BZ351" s="17" t="n"/>
      <c r="CA351" s="16" t="n"/>
      <c r="CB351" s="16" t="n"/>
    </row>
    <row r="352">
      <c r="A352" s="23">
        <f>IF(C352="","","AYN-"&amp;IFERROR(VLOOKUP(E352,CATEGORY_PREFIX_TABLE,2,FALSE),"OTH")&amp;"-"&amp;TEXT(ROW()-2,"0000"))</f>
        <v/>
      </c>
      <c r="B352" s="24" t="n"/>
      <c r="C352" s="23" t="n"/>
      <c r="D352" s="23" t="n"/>
      <c r="E352" s="23" t="n"/>
      <c r="F352" s="23" t="n"/>
      <c r="G352" s="23" t="n"/>
      <c r="H352" s="23" t="n"/>
      <c r="I352" s="23" t="n"/>
      <c r="J352" s="23" t="n"/>
      <c r="K352" s="25">
        <f>IF(I352="","",IF(J352="BDT",I352,IF(J352="USD",I352*USD_BDT,IF(J352="RMB",I352*RMB_BDT,""))))</f>
        <v/>
      </c>
      <c r="L352" s="25" t="n"/>
      <c r="M352" s="26" t="n"/>
      <c r="N352" s="25" t="n"/>
      <c r="O352" s="25">
        <f>IF(K352="","",K352+IFERROR(L352,0)+(K352*IF(M352="",CUSTOMS_PCT,M352))+IF(N352="",MISC_FEE,N352))</f>
        <v/>
      </c>
      <c r="P352" s="25">
        <f>IF(O352="","",ROUND(O352*(1+MARKUP_PCT),-1)-1)</f>
        <v/>
      </c>
      <c r="Q352" s="25">
        <f>IF(P352="","",P352-O352)</f>
        <v/>
      </c>
      <c r="R352" s="26">
        <f>IF(OR(P352="",P352=0),"",Q352/P352)</f>
        <v/>
      </c>
      <c r="S352" s="23" t="n"/>
      <c r="T352" s="23" t="n"/>
      <c r="U352" s="23" t="n"/>
      <c r="V352" s="23" t="n"/>
      <c r="W352" s="23" t="n"/>
      <c r="X352" s="23" t="n"/>
      <c r="Y352" s="23" t="n"/>
      <c r="Z352" s="23" t="n"/>
      <c r="AA352" s="23" t="n"/>
      <c r="AB352" s="23" t="n"/>
      <c r="AC352" s="27">
        <f>IF(COUNT(S352:AB352)&lt;10,"",(S352*W_FEMININE+T352*W_TREND+U352*W_AESTHETIC+V352*W_STYLE+W352*W_LIGHT+X352*W_REELS+Y352*W_GIFT+Z352*W_PRICEFIT+AA352*W_DEMAND+AB352*W_QUALITY)/5*100)</f>
        <v/>
      </c>
      <c r="AD352" s="23">
        <f>IF(P352="","",IF(P352&gt;HARD_REJECT_PRICE,"Reject",IF(P352&gt;MAX_PRICE,"Price Review",IF(AC352="","",IF(AND(AC352&gt;=BUY_THRESHOLD,OR(AB352&lt;=2,U352&lt;=2)),"Maybe",IF(AC352&gt;=BUY_THRESHOLD,"Buy",IF(AC352&gt;=MAYBE_THRESHOLD,"Maybe","Reject")))))))</f>
        <v/>
      </c>
      <c r="AE352" s="23" t="n"/>
      <c r="AF352" s="23" t="n"/>
      <c r="AG352" s="23" t="n"/>
      <c r="AH352" s="23" t="n"/>
      <c r="AI352" s="24" t="n"/>
      <c r="AJ352">
        <f>IF(AC352="",-9999-ROW()*0.0000001,AC352-ROW()*0.0000001)</f>
        <v/>
      </c>
      <c r="AK352">
        <f>IF(OR(AC352="",P352="",P352&gt;MAX_PRICE),-9999-ROW()*0.0000001,AC352-ROW()*0.0000001)</f>
        <v/>
      </c>
      <c r="AL352">
        <f>IF(AC352="",-9999-ROW()*0.0000001,X352*1000+AC352-ROW()*0.0000001)</f>
        <v/>
      </c>
      <c r="AM352">
        <f>IF(AC352="",-9999-ROW()*0.0000001,Y352*1000+AC352-ROW()*0.0000001)</f>
        <v/>
      </c>
      <c r="AN352">
        <f>IF(AND(OR(AD352="Maybe",AD352="Price Review"),AG352&lt;&gt;"Approved",AG352&lt;&gt;"Rejected"),IF(AC352="",0,AC352)-ROW()*0.0000001,-9999-ROW()*0.0000001)</f>
        <v/>
      </c>
      <c r="AO352" s="28" t="n"/>
      <c r="AP352" s="28" t="n"/>
      <c r="AQ352" s="29" t="n"/>
      <c r="AR352" s="29" t="n"/>
      <c r="AS352" s="23" t="n"/>
      <c r="AT352" s="29" t="n"/>
      <c r="AU352" s="29" t="n"/>
      <c r="AV352" s="29" t="n"/>
      <c r="AW352" s="25">
        <f>IF(OR(O352="",AV352=""),"",O352*AV352)</f>
        <v/>
      </c>
      <c r="AX352" s="23" t="n"/>
      <c r="AY352" s="23" t="n"/>
      <c r="AZ352" s="23" t="n"/>
      <c r="BA352" s="23" t="n"/>
      <c r="BB352" s="23" t="n"/>
      <c r="BC352" s="25" t="n"/>
      <c r="BD352" s="23" t="n"/>
      <c r="BE352" s="23">
        <f>IF(C352="","",IF(AND(ISNUMBER(P352),P352&gt;MAX_PRICE),"Price too high",IF(AND(ISNUMBER(AB352),AB352&lt;=2),"Quality risk",IF(AND(ISNUMBER(U352),U352&lt;=2),"Aesthetic mismatch",IF(AY352="High","Too fragile",IF(AND(ISNUMBER(R352),R352&lt;LOW_PROFIT_PCT),"Low profit",IF(AND(ISNUMBER(AT352),AT352&gt;MOQ_WARNING),"MOQ too high",IF(OR(AD352="Maybe",AD352="Price Review"),"Needs partner review",IF(AD352="Buy","Good candidate","")))))))))</f>
        <v/>
      </c>
      <c r="BF352" s="23" t="n"/>
      <c r="BG352" s="23" t="n"/>
      <c r="BH352" s="23" t="n"/>
      <c r="BI352" s="23" t="n"/>
      <c r="BJ352" s="23" t="n"/>
      <c r="BK352" s="23" t="n"/>
      <c r="BL352" s="23">
        <f>IF(C352="","",IF(AND(BG352="Yes",BH352="Yes",BI352="Yes",BJ352="Yes",BK352="Yes"),"Yes","No"))</f>
        <v/>
      </c>
      <c r="BM352" s="25" t="n"/>
      <c r="BN352" s="25" t="n"/>
      <c r="BO352" s="25">
        <f>IF(OR(BM352="",BN352=""),"",BM352+BN352)</f>
        <v/>
      </c>
      <c r="BP352" s="25" t="n"/>
      <c r="BQ352" s="25">
        <f>IF(OR(BP352="",BO352=""),"",BP352-BO352)</f>
        <v/>
      </c>
      <c r="BR352" s="26">
        <f>IF(OR(BP352="",BP352=0,BQ352=""),"",BQ352/BP352)</f>
        <v/>
      </c>
      <c r="BS352" s="24" t="n"/>
      <c r="BT352" s="29" t="n"/>
      <c r="BU352" s="29" t="n"/>
      <c r="BV352" s="23" t="n"/>
      <c r="BW352" s="23" t="n"/>
      <c r="BX352" s="29">
        <f>IF(OR(BT352="",BU352=""),"",BT352-BU352)</f>
        <v/>
      </c>
      <c r="BY352" s="23" t="n"/>
      <c r="BZ352" s="24" t="n"/>
      <c r="CA352" s="23" t="n"/>
      <c r="CB352" s="23" t="n"/>
    </row>
    <row r="353">
      <c r="A353" s="16">
        <f>IF(C353="","","AYN-"&amp;IFERROR(VLOOKUP(E353,CATEGORY_PREFIX_TABLE,2,FALSE),"OTH")&amp;"-"&amp;TEXT(ROW()-2,"0000"))</f>
        <v/>
      </c>
      <c r="B353" s="17" t="n"/>
      <c r="C353" s="16" t="n"/>
      <c r="D353" s="16" t="n"/>
      <c r="E353" s="16" t="n"/>
      <c r="F353" s="16" t="n"/>
      <c r="G353" s="16" t="n"/>
      <c r="H353" s="16" t="n"/>
      <c r="I353" s="16" t="n"/>
      <c r="J353" s="16" t="n"/>
      <c r="K353" s="18">
        <f>IF(I353="","",IF(J353="BDT",I353,IF(J353="USD",I353*USD_BDT,IF(J353="RMB",I353*RMB_BDT,""))))</f>
        <v/>
      </c>
      <c r="L353" s="18" t="n"/>
      <c r="M353" s="19" t="n"/>
      <c r="N353" s="18" t="n"/>
      <c r="O353" s="18">
        <f>IF(K353="","",K353+IFERROR(L353,0)+(K353*IF(M353="",CUSTOMS_PCT,M353))+IF(N353="",MISC_FEE,N353))</f>
        <v/>
      </c>
      <c r="P353" s="18">
        <f>IF(O353="","",ROUND(O353*(1+MARKUP_PCT),-1)-1)</f>
        <v/>
      </c>
      <c r="Q353" s="18">
        <f>IF(P353="","",P353-O353)</f>
        <v/>
      </c>
      <c r="R353" s="19">
        <f>IF(OR(P353="",P353=0),"",Q353/P353)</f>
        <v/>
      </c>
      <c r="S353" s="16" t="n"/>
      <c r="T353" s="16" t="n"/>
      <c r="U353" s="16" t="n"/>
      <c r="V353" s="16" t="n"/>
      <c r="W353" s="16" t="n"/>
      <c r="X353" s="16" t="n"/>
      <c r="Y353" s="16" t="n"/>
      <c r="Z353" s="16" t="n"/>
      <c r="AA353" s="16" t="n"/>
      <c r="AB353" s="16" t="n"/>
      <c r="AC353" s="20">
        <f>IF(COUNT(S353:AB353)&lt;10,"",(S353*W_FEMININE+T353*W_TREND+U353*W_AESTHETIC+V353*W_STYLE+W353*W_LIGHT+X353*W_REELS+Y353*W_GIFT+Z353*W_PRICEFIT+AA353*W_DEMAND+AB353*W_QUALITY)/5*100)</f>
        <v/>
      </c>
      <c r="AD353" s="16">
        <f>IF(P353="","",IF(P353&gt;HARD_REJECT_PRICE,"Reject",IF(P353&gt;MAX_PRICE,"Price Review",IF(AC353="","",IF(AND(AC353&gt;=BUY_THRESHOLD,OR(AB353&lt;=2,U353&lt;=2)),"Maybe",IF(AC353&gt;=BUY_THRESHOLD,"Buy",IF(AC353&gt;=MAYBE_THRESHOLD,"Maybe","Reject")))))))</f>
        <v/>
      </c>
      <c r="AE353" s="16" t="n"/>
      <c r="AF353" s="16" t="n"/>
      <c r="AG353" s="16" t="n"/>
      <c r="AH353" s="16" t="n"/>
      <c r="AI353" s="17" t="n"/>
      <c r="AJ353">
        <f>IF(AC353="",-9999-ROW()*0.0000001,AC353-ROW()*0.0000001)</f>
        <v/>
      </c>
      <c r="AK353">
        <f>IF(OR(AC353="",P353="",P353&gt;MAX_PRICE),-9999-ROW()*0.0000001,AC353-ROW()*0.0000001)</f>
        <v/>
      </c>
      <c r="AL353">
        <f>IF(AC353="",-9999-ROW()*0.0000001,X353*1000+AC353-ROW()*0.0000001)</f>
        <v/>
      </c>
      <c r="AM353">
        <f>IF(AC353="",-9999-ROW()*0.0000001,Y353*1000+AC353-ROW()*0.0000001)</f>
        <v/>
      </c>
      <c r="AN353">
        <f>IF(AND(OR(AD353="Maybe",AD353="Price Review"),AG353&lt;&gt;"Approved",AG353&lt;&gt;"Rejected"),IF(AC353="",0,AC353)-ROW()*0.0000001,-9999-ROW()*0.0000001)</f>
        <v/>
      </c>
      <c r="AO353" s="21" t="n"/>
      <c r="AP353" s="21" t="n"/>
      <c r="AQ353" s="22" t="n"/>
      <c r="AR353" s="22" t="n"/>
      <c r="AS353" s="16" t="n"/>
      <c r="AT353" s="22" t="n"/>
      <c r="AU353" s="22" t="n"/>
      <c r="AV353" s="22" t="n"/>
      <c r="AW353" s="18">
        <f>IF(OR(O353="",AV353=""),"",O353*AV353)</f>
        <v/>
      </c>
      <c r="AX353" s="16" t="n"/>
      <c r="AY353" s="16" t="n"/>
      <c r="AZ353" s="16" t="n"/>
      <c r="BA353" s="16" t="n"/>
      <c r="BB353" s="16" t="n"/>
      <c r="BC353" s="18" t="n"/>
      <c r="BD353" s="16" t="n"/>
      <c r="BE353" s="16">
        <f>IF(C353="","",IF(AND(ISNUMBER(P353),P353&gt;MAX_PRICE),"Price too high",IF(AND(ISNUMBER(AB353),AB353&lt;=2),"Quality risk",IF(AND(ISNUMBER(U353),U353&lt;=2),"Aesthetic mismatch",IF(AY353="High","Too fragile",IF(AND(ISNUMBER(R353),R353&lt;LOW_PROFIT_PCT),"Low profit",IF(AND(ISNUMBER(AT353),AT353&gt;MOQ_WARNING),"MOQ too high",IF(OR(AD353="Maybe",AD353="Price Review"),"Needs partner review",IF(AD353="Buy","Good candidate","")))))))))</f>
        <v/>
      </c>
      <c r="BF353" s="16" t="n"/>
      <c r="BG353" s="16" t="n"/>
      <c r="BH353" s="16" t="n"/>
      <c r="BI353" s="16" t="n"/>
      <c r="BJ353" s="16" t="n"/>
      <c r="BK353" s="16" t="n"/>
      <c r="BL353" s="16">
        <f>IF(C353="","",IF(AND(BG353="Yes",BH353="Yes",BI353="Yes",BJ353="Yes",BK353="Yes"),"Yes","No"))</f>
        <v/>
      </c>
      <c r="BM353" s="18" t="n"/>
      <c r="BN353" s="18" t="n"/>
      <c r="BO353" s="18">
        <f>IF(OR(BM353="",BN353=""),"",BM353+BN353)</f>
        <v/>
      </c>
      <c r="BP353" s="18" t="n"/>
      <c r="BQ353" s="18">
        <f>IF(OR(BP353="",BO353=""),"",BP353-BO353)</f>
        <v/>
      </c>
      <c r="BR353" s="19">
        <f>IF(OR(BP353="",BP353=0,BQ353=""),"",BQ353/BP353)</f>
        <v/>
      </c>
      <c r="BS353" s="17" t="n"/>
      <c r="BT353" s="22" t="n"/>
      <c r="BU353" s="22" t="n"/>
      <c r="BV353" s="16" t="n"/>
      <c r="BW353" s="16" t="n"/>
      <c r="BX353" s="22">
        <f>IF(OR(BT353="",BU353=""),"",BT353-BU353)</f>
        <v/>
      </c>
      <c r="BY353" s="16" t="n"/>
      <c r="BZ353" s="17" t="n"/>
      <c r="CA353" s="16" t="n"/>
      <c r="CB353" s="16" t="n"/>
    </row>
    <row r="354">
      <c r="A354" s="23">
        <f>IF(C354="","","AYN-"&amp;IFERROR(VLOOKUP(E354,CATEGORY_PREFIX_TABLE,2,FALSE),"OTH")&amp;"-"&amp;TEXT(ROW()-2,"0000"))</f>
        <v/>
      </c>
      <c r="B354" s="24" t="n"/>
      <c r="C354" s="23" t="n"/>
      <c r="D354" s="23" t="n"/>
      <c r="E354" s="23" t="n"/>
      <c r="F354" s="23" t="n"/>
      <c r="G354" s="23" t="n"/>
      <c r="H354" s="23" t="n"/>
      <c r="I354" s="23" t="n"/>
      <c r="J354" s="23" t="n"/>
      <c r="K354" s="25">
        <f>IF(I354="","",IF(J354="BDT",I354,IF(J354="USD",I354*USD_BDT,IF(J354="RMB",I354*RMB_BDT,""))))</f>
        <v/>
      </c>
      <c r="L354" s="25" t="n"/>
      <c r="M354" s="26" t="n"/>
      <c r="N354" s="25" t="n"/>
      <c r="O354" s="25">
        <f>IF(K354="","",K354+IFERROR(L354,0)+(K354*IF(M354="",CUSTOMS_PCT,M354))+IF(N354="",MISC_FEE,N354))</f>
        <v/>
      </c>
      <c r="P354" s="25">
        <f>IF(O354="","",ROUND(O354*(1+MARKUP_PCT),-1)-1)</f>
        <v/>
      </c>
      <c r="Q354" s="25">
        <f>IF(P354="","",P354-O354)</f>
        <v/>
      </c>
      <c r="R354" s="26">
        <f>IF(OR(P354="",P354=0),"",Q354/P354)</f>
        <v/>
      </c>
      <c r="S354" s="23" t="n"/>
      <c r="T354" s="23" t="n"/>
      <c r="U354" s="23" t="n"/>
      <c r="V354" s="23" t="n"/>
      <c r="W354" s="23" t="n"/>
      <c r="X354" s="23" t="n"/>
      <c r="Y354" s="23" t="n"/>
      <c r="Z354" s="23" t="n"/>
      <c r="AA354" s="23" t="n"/>
      <c r="AB354" s="23" t="n"/>
      <c r="AC354" s="27">
        <f>IF(COUNT(S354:AB354)&lt;10,"",(S354*W_FEMININE+T354*W_TREND+U354*W_AESTHETIC+V354*W_STYLE+W354*W_LIGHT+X354*W_REELS+Y354*W_GIFT+Z354*W_PRICEFIT+AA354*W_DEMAND+AB354*W_QUALITY)/5*100)</f>
        <v/>
      </c>
      <c r="AD354" s="23">
        <f>IF(P354="","",IF(P354&gt;HARD_REJECT_PRICE,"Reject",IF(P354&gt;MAX_PRICE,"Price Review",IF(AC354="","",IF(AND(AC354&gt;=BUY_THRESHOLD,OR(AB354&lt;=2,U354&lt;=2)),"Maybe",IF(AC354&gt;=BUY_THRESHOLD,"Buy",IF(AC354&gt;=MAYBE_THRESHOLD,"Maybe","Reject")))))))</f>
        <v/>
      </c>
      <c r="AE354" s="23" t="n"/>
      <c r="AF354" s="23" t="n"/>
      <c r="AG354" s="23" t="n"/>
      <c r="AH354" s="23" t="n"/>
      <c r="AI354" s="24" t="n"/>
      <c r="AJ354">
        <f>IF(AC354="",-9999-ROW()*0.0000001,AC354-ROW()*0.0000001)</f>
        <v/>
      </c>
      <c r="AK354">
        <f>IF(OR(AC354="",P354="",P354&gt;MAX_PRICE),-9999-ROW()*0.0000001,AC354-ROW()*0.0000001)</f>
        <v/>
      </c>
      <c r="AL354">
        <f>IF(AC354="",-9999-ROW()*0.0000001,X354*1000+AC354-ROW()*0.0000001)</f>
        <v/>
      </c>
      <c r="AM354">
        <f>IF(AC354="",-9999-ROW()*0.0000001,Y354*1000+AC354-ROW()*0.0000001)</f>
        <v/>
      </c>
      <c r="AN354">
        <f>IF(AND(OR(AD354="Maybe",AD354="Price Review"),AG354&lt;&gt;"Approved",AG354&lt;&gt;"Rejected"),IF(AC354="",0,AC354)-ROW()*0.0000001,-9999-ROW()*0.0000001)</f>
        <v/>
      </c>
      <c r="AO354" s="28" t="n"/>
      <c r="AP354" s="28" t="n"/>
      <c r="AQ354" s="29" t="n"/>
      <c r="AR354" s="29" t="n"/>
      <c r="AS354" s="23" t="n"/>
      <c r="AT354" s="29" t="n"/>
      <c r="AU354" s="29" t="n"/>
      <c r="AV354" s="29" t="n"/>
      <c r="AW354" s="25">
        <f>IF(OR(O354="",AV354=""),"",O354*AV354)</f>
        <v/>
      </c>
      <c r="AX354" s="23" t="n"/>
      <c r="AY354" s="23" t="n"/>
      <c r="AZ354" s="23" t="n"/>
      <c r="BA354" s="23" t="n"/>
      <c r="BB354" s="23" t="n"/>
      <c r="BC354" s="25" t="n"/>
      <c r="BD354" s="23" t="n"/>
      <c r="BE354" s="23">
        <f>IF(C354="","",IF(AND(ISNUMBER(P354),P354&gt;MAX_PRICE),"Price too high",IF(AND(ISNUMBER(AB354),AB354&lt;=2),"Quality risk",IF(AND(ISNUMBER(U354),U354&lt;=2),"Aesthetic mismatch",IF(AY354="High","Too fragile",IF(AND(ISNUMBER(R354),R354&lt;LOW_PROFIT_PCT),"Low profit",IF(AND(ISNUMBER(AT354),AT354&gt;MOQ_WARNING),"MOQ too high",IF(OR(AD354="Maybe",AD354="Price Review"),"Needs partner review",IF(AD354="Buy","Good candidate","")))))))))</f>
        <v/>
      </c>
      <c r="BF354" s="23" t="n"/>
      <c r="BG354" s="23" t="n"/>
      <c r="BH354" s="23" t="n"/>
      <c r="BI354" s="23" t="n"/>
      <c r="BJ354" s="23" t="n"/>
      <c r="BK354" s="23" t="n"/>
      <c r="BL354" s="23">
        <f>IF(C354="","",IF(AND(BG354="Yes",BH354="Yes",BI354="Yes",BJ354="Yes",BK354="Yes"),"Yes","No"))</f>
        <v/>
      </c>
      <c r="BM354" s="25" t="n"/>
      <c r="BN354" s="25" t="n"/>
      <c r="BO354" s="25">
        <f>IF(OR(BM354="",BN354=""),"",BM354+BN354)</f>
        <v/>
      </c>
      <c r="BP354" s="25" t="n"/>
      <c r="BQ354" s="25">
        <f>IF(OR(BP354="",BO354=""),"",BP354-BO354)</f>
        <v/>
      </c>
      <c r="BR354" s="26">
        <f>IF(OR(BP354="",BP354=0,BQ354=""),"",BQ354/BP354)</f>
        <v/>
      </c>
      <c r="BS354" s="24" t="n"/>
      <c r="BT354" s="29" t="n"/>
      <c r="BU354" s="29" t="n"/>
      <c r="BV354" s="23" t="n"/>
      <c r="BW354" s="23" t="n"/>
      <c r="BX354" s="29">
        <f>IF(OR(BT354="",BU354=""),"",BT354-BU354)</f>
        <v/>
      </c>
      <c r="BY354" s="23" t="n"/>
      <c r="BZ354" s="24" t="n"/>
      <c r="CA354" s="23" t="n"/>
      <c r="CB354" s="23" t="n"/>
    </row>
    <row r="355">
      <c r="A355" s="16">
        <f>IF(C355="","","AYN-"&amp;IFERROR(VLOOKUP(E355,CATEGORY_PREFIX_TABLE,2,FALSE),"OTH")&amp;"-"&amp;TEXT(ROW()-2,"0000"))</f>
        <v/>
      </c>
      <c r="B355" s="17" t="n"/>
      <c r="C355" s="16" t="n"/>
      <c r="D355" s="16" t="n"/>
      <c r="E355" s="16" t="n"/>
      <c r="F355" s="16" t="n"/>
      <c r="G355" s="16" t="n"/>
      <c r="H355" s="16" t="n"/>
      <c r="I355" s="16" t="n"/>
      <c r="J355" s="16" t="n"/>
      <c r="K355" s="18">
        <f>IF(I355="","",IF(J355="BDT",I355,IF(J355="USD",I355*USD_BDT,IF(J355="RMB",I355*RMB_BDT,""))))</f>
        <v/>
      </c>
      <c r="L355" s="18" t="n"/>
      <c r="M355" s="19" t="n"/>
      <c r="N355" s="18" t="n"/>
      <c r="O355" s="18">
        <f>IF(K355="","",K355+IFERROR(L355,0)+(K355*IF(M355="",CUSTOMS_PCT,M355))+IF(N355="",MISC_FEE,N355))</f>
        <v/>
      </c>
      <c r="P355" s="18">
        <f>IF(O355="","",ROUND(O355*(1+MARKUP_PCT),-1)-1)</f>
        <v/>
      </c>
      <c r="Q355" s="18">
        <f>IF(P355="","",P355-O355)</f>
        <v/>
      </c>
      <c r="R355" s="19">
        <f>IF(OR(P355="",P355=0),"",Q355/P355)</f>
        <v/>
      </c>
      <c r="S355" s="16" t="n"/>
      <c r="T355" s="16" t="n"/>
      <c r="U355" s="16" t="n"/>
      <c r="V355" s="16" t="n"/>
      <c r="W355" s="16" t="n"/>
      <c r="X355" s="16" t="n"/>
      <c r="Y355" s="16" t="n"/>
      <c r="Z355" s="16" t="n"/>
      <c r="AA355" s="16" t="n"/>
      <c r="AB355" s="16" t="n"/>
      <c r="AC355" s="20">
        <f>IF(COUNT(S355:AB355)&lt;10,"",(S355*W_FEMININE+T355*W_TREND+U355*W_AESTHETIC+V355*W_STYLE+W355*W_LIGHT+X355*W_REELS+Y355*W_GIFT+Z355*W_PRICEFIT+AA355*W_DEMAND+AB355*W_QUALITY)/5*100)</f>
        <v/>
      </c>
      <c r="AD355" s="16">
        <f>IF(P355="","",IF(P355&gt;HARD_REJECT_PRICE,"Reject",IF(P355&gt;MAX_PRICE,"Price Review",IF(AC355="","",IF(AND(AC355&gt;=BUY_THRESHOLD,OR(AB355&lt;=2,U355&lt;=2)),"Maybe",IF(AC355&gt;=BUY_THRESHOLD,"Buy",IF(AC355&gt;=MAYBE_THRESHOLD,"Maybe","Reject")))))))</f>
        <v/>
      </c>
      <c r="AE355" s="16" t="n"/>
      <c r="AF355" s="16" t="n"/>
      <c r="AG355" s="16" t="n"/>
      <c r="AH355" s="16" t="n"/>
      <c r="AI355" s="17" t="n"/>
      <c r="AJ355">
        <f>IF(AC355="",-9999-ROW()*0.0000001,AC355-ROW()*0.0000001)</f>
        <v/>
      </c>
      <c r="AK355">
        <f>IF(OR(AC355="",P355="",P355&gt;MAX_PRICE),-9999-ROW()*0.0000001,AC355-ROW()*0.0000001)</f>
        <v/>
      </c>
      <c r="AL355">
        <f>IF(AC355="",-9999-ROW()*0.0000001,X355*1000+AC355-ROW()*0.0000001)</f>
        <v/>
      </c>
      <c r="AM355">
        <f>IF(AC355="",-9999-ROW()*0.0000001,Y355*1000+AC355-ROW()*0.0000001)</f>
        <v/>
      </c>
      <c r="AN355">
        <f>IF(AND(OR(AD355="Maybe",AD355="Price Review"),AG355&lt;&gt;"Approved",AG355&lt;&gt;"Rejected"),IF(AC355="",0,AC355)-ROW()*0.0000001,-9999-ROW()*0.0000001)</f>
        <v/>
      </c>
      <c r="AO355" s="21" t="n"/>
      <c r="AP355" s="21" t="n"/>
      <c r="AQ355" s="22" t="n"/>
      <c r="AR355" s="22" t="n"/>
      <c r="AS355" s="16" t="n"/>
      <c r="AT355" s="22" t="n"/>
      <c r="AU355" s="22" t="n"/>
      <c r="AV355" s="22" t="n"/>
      <c r="AW355" s="18">
        <f>IF(OR(O355="",AV355=""),"",O355*AV355)</f>
        <v/>
      </c>
      <c r="AX355" s="16" t="n"/>
      <c r="AY355" s="16" t="n"/>
      <c r="AZ355" s="16" t="n"/>
      <c r="BA355" s="16" t="n"/>
      <c r="BB355" s="16" t="n"/>
      <c r="BC355" s="18" t="n"/>
      <c r="BD355" s="16" t="n"/>
      <c r="BE355" s="16">
        <f>IF(C355="","",IF(AND(ISNUMBER(P355),P355&gt;MAX_PRICE),"Price too high",IF(AND(ISNUMBER(AB355),AB355&lt;=2),"Quality risk",IF(AND(ISNUMBER(U355),U355&lt;=2),"Aesthetic mismatch",IF(AY355="High","Too fragile",IF(AND(ISNUMBER(R355),R355&lt;LOW_PROFIT_PCT),"Low profit",IF(AND(ISNUMBER(AT355),AT355&gt;MOQ_WARNING),"MOQ too high",IF(OR(AD355="Maybe",AD355="Price Review"),"Needs partner review",IF(AD355="Buy","Good candidate","")))))))))</f>
        <v/>
      </c>
      <c r="BF355" s="16" t="n"/>
      <c r="BG355" s="16" t="n"/>
      <c r="BH355" s="16" t="n"/>
      <c r="BI355" s="16" t="n"/>
      <c r="BJ355" s="16" t="n"/>
      <c r="BK355" s="16" t="n"/>
      <c r="BL355" s="16">
        <f>IF(C355="","",IF(AND(BG355="Yes",BH355="Yes",BI355="Yes",BJ355="Yes",BK355="Yes"),"Yes","No"))</f>
        <v/>
      </c>
      <c r="BM355" s="18" t="n"/>
      <c r="BN355" s="18" t="n"/>
      <c r="BO355" s="18">
        <f>IF(OR(BM355="",BN355=""),"",BM355+BN355)</f>
        <v/>
      </c>
      <c r="BP355" s="18" t="n"/>
      <c r="BQ355" s="18">
        <f>IF(OR(BP355="",BO355=""),"",BP355-BO355)</f>
        <v/>
      </c>
      <c r="BR355" s="19">
        <f>IF(OR(BP355="",BP355=0,BQ355=""),"",BQ355/BP355)</f>
        <v/>
      </c>
      <c r="BS355" s="17" t="n"/>
      <c r="BT355" s="22" t="n"/>
      <c r="BU355" s="22" t="n"/>
      <c r="BV355" s="16" t="n"/>
      <c r="BW355" s="16" t="n"/>
      <c r="BX355" s="22">
        <f>IF(OR(BT355="",BU355=""),"",BT355-BU355)</f>
        <v/>
      </c>
      <c r="BY355" s="16" t="n"/>
      <c r="BZ355" s="17" t="n"/>
      <c r="CA355" s="16" t="n"/>
      <c r="CB355" s="16" t="n"/>
    </row>
    <row r="356">
      <c r="A356" s="23">
        <f>IF(C356="","","AYN-"&amp;IFERROR(VLOOKUP(E356,CATEGORY_PREFIX_TABLE,2,FALSE),"OTH")&amp;"-"&amp;TEXT(ROW()-2,"0000"))</f>
        <v/>
      </c>
      <c r="B356" s="24" t="n"/>
      <c r="C356" s="23" t="n"/>
      <c r="D356" s="23" t="n"/>
      <c r="E356" s="23" t="n"/>
      <c r="F356" s="23" t="n"/>
      <c r="G356" s="23" t="n"/>
      <c r="H356" s="23" t="n"/>
      <c r="I356" s="23" t="n"/>
      <c r="J356" s="23" t="n"/>
      <c r="K356" s="25">
        <f>IF(I356="","",IF(J356="BDT",I356,IF(J356="USD",I356*USD_BDT,IF(J356="RMB",I356*RMB_BDT,""))))</f>
        <v/>
      </c>
      <c r="L356" s="25" t="n"/>
      <c r="M356" s="26" t="n"/>
      <c r="N356" s="25" t="n"/>
      <c r="O356" s="25">
        <f>IF(K356="","",K356+IFERROR(L356,0)+(K356*IF(M356="",CUSTOMS_PCT,M356))+IF(N356="",MISC_FEE,N356))</f>
        <v/>
      </c>
      <c r="P356" s="25">
        <f>IF(O356="","",ROUND(O356*(1+MARKUP_PCT),-1)-1)</f>
        <v/>
      </c>
      <c r="Q356" s="25">
        <f>IF(P356="","",P356-O356)</f>
        <v/>
      </c>
      <c r="R356" s="26">
        <f>IF(OR(P356="",P356=0),"",Q356/P356)</f>
        <v/>
      </c>
      <c r="S356" s="23" t="n"/>
      <c r="T356" s="23" t="n"/>
      <c r="U356" s="23" t="n"/>
      <c r="V356" s="23" t="n"/>
      <c r="W356" s="23" t="n"/>
      <c r="X356" s="23" t="n"/>
      <c r="Y356" s="23" t="n"/>
      <c r="Z356" s="23" t="n"/>
      <c r="AA356" s="23" t="n"/>
      <c r="AB356" s="23" t="n"/>
      <c r="AC356" s="27">
        <f>IF(COUNT(S356:AB356)&lt;10,"",(S356*W_FEMININE+T356*W_TREND+U356*W_AESTHETIC+V356*W_STYLE+W356*W_LIGHT+X356*W_REELS+Y356*W_GIFT+Z356*W_PRICEFIT+AA356*W_DEMAND+AB356*W_QUALITY)/5*100)</f>
        <v/>
      </c>
      <c r="AD356" s="23">
        <f>IF(P356="","",IF(P356&gt;HARD_REJECT_PRICE,"Reject",IF(P356&gt;MAX_PRICE,"Price Review",IF(AC356="","",IF(AND(AC356&gt;=BUY_THRESHOLD,OR(AB356&lt;=2,U356&lt;=2)),"Maybe",IF(AC356&gt;=BUY_THRESHOLD,"Buy",IF(AC356&gt;=MAYBE_THRESHOLD,"Maybe","Reject")))))))</f>
        <v/>
      </c>
      <c r="AE356" s="23" t="n"/>
      <c r="AF356" s="23" t="n"/>
      <c r="AG356" s="23" t="n"/>
      <c r="AH356" s="23" t="n"/>
      <c r="AI356" s="24" t="n"/>
      <c r="AJ356">
        <f>IF(AC356="",-9999-ROW()*0.0000001,AC356-ROW()*0.0000001)</f>
        <v/>
      </c>
      <c r="AK356">
        <f>IF(OR(AC356="",P356="",P356&gt;MAX_PRICE),-9999-ROW()*0.0000001,AC356-ROW()*0.0000001)</f>
        <v/>
      </c>
      <c r="AL356">
        <f>IF(AC356="",-9999-ROW()*0.0000001,X356*1000+AC356-ROW()*0.0000001)</f>
        <v/>
      </c>
      <c r="AM356">
        <f>IF(AC356="",-9999-ROW()*0.0000001,Y356*1000+AC356-ROW()*0.0000001)</f>
        <v/>
      </c>
      <c r="AN356">
        <f>IF(AND(OR(AD356="Maybe",AD356="Price Review"),AG356&lt;&gt;"Approved",AG356&lt;&gt;"Rejected"),IF(AC356="",0,AC356)-ROW()*0.0000001,-9999-ROW()*0.0000001)</f>
        <v/>
      </c>
      <c r="AO356" s="28" t="n"/>
      <c r="AP356" s="28" t="n"/>
      <c r="AQ356" s="29" t="n"/>
      <c r="AR356" s="29" t="n"/>
      <c r="AS356" s="23" t="n"/>
      <c r="AT356" s="29" t="n"/>
      <c r="AU356" s="29" t="n"/>
      <c r="AV356" s="29" t="n"/>
      <c r="AW356" s="25">
        <f>IF(OR(O356="",AV356=""),"",O356*AV356)</f>
        <v/>
      </c>
      <c r="AX356" s="23" t="n"/>
      <c r="AY356" s="23" t="n"/>
      <c r="AZ356" s="23" t="n"/>
      <c r="BA356" s="23" t="n"/>
      <c r="BB356" s="23" t="n"/>
      <c r="BC356" s="25" t="n"/>
      <c r="BD356" s="23" t="n"/>
      <c r="BE356" s="23">
        <f>IF(C356="","",IF(AND(ISNUMBER(P356),P356&gt;MAX_PRICE),"Price too high",IF(AND(ISNUMBER(AB356),AB356&lt;=2),"Quality risk",IF(AND(ISNUMBER(U356),U356&lt;=2),"Aesthetic mismatch",IF(AY356="High","Too fragile",IF(AND(ISNUMBER(R356),R356&lt;LOW_PROFIT_PCT),"Low profit",IF(AND(ISNUMBER(AT356),AT356&gt;MOQ_WARNING),"MOQ too high",IF(OR(AD356="Maybe",AD356="Price Review"),"Needs partner review",IF(AD356="Buy","Good candidate","")))))))))</f>
        <v/>
      </c>
      <c r="BF356" s="23" t="n"/>
      <c r="BG356" s="23" t="n"/>
      <c r="BH356" s="23" t="n"/>
      <c r="BI356" s="23" t="n"/>
      <c r="BJ356" s="23" t="n"/>
      <c r="BK356" s="23" t="n"/>
      <c r="BL356" s="23">
        <f>IF(C356="","",IF(AND(BG356="Yes",BH356="Yes",BI356="Yes",BJ356="Yes",BK356="Yes"),"Yes","No"))</f>
        <v/>
      </c>
      <c r="BM356" s="25" t="n"/>
      <c r="BN356" s="25" t="n"/>
      <c r="BO356" s="25">
        <f>IF(OR(BM356="",BN356=""),"",BM356+BN356)</f>
        <v/>
      </c>
      <c r="BP356" s="25" t="n"/>
      <c r="BQ356" s="25">
        <f>IF(OR(BP356="",BO356=""),"",BP356-BO356)</f>
        <v/>
      </c>
      <c r="BR356" s="26">
        <f>IF(OR(BP356="",BP356=0,BQ356=""),"",BQ356/BP356)</f>
        <v/>
      </c>
      <c r="BS356" s="24" t="n"/>
      <c r="BT356" s="29" t="n"/>
      <c r="BU356" s="29" t="n"/>
      <c r="BV356" s="23" t="n"/>
      <c r="BW356" s="23" t="n"/>
      <c r="BX356" s="29">
        <f>IF(OR(BT356="",BU356=""),"",BT356-BU356)</f>
        <v/>
      </c>
      <c r="BY356" s="23" t="n"/>
      <c r="BZ356" s="24" t="n"/>
      <c r="CA356" s="23" t="n"/>
      <c r="CB356" s="23" t="n"/>
    </row>
    <row r="357">
      <c r="A357" s="16">
        <f>IF(C357="","","AYN-"&amp;IFERROR(VLOOKUP(E357,CATEGORY_PREFIX_TABLE,2,FALSE),"OTH")&amp;"-"&amp;TEXT(ROW()-2,"0000"))</f>
        <v/>
      </c>
      <c r="B357" s="17" t="n"/>
      <c r="C357" s="16" t="n"/>
      <c r="D357" s="16" t="n"/>
      <c r="E357" s="16" t="n"/>
      <c r="F357" s="16" t="n"/>
      <c r="G357" s="16" t="n"/>
      <c r="H357" s="16" t="n"/>
      <c r="I357" s="16" t="n"/>
      <c r="J357" s="16" t="n"/>
      <c r="K357" s="18">
        <f>IF(I357="","",IF(J357="BDT",I357,IF(J357="USD",I357*USD_BDT,IF(J357="RMB",I357*RMB_BDT,""))))</f>
        <v/>
      </c>
      <c r="L357" s="18" t="n"/>
      <c r="M357" s="19" t="n"/>
      <c r="N357" s="18" t="n"/>
      <c r="O357" s="18">
        <f>IF(K357="","",K357+IFERROR(L357,0)+(K357*IF(M357="",CUSTOMS_PCT,M357))+IF(N357="",MISC_FEE,N357))</f>
        <v/>
      </c>
      <c r="P357" s="18">
        <f>IF(O357="","",ROUND(O357*(1+MARKUP_PCT),-1)-1)</f>
        <v/>
      </c>
      <c r="Q357" s="18">
        <f>IF(P357="","",P357-O357)</f>
        <v/>
      </c>
      <c r="R357" s="19">
        <f>IF(OR(P357="",P357=0),"",Q357/P357)</f>
        <v/>
      </c>
      <c r="S357" s="16" t="n"/>
      <c r="T357" s="16" t="n"/>
      <c r="U357" s="16" t="n"/>
      <c r="V357" s="16" t="n"/>
      <c r="W357" s="16" t="n"/>
      <c r="X357" s="16" t="n"/>
      <c r="Y357" s="16" t="n"/>
      <c r="Z357" s="16" t="n"/>
      <c r="AA357" s="16" t="n"/>
      <c r="AB357" s="16" t="n"/>
      <c r="AC357" s="20">
        <f>IF(COUNT(S357:AB357)&lt;10,"",(S357*W_FEMININE+T357*W_TREND+U357*W_AESTHETIC+V357*W_STYLE+W357*W_LIGHT+X357*W_REELS+Y357*W_GIFT+Z357*W_PRICEFIT+AA357*W_DEMAND+AB357*W_QUALITY)/5*100)</f>
        <v/>
      </c>
      <c r="AD357" s="16">
        <f>IF(P357="","",IF(P357&gt;HARD_REJECT_PRICE,"Reject",IF(P357&gt;MAX_PRICE,"Price Review",IF(AC357="","",IF(AND(AC357&gt;=BUY_THRESHOLD,OR(AB357&lt;=2,U357&lt;=2)),"Maybe",IF(AC357&gt;=BUY_THRESHOLD,"Buy",IF(AC357&gt;=MAYBE_THRESHOLD,"Maybe","Reject")))))))</f>
        <v/>
      </c>
      <c r="AE357" s="16" t="n"/>
      <c r="AF357" s="16" t="n"/>
      <c r="AG357" s="16" t="n"/>
      <c r="AH357" s="16" t="n"/>
      <c r="AI357" s="17" t="n"/>
      <c r="AJ357">
        <f>IF(AC357="",-9999-ROW()*0.0000001,AC357-ROW()*0.0000001)</f>
        <v/>
      </c>
      <c r="AK357">
        <f>IF(OR(AC357="",P357="",P357&gt;MAX_PRICE),-9999-ROW()*0.0000001,AC357-ROW()*0.0000001)</f>
        <v/>
      </c>
      <c r="AL357">
        <f>IF(AC357="",-9999-ROW()*0.0000001,X357*1000+AC357-ROW()*0.0000001)</f>
        <v/>
      </c>
      <c r="AM357">
        <f>IF(AC357="",-9999-ROW()*0.0000001,Y357*1000+AC357-ROW()*0.0000001)</f>
        <v/>
      </c>
      <c r="AN357">
        <f>IF(AND(OR(AD357="Maybe",AD357="Price Review"),AG357&lt;&gt;"Approved",AG357&lt;&gt;"Rejected"),IF(AC357="",0,AC357)-ROW()*0.0000001,-9999-ROW()*0.0000001)</f>
        <v/>
      </c>
      <c r="AO357" s="21" t="n"/>
      <c r="AP357" s="21" t="n"/>
      <c r="AQ357" s="22" t="n"/>
      <c r="AR357" s="22" t="n"/>
      <c r="AS357" s="16" t="n"/>
      <c r="AT357" s="22" t="n"/>
      <c r="AU357" s="22" t="n"/>
      <c r="AV357" s="22" t="n"/>
      <c r="AW357" s="18">
        <f>IF(OR(O357="",AV357=""),"",O357*AV357)</f>
        <v/>
      </c>
      <c r="AX357" s="16" t="n"/>
      <c r="AY357" s="16" t="n"/>
      <c r="AZ357" s="16" t="n"/>
      <c r="BA357" s="16" t="n"/>
      <c r="BB357" s="16" t="n"/>
      <c r="BC357" s="18" t="n"/>
      <c r="BD357" s="16" t="n"/>
      <c r="BE357" s="16">
        <f>IF(C357="","",IF(AND(ISNUMBER(P357),P357&gt;MAX_PRICE),"Price too high",IF(AND(ISNUMBER(AB357),AB357&lt;=2),"Quality risk",IF(AND(ISNUMBER(U357),U357&lt;=2),"Aesthetic mismatch",IF(AY357="High","Too fragile",IF(AND(ISNUMBER(R357),R357&lt;LOW_PROFIT_PCT),"Low profit",IF(AND(ISNUMBER(AT357),AT357&gt;MOQ_WARNING),"MOQ too high",IF(OR(AD357="Maybe",AD357="Price Review"),"Needs partner review",IF(AD357="Buy","Good candidate","")))))))))</f>
        <v/>
      </c>
      <c r="BF357" s="16" t="n"/>
      <c r="BG357" s="16" t="n"/>
      <c r="BH357" s="16" t="n"/>
      <c r="BI357" s="16" t="n"/>
      <c r="BJ357" s="16" t="n"/>
      <c r="BK357" s="16" t="n"/>
      <c r="BL357" s="16">
        <f>IF(C357="","",IF(AND(BG357="Yes",BH357="Yes",BI357="Yes",BJ357="Yes",BK357="Yes"),"Yes","No"))</f>
        <v/>
      </c>
      <c r="BM357" s="18" t="n"/>
      <c r="BN357" s="18" t="n"/>
      <c r="BO357" s="18">
        <f>IF(OR(BM357="",BN357=""),"",BM357+BN357)</f>
        <v/>
      </c>
      <c r="BP357" s="18" t="n"/>
      <c r="BQ357" s="18">
        <f>IF(OR(BP357="",BO357=""),"",BP357-BO357)</f>
        <v/>
      </c>
      <c r="BR357" s="19">
        <f>IF(OR(BP357="",BP357=0,BQ357=""),"",BQ357/BP357)</f>
        <v/>
      </c>
      <c r="BS357" s="17" t="n"/>
      <c r="BT357" s="22" t="n"/>
      <c r="BU357" s="22" t="n"/>
      <c r="BV357" s="16" t="n"/>
      <c r="BW357" s="16" t="n"/>
      <c r="BX357" s="22">
        <f>IF(OR(BT357="",BU357=""),"",BT357-BU357)</f>
        <v/>
      </c>
      <c r="BY357" s="16" t="n"/>
      <c r="BZ357" s="17" t="n"/>
      <c r="CA357" s="16" t="n"/>
      <c r="CB357" s="16" t="n"/>
    </row>
    <row r="358">
      <c r="A358" s="23">
        <f>IF(C358="","","AYN-"&amp;IFERROR(VLOOKUP(E358,CATEGORY_PREFIX_TABLE,2,FALSE),"OTH")&amp;"-"&amp;TEXT(ROW()-2,"0000"))</f>
        <v/>
      </c>
      <c r="B358" s="24" t="n"/>
      <c r="C358" s="23" t="n"/>
      <c r="D358" s="23" t="n"/>
      <c r="E358" s="23" t="n"/>
      <c r="F358" s="23" t="n"/>
      <c r="G358" s="23" t="n"/>
      <c r="H358" s="23" t="n"/>
      <c r="I358" s="23" t="n"/>
      <c r="J358" s="23" t="n"/>
      <c r="K358" s="25">
        <f>IF(I358="","",IF(J358="BDT",I358,IF(J358="USD",I358*USD_BDT,IF(J358="RMB",I358*RMB_BDT,""))))</f>
        <v/>
      </c>
      <c r="L358" s="25" t="n"/>
      <c r="M358" s="26" t="n"/>
      <c r="N358" s="25" t="n"/>
      <c r="O358" s="25">
        <f>IF(K358="","",K358+IFERROR(L358,0)+(K358*IF(M358="",CUSTOMS_PCT,M358))+IF(N358="",MISC_FEE,N358))</f>
        <v/>
      </c>
      <c r="P358" s="25">
        <f>IF(O358="","",ROUND(O358*(1+MARKUP_PCT),-1)-1)</f>
        <v/>
      </c>
      <c r="Q358" s="25">
        <f>IF(P358="","",P358-O358)</f>
        <v/>
      </c>
      <c r="R358" s="26">
        <f>IF(OR(P358="",P358=0),"",Q358/P358)</f>
        <v/>
      </c>
      <c r="S358" s="23" t="n"/>
      <c r="T358" s="23" t="n"/>
      <c r="U358" s="23" t="n"/>
      <c r="V358" s="23" t="n"/>
      <c r="W358" s="23" t="n"/>
      <c r="X358" s="23" t="n"/>
      <c r="Y358" s="23" t="n"/>
      <c r="Z358" s="23" t="n"/>
      <c r="AA358" s="23" t="n"/>
      <c r="AB358" s="23" t="n"/>
      <c r="AC358" s="27">
        <f>IF(COUNT(S358:AB358)&lt;10,"",(S358*W_FEMININE+T358*W_TREND+U358*W_AESTHETIC+V358*W_STYLE+W358*W_LIGHT+X358*W_REELS+Y358*W_GIFT+Z358*W_PRICEFIT+AA358*W_DEMAND+AB358*W_QUALITY)/5*100)</f>
        <v/>
      </c>
      <c r="AD358" s="23">
        <f>IF(P358="","",IF(P358&gt;HARD_REJECT_PRICE,"Reject",IF(P358&gt;MAX_PRICE,"Price Review",IF(AC358="","",IF(AND(AC358&gt;=BUY_THRESHOLD,OR(AB358&lt;=2,U358&lt;=2)),"Maybe",IF(AC358&gt;=BUY_THRESHOLD,"Buy",IF(AC358&gt;=MAYBE_THRESHOLD,"Maybe","Reject")))))))</f>
        <v/>
      </c>
      <c r="AE358" s="23" t="n"/>
      <c r="AF358" s="23" t="n"/>
      <c r="AG358" s="23" t="n"/>
      <c r="AH358" s="23" t="n"/>
      <c r="AI358" s="24" t="n"/>
      <c r="AJ358">
        <f>IF(AC358="",-9999-ROW()*0.0000001,AC358-ROW()*0.0000001)</f>
        <v/>
      </c>
      <c r="AK358">
        <f>IF(OR(AC358="",P358="",P358&gt;MAX_PRICE),-9999-ROW()*0.0000001,AC358-ROW()*0.0000001)</f>
        <v/>
      </c>
      <c r="AL358">
        <f>IF(AC358="",-9999-ROW()*0.0000001,X358*1000+AC358-ROW()*0.0000001)</f>
        <v/>
      </c>
      <c r="AM358">
        <f>IF(AC358="",-9999-ROW()*0.0000001,Y358*1000+AC358-ROW()*0.0000001)</f>
        <v/>
      </c>
      <c r="AN358">
        <f>IF(AND(OR(AD358="Maybe",AD358="Price Review"),AG358&lt;&gt;"Approved",AG358&lt;&gt;"Rejected"),IF(AC358="",0,AC358)-ROW()*0.0000001,-9999-ROW()*0.0000001)</f>
        <v/>
      </c>
      <c r="AO358" s="28" t="n"/>
      <c r="AP358" s="28" t="n"/>
      <c r="AQ358" s="29" t="n"/>
      <c r="AR358" s="29" t="n"/>
      <c r="AS358" s="23" t="n"/>
      <c r="AT358" s="29" t="n"/>
      <c r="AU358" s="29" t="n"/>
      <c r="AV358" s="29" t="n"/>
      <c r="AW358" s="25">
        <f>IF(OR(O358="",AV358=""),"",O358*AV358)</f>
        <v/>
      </c>
      <c r="AX358" s="23" t="n"/>
      <c r="AY358" s="23" t="n"/>
      <c r="AZ358" s="23" t="n"/>
      <c r="BA358" s="23" t="n"/>
      <c r="BB358" s="23" t="n"/>
      <c r="BC358" s="25" t="n"/>
      <c r="BD358" s="23" t="n"/>
      <c r="BE358" s="23">
        <f>IF(C358="","",IF(AND(ISNUMBER(P358),P358&gt;MAX_PRICE),"Price too high",IF(AND(ISNUMBER(AB358),AB358&lt;=2),"Quality risk",IF(AND(ISNUMBER(U358),U358&lt;=2),"Aesthetic mismatch",IF(AY358="High","Too fragile",IF(AND(ISNUMBER(R358),R358&lt;LOW_PROFIT_PCT),"Low profit",IF(AND(ISNUMBER(AT358),AT358&gt;MOQ_WARNING),"MOQ too high",IF(OR(AD358="Maybe",AD358="Price Review"),"Needs partner review",IF(AD358="Buy","Good candidate","")))))))))</f>
        <v/>
      </c>
      <c r="BF358" s="23" t="n"/>
      <c r="BG358" s="23" t="n"/>
      <c r="BH358" s="23" t="n"/>
      <c r="BI358" s="23" t="n"/>
      <c r="BJ358" s="23" t="n"/>
      <c r="BK358" s="23" t="n"/>
      <c r="BL358" s="23">
        <f>IF(C358="","",IF(AND(BG358="Yes",BH358="Yes",BI358="Yes",BJ358="Yes",BK358="Yes"),"Yes","No"))</f>
        <v/>
      </c>
      <c r="BM358" s="25" t="n"/>
      <c r="BN358" s="25" t="n"/>
      <c r="BO358" s="25">
        <f>IF(OR(BM358="",BN358=""),"",BM358+BN358)</f>
        <v/>
      </c>
      <c r="BP358" s="25" t="n"/>
      <c r="BQ358" s="25">
        <f>IF(OR(BP358="",BO358=""),"",BP358-BO358)</f>
        <v/>
      </c>
      <c r="BR358" s="26">
        <f>IF(OR(BP358="",BP358=0,BQ358=""),"",BQ358/BP358)</f>
        <v/>
      </c>
      <c r="BS358" s="24" t="n"/>
      <c r="BT358" s="29" t="n"/>
      <c r="BU358" s="29" t="n"/>
      <c r="BV358" s="23" t="n"/>
      <c r="BW358" s="23" t="n"/>
      <c r="BX358" s="29">
        <f>IF(OR(BT358="",BU358=""),"",BT358-BU358)</f>
        <v/>
      </c>
      <c r="BY358" s="23" t="n"/>
      <c r="BZ358" s="24" t="n"/>
      <c r="CA358" s="23" t="n"/>
      <c r="CB358" s="23" t="n"/>
    </row>
    <row r="359">
      <c r="A359" s="16">
        <f>IF(C359="","","AYN-"&amp;IFERROR(VLOOKUP(E359,CATEGORY_PREFIX_TABLE,2,FALSE),"OTH")&amp;"-"&amp;TEXT(ROW()-2,"0000"))</f>
        <v/>
      </c>
      <c r="B359" s="17" t="n"/>
      <c r="C359" s="16" t="n"/>
      <c r="D359" s="16" t="n"/>
      <c r="E359" s="16" t="n"/>
      <c r="F359" s="16" t="n"/>
      <c r="G359" s="16" t="n"/>
      <c r="H359" s="16" t="n"/>
      <c r="I359" s="16" t="n"/>
      <c r="J359" s="16" t="n"/>
      <c r="K359" s="18">
        <f>IF(I359="","",IF(J359="BDT",I359,IF(J359="USD",I359*USD_BDT,IF(J359="RMB",I359*RMB_BDT,""))))</f>
        <v/>
      </c>
      <c r="L359" s="18" t="n"/>
      <c r="M359" s="19" t="n"/>
      <c r="N359" s="18" t="n"/>
      <c r="O359" s="18">
        <f>IF(K359="","",K359+IFERROR(L359,0)+(K359*IF(M359="",CUSTOMS_PCT,M359))+IF(N359="",MISC_FEE,N359))</f>
        <v/>
      </c>
      <c r="P359" s="18">
        <f>IF(O359="","",ROUND(O359*(1+MARKUP_PCT),-1)-1)</f>
        <v/>
      </c>
      <c r="Q359" s="18">
        <f>IF(P359="","",P359-O359)</f>
        <v/>
      </c>
      <c r="R359" s="19">
        <f>IF(OR(P359="",P359=0),"",Q359/P359)</f>
        <v/>
      </c>
      <c r="S359" s="16" t="n"/>
      <c r="T359" s="16" t="n"/>
      <c r="U359" s="16" t="n"/>
      <c r="V359" s="16" t="n"/>
      <c r="W359" s="16" t="n"/>
      <c r="X359" s="16" t="n"/>
      <c r="Y359" s="16" t="n"/>
      <c r="Z359" s="16" t="n"/>
      <c r="AA359" s="16" t="n"/>
      <c r="AB359" s="16" t="n"/>
      <c r="AC359" s="20">
        <f>IF(COUNT(S359:AB359)&lt;10,"",(S359*W_FEMININE+T359*W_TREND+U359*W_AESTHETIC+V359*W_STYLE+W359*W_LIGHT+X359*W_REELS+Y359*W_GIFT+Z359*W_PRICEFIT+AA359*W_DEMAND+AB359*W_QUALITY)/5*100)</f>
        <v/>
      </c>
      <c r="AD359" s="16">
        <f>IF(P359="","",IF(P359&gt;HARD_REJECT_PRICE,"Reject",IF(P359&gt;MAX_PRICE,"Price Review",IF(AC359="","",IF(AND(AC359&gt;=BUY_THRESHOLD,OR(AB359&lt;=2,U359&lt;=2)),"Maybe",IF(AC359&gt;=BUY_THRESHOLD,"Buy",IF(AC359&gt;=MAYBE_THRESHOLD,"Maybe","Reject")))))))</f>
        <v/>
      </c>
      <c r="AE359" s="16" t="n"/>
      <c r="AF359" s="16" t="n"/>
      <c r="AG359" s="16" t="n"/>
      <c r="AH359" s="16" t="n"/>
      <c r="AI359" s="17" t="n"/>
      <c r="AJ359">
        <f>IF(AC359="",-9999-ROW()*0.0000001,AC359-ROW()*0.0000001)</f>
        <v/>
      </c>
      <c r="AK359">
        <f>IF(OR(AC359="",P359="",P359&gt;MAX_PRICE),-9999-ROW()*0.0000001,AC359-ROW()*0.0000001)</f>
        <v/>
      </c>
      <c r="AL359">
        <f>IF(AC359="",-9999-ROW()*0.0000001,X359*1000+AC359-ROW()*0.0000001)</f>
        <v/>
      </c>
      <c r="AM359">
        <f>IF(AC359="",-9999-ROW()*0.0000001,Y359*1000+AC359-ROW()*0.0000001)</f>
        <v/>
      </c>
      <c r="AN359">
        <f>IF(AND(OR(AD359="Maybe",AD359="Price Review"),AG359&lt;&gt;"Approved",AG359&lt;&gt;"Rejected"),IF(AC359="",0,AC359)-ROW()*0.0000001,-9999-ROW()*0.0000001)</f>
        <v/>
      </c>
      <c r="AO359" s="21" t="n"/>
      <c r="AP359" s="21" t="n"/>
      <c r="AQ359" s="22" t="n"/>
      <c r="AR359" s="22" t="n"/>
      <c r="AS359" s="16" t="n"/>
      <c r="AT359" s="22" t="n"/>
      <c r="AU359" s="22" t="n"/>
      <c r="AV359" s="22" t="n"/>
      <c r="AW359" s="18">
        <f>IF(OR(O359="",AV359=""),"",O359*AV359)</f>
        <v/>
      </c>
      <c r="AX359" s="16" t="n"/>
      <c r="AY359" s="16" t="n"/>
      <c r="AZ359" s="16" t="n"/>
      <c r="BA359" s="16" t="n"/>
      <c r="BB359" s="16" t="n"/>
      <c r="BC359" s="18" t="n"/>
      <c r="BD359" s="16" t="n"/>
      <c r="BE359" s="16">
        <f>IF(C359="","",IF(AND(ISNUMBER(P359),P359&gt;MAX_PRICE),"Price too high",IF(AND(ISNUMBER(AB359),AB359&lt;=2),"Quality risk",IF(AND(ISNUMBER(U359),U359&lt;=2),"Aesthetic mismatch",IF(AY359="High","Too fragile",IF(AND(ISNUMBER(R359),R359&lt;LOW_PROFIT_PCT),"Low profit",IF(AND(ISNUMBER(AT359),AT359&gt;MOQ_WARNING),"MOQ too high",IF(OR(AD359="Maybe",AD359="Price Review"),"Needs partner review",IF(AD359="Buy","Good candidate","")))))))))</f>
        <v/>
      </c>
      <c r="BF359" s="16" t="n"/>
      <c r="BG359" s="16" t="n"/>
      <c r="BH359" s="16" t="n"/>
      <c r="BI359" s="16" t="n"/>
      <c r="BJ359" s="16" t="n"/>
      <c r="BK359" s="16" t="n"/>
      <c r="BL359" s="16">
        <f>IF(C359="","",IF(AND(BG359="Yes",BH359="Yes",BI359="Yes",BJ359="Yes",BK359="Yes"),"Yes","No"))</f>
        <v/>
      </c>
      <c r="BM359" s="18" t="n"/>
      <c r="BN359" s="18" t="n"/>
      <c r="BO359" s="18">
        <f>IF(OR(BM359="",BN359=""),"",BM359+BN359)</f>
        <v/>
      </c>
      <c r="BP359" s="18" t="n"/>
      <c r="BQ359" s="18">
        <f>IF(OR(BP359="",BO359=""),"",BP359-BO359)</f>
        <v/>
      </c>
      <c r="BR359" s="19">
        <f>IF(OR(BP359="",BP359=0,BQ359=""),"",BQ359/BP359)</f>
        <v/>
      </c>
      <c r="BS359" s="17" t="n"/>
      <c r="BT359" s="22" t="n"/>
      <c r="BU359" s="22" t="n"/>
      <c r="BV359" s="16" t="n"/>
      <c r="BW359" s="16" t="n"/>
      <c r="BX359" s="22">
        <f>IF(OR(BT359="",BU359=""),"",BT359-BU359)</f>
        <v/>
      </c>
      <c r="BY359" s="16" t="n"/>
      <c r="BZ359" s="17" t="n"/>
      <c r="CA359" s="16" t="n"/>
      <c r="CB359" s="16" t="n"/>
    </row>
    <row r="360">
      <c r="A360" s="23">
        <f>IF(C360="","","AYN-"&amp;IFERROR(VLOOKUP(E360,CATEGORY_PREFIX_TABLE,2,FALSE),"OTH")&amp;"-"&amp;TEXT(ROW()-2,"0000"))</f>
        <v/>
      </c>
      <c r="B360" s="24" t="n"/>
      <c r="C360" s="23" t="n"/>
      <c r="D360" s="23" t="n"/>
      <c r="E360" s="23" t="n"/>
      <c r="F360" s="23" t="n"/>
      <c r="G360" s="23" t="n"/>
      <c r="H360" s="23" t="n"/>
      <c r="I360" s="23" t="n"/>
      <c r="J360" s="23" t="n"/>
      <c r="K360" s="25">
        <f>IF(I360="","",IF(J360="BDT",I360,IF(J360="USD",I360*USD_BDT,IF(J360="RMB",I360*RMB_BDT,""))))</f>
        <v/>
      </c>
      <c r="L360" s="25" t="n"/>
      <c r="M360" s="26" t="n"/>
      <c r="N360" s="25" t="n"/>
      <c r="O360" s="25">
        <f>IF(K360="","",K360+IFERROR(L360,0)+(K360*IF(M360="",CUSTOMS_PCT,M360))+IF(N360="",MISC_FEE,N360))</f>
        <v/>
      </c>
      <c r="P360" s="25">
        <f>IF(O360="","",ROUND(O360*(1+MARKUP_PCT),-1)-1)</f>
        <v/>
      </c>
      <c r="Q360" s="25">
        <f>IF(P360="","",P360-O360)</f>
        <v/>
      </c>
      <c r="R360" s="26">
        <f>IF(OR(P360="",P360=0),"",Q360/P360)</f>
        <v/>
      </c>
      <c r="S360" s="23" t="n"/>
      <c r="T360" s="23" t="n"/>
      <c r="U360" s="23" t="n"/>
      <c r="V360" s="23" t="n"/>
      <c r="W360" s="23" t="n"/>
      <c r="X360" s="23" t="n"/>
      <c r="Y360" s="23" t="n"/>
      <c r="Z360" s="23" t="n"/>
      <c r="AA360" s="23" t="n"/>
      <c r="AB360" s="23" t="n"/>
      <c r="AC360" s="27">
        <f>IF(COUNT(S360:AB360)&lt;10,"",(S360*W_FEMININE+T360*W_TREND+U360*W_AESTHETIC+V360*W_STYLE+W360*W_LIGHT+X360*W_REELS+Y360*W_GIFT+Z360*W_PRICEFIT+AA360*W_DEMAND+AB360*W_QUALITY)/5*100)</f>
        <v/>
      </c>
      <c r="AD360" s="23">
        <f>IF(P360="","",IF(P360&gt;HARD_REJECT_PRICE,"Reject",IF(P360&gt;MAX_PRICE,"Price Review",IF(AC360="","",IF(AND(AC360&gt;=BUY_THRESHOLD,OR(AB360&lt;=2,U360&lt;=2)),"Maybe",IF(AC360&gt;=BUY_THRESHOLD,"Buy",IF(AC360&gt;=MAYBE_THRESHOLD,"Maybe","Reject")))))))</f>
        <v/>
      </c>
      <c r="AE360" s="23" t="n"/>
      <c r="AF360" s="23" t="n"/>
      <c r="AG360" s="23" t="n"/>
      <c r="AH360" s="23" t="n"/>
      <c r="AI360" s="24" t="n"/>
      <c r="AJ360">
        <f>IF(AC360="",-9999-ROW()*0.0000001,AC360-ROW()*0.0000001)</f>
        <v/>
      </c>
      <c r="AK360">
        <f>IF(OR(AC360="",P360="",P360&gt;MAX_PRICE),-9999-ROW()*0.0000001,AC360-ROW()*0.0000001)</f>
        <v/>
      </c>
      <c r="AL360">
        <f>IF(AC360="",-9999-ROW()*0.0000001,X360*1000+AC360-ROW()*0.0000001)</f>
        <v/>
      </c>
      <c r="AM360">
        <f>IF(AC360="",-9999-ROW()*0.0000001,Y360*1000+AC360-ROW()*0.0000001)</f>
        <v/>
      </c>
      <c r="AN360">
        <f>IF(AND(OR(AD360="Maybe",AD360="Price Review"),AG360&lt;&gt;"Approved",AG360&lt;&gt;"Rejected"),IF(AC360="",0,AC360)-ROW()*0.0000001,-9999-ROW()*0.0000001)</f>
        <v/>
      </c>
      <c r="AO360" s="28" t="n"/>
      <c r="AP360" s="28" t="n"/>
      <c r="AQ360" s="29" t="n"/>
      <c r="AR360" s="29" t="n"/>
      <c r="AS360" s="23" t="n"/>
      <c r="AT360" s="29" t="n"/>
      <c r="AU360" s="29" t="n"/>
      <c r="AV360" s="29" t="n"/>
      <c r="AW360" s="25">
        <f>IF(OR(O360="",AV360=""),"",O360*AV360)</f>
        <v/>
      </c>
      <c r="AX360" s="23" t="n"/>
      <c r="AY360" s="23" t="n"/>
      <c r="AZ360" s="23" t="n"/>
      <c r="BA360" s="23" t="n"/>
      <c r="BB360" s="23" t="n"/>
      <c r="BC360" s="25" t="n"/>
      <c r="BD360" s="23" t="n"/>
      <c r="BE360" s="23">
        <f>IF(C360="","",IF(AND(ISNUMBER(P360),P360&gt;MAX_PRICE),"Price too high",IF(AND(ISNUMBER(AB360),AB360&lt;=2),"Quality risk",IF(AND(ISNUMBER(U360),U360&lt;=2),"Aesthetic mismatch",IF(AY360="High","Too fragile",IF(AND(ISNUMBER(R360),R360&lt;LOW_PROFIT_PCT),"Low profit",IF(AND(ISNUMBER(AT360),AT360&gt;MOQ_WARNING),"MOQ too high",IF(OR(AD360="Maybe",AD360="Price Review"),"Needs partner review",IF(AD360="Buy","Good candidate","")))))))))</f>
        <v/>
      </c>
      <c r="BF360" s="23" t="n"/>
      <c r="BG360" s="23" t="n"/>
      <c r="BH360" s="23" t="n"/>
      <c r="BI360" s="23" t="n"/>
      <c r="BJ360" s="23" t="n"/>
      <c r="BK360" s="23" t="n"/>
      <c r="BL360" s="23">
        <f>IF(C360="","",IF(AND(BG360="Yes",BH360="Yes",BI360="Yes",BJ360="Yes",BK360="Yes"),"Yes","No"))</f>
        <v/>
      </c>
      <c r="BM360" s="25" t="n"/>
      <c r="BN360" s="25" t="n"/>
      <c r="BO360" s="25">
        <f>IF(OR(BM360="",BN360=""),"",BM360+BN360)</f>
        <v/>
      </c>
      <c r="BP360" s="25" t="n"/>
      <c r="BQ360" s="25">
        <f>IF(OR(BP360="",BO360=""),"",BP360-BO360)</f>
        <v/>
      </c>
      <c r="BR360" s="26">
        <f>IF(OR(BP360="",BP360=0,BQ360=""),"",BQ360/BP360)</f>
        <v/>
      </c>
      <c r="BS360" s="24" t="n"/>
      <c r="BT360" s="29" t="n"/>
      <c r="BU360" s="29" t="n"/>
      <c r="BV360" s="23" t="n"/>
      <c r="BW360" s="23" t="n"/>
      <c r="BX360" s="29">
        <f>IF(OR(BT360="",BU360=""),"",BT360-BU360)</f>
        <v/>
      </c>
      <c r="BY360" s="23" t="n"/>
      <c r="BZ360" s="24" t="n"/>
      <c r="CA360" s="23" t="n"/>
      <c r="CB360" s="23" t="n"/>
    </row>
    <row r="361">
      <c r="A361" s="16">
        <f>IF(C361="","","AYN-"&amp;IFERROR(VLOOKUP(E361,CATEGORY_PREFIX_TABLE,2,FALSE),"OTH")&amp;"-"&amp;TEXT(ROW()-2,"0000"))</f>
        <v/>
      </c>
      <c r="B361" s="17" t="n"/>
      <c r="C361" s="16" t="n"/>
      <c r="D361" s="16" t="n"/>
      <c r="E361" s="16" t="n"/>
      <c r="F361" s="16" t="n"/>
      <c r="G361" s="16" t="n"/>
      <c r="H361" s="16" t="n"/>
      <c r="I361" s="16" t="n"/>
      <c r="J361" s="16" t="n"/>
      <c r="K361" s="18">
        <f>IF(I361="","",IF(J361="BDT",I361,IF(J361="USD",I361*USD_BDT,IF(J361="RMB",I361*RMB_BDT,""))))</f>
        <v/>
      </c>
      <c r="L361" s="18" t="n"/>
      <c r="M361" s="19" t="n"/>
      <c r="N361" s="18" t="n"/>
      <c r="O361" s="18">
        <f>IF(K361="","",K361+IFERROR(L361,0)+(K361*IF(M361="",CUSTOMS_PCT,M361))+IF(N361="",MISC_FEE,N361))</f>
        <v/>
      </c>
      <c r="P361" s="18">
        <f>IF(O361="","",ROUND(O361*(1+MARKUP_PCT),-1)-1)</f>
        <v/>
      </c>
      <c r="Q361" s="18">
        <f>IF(P361="","",P361-O361)</f>
        <v/>
      </c>
      <c r="R361" s="19">
        <f>IF(OR(P361="",P361=0),"",Q361/P361)</f>
        <v/>
      </c>
      <c r="S361" s="16" t="n"/>
      <c r="T361" s="16" t="n"/>
      <c r="U361" s="16" t="n"/>
      <c r="V361" s="16" t="n"/>
      <c r="W361" s="16" t="n"/>
      <c r="X361" s="16" t="n"/>
      <c r="Y361" s="16" t="n"/>
      <c r="Z361" s="16" t="n"/>
      <c r="AA361" s="16" t="n"/>
      <c r="AB361" s="16" t="n"/>
      <c r="AC361" s="20">
        <f>IF(COUNT(S361:AB361)&lt;10,"",(S361*W_FEMININE+T361*W_TREND+U361*W_AESTHETIC+V361*W_STYLE+W361*W_LIGHT+X361*W_REELS+Y361*W_GIFT+Z361*W_PRICEFIT+AA361*W_DEMAND+AB361*W_QUALITY)/5*100)</f>
        <v/>
      </c>
      <c r="AD361" s="16">
        <f>IF(P361="","",IF(P361&gt;HARD_REJECT_PRICE,"Reject",IF(P361&gt;MAX_PRICE,"Price Review",IF(AC361="","",IF(AND(AC361&gt;=BUY_THRESHOLD,OR(AB361&lt;=2,U361&lt;=2)),"Maybe",IF(AC361&gt;=BUY_THRESHOLD,"Buy",IF(AC361&gt;=MAYBE_THRESHOLD,"Maybe","Reject")))))))</f>
        <v/>
      </c>
      <c r="AE361" s="16" t="n"/>
      <c r="AF361" s="16" t="n"/>
      <c r="AG361" s="16" t="n"/>
      <c r="AH361" s="16" t="n"/>
      <c r="AI361" s="17" t="n"/>
      <c r="AJ361">
        <f>IF(AC361="",-9999-ROW()*0.0000001,AC361-ROW()*0.0000001)</f>
        <v/>
      </c>
      <c r="AK361">
        <f>IF(OR(AC361="",P361="",P361&gt;MAX_PRICE),-9999-ROW()*0.0000001,AC361-ROW()*0.0000001)</f>
        <v/>
      </c>
      <c r="AL361">
        <f>IF(AC361="",-9999-ROW()*0.0000001,X361*1000+AC361-ROW()*0.0000001)</f>
        <v/>
      </c>
      <c r="AM361">
        <f>IF(AC361="",-9999-ROW()*0.0000001,Y361*1000+AC361-ROW()*0.0000001)</f>
        <v/>
      </c>
      <c r="AN361">
        <f>IF(AND(OR(AD361="Maybe",AD361="Price Review"),AG361&lt;&gt;"Approved",AG361&lt;&gt;"Rejected"),IF(AC361="",0,AC361)-ROW()*0.0000001,-9999-ROW()*0.0000001)</f>
        <v/>
      </c>
      <c r="AO361" s="21" t="n"/>
      <c r="AP361" s="21" t="n"/>
      <c r="AQ361" s="22" t="n"/>
      <c r="AR361" s="22" t="n"/>
      <c r="AS361" s="16" t="n"/>
      <c r="AT361" s="22" t="n"/>
      <c r="AU361" s="22" t="n"/>
      <c r="AV361" s="22" t="n"/>
      <c r="AW361" s="18">
        <f>IF(OR(O361="",AV361=""),"",O361*AV361)</f>
        <v/>
      </c>
      <c r="AX361" s="16" t="n"/>
      <c r="AY361" s="16" t="n"/>
      <c r="AZ361" s="16" t="n"/>
      <c r="BA361" s="16" t="n"/>
      <c r="BB361" s="16" t="n"/>
      <c r="BC361" s="18" t="n"/>
      <c r="BD361" s="16" t="n"/>
      <c r="BE361" s="16">
        <f>IF(C361="","",IF(AND(ISNUMBER(P361),P361&gt;MAX_PRICE),"Price too high",IF(AND(ISNUMBER(AB361),AB361&lt;=2),"Quality risk",IF(AND(ISNUMBER(U361),U361&lt;=2),"Aesthetic mismatch",IF(AY361="High","Too fragile",IF(AND(ISNUMBER(R361),R361&lt;LOW_PROFIT_PCT),"Low profit",IF(AND(ISNUMBER(AT361),AT361&gt;MOQ_WARNING),"MOQ too high",IF(OR(AD361="Maybe",AD361="Price Review"),"Needs partner review",IF(AD361="Buy","Good candidate","")))))))))</f>
        <v/>
      </c>
      <c r="BF361" s="16" t="n"/>
      <c r="BG361" s="16" t="n"/>
      <c r="BH361" s="16" t="n"/>
      <c r="BI361" s="16" t="n"/>
      <c r="BJ361" s="16" t="n"/>
      <c r="BK361" s="16" t="n"/>
      <c r="BL361" s="16">
        <f>IF(C361="","",IF(AND(BG361="Yes",BH361="Yes",BI361="Yes",BJ361="Yes",BK361="Yes"),"Yes","No"))</f>
        <v/>
      </c>
      <c r="BM361" s="18" t="n"/>
      <c r="BN361" s="18" t="n"/>
      <c r="BO361" s="18">
        <f>IF(OR(BM361="",BN361=""),"",BM361+BN361)</f>
        <v/>
      </c>
      <c r="BP361" s="18" t="n"/>
      <c r="BQ361" s="18">
        <f>IF(OR(BP361="",BO361=""),"",BP361-BO361)</f>
        <v/>
      </c>
      <c r="BR361" s="19">
        <f>IF(OR(BP361="",BP361=0,BQ361=""),"",BQ361/BP361)</f>
        <v/>
      </c>
      <c r="BS361" s="17" t="n"/>
      <c r="BT361" s="22" t="n"/>
      <c r="BU361" s="22" t="n"/>
      <c r="BV361" s="16" t="n"/>
      <c r="BW361" s="16" t="n"/>
      <c r="BX361" s="22">
        <f>IF(OR(BT361="",BU361=""),"",BT361-BU361)</f>
        <v/>
      </c>
      <c r="BY361" s="16" t="n"/>
      <c r="BZ361" s="17" t="n"/>
      <c r="CA361" s="16" t="n"/>
      <c r="CB361" s="16" t="n"/>
    </row>
    <row r="362">
      <c r="A362" s="23">
        <f>IF(C362="","","AYN-"&amp;IFERROR(VLOOKUP(E362,CATEGORY_PREFIX_TABLE,2,FALSE),"OTH")&amp;"-"&amp;TEXT(ROW()-2,"0000"))</f>
        <v/>
      </c>
      <c r="B362" s="24" t="n"/>
      <c r="C362" s="23" t="n"/>
      <c r="D362" s="23" t="n"/>
      <c r="E362" s="23" t="n"/>
      <c r="F362" s="23" t="n"/>
      <c r="G362" s="23" t="n"/>
      <c r="H362" s="23" t="n"/>
      <c r="I362" s="23" t="n"/>
      <c r="J362" s="23" t="n"/>
      <c r="K362" s="25">
        <f>IF(I362="","",IF(J362="BDT",I362,IF(J362="USD",I362*USD_BDT,IF(J362="RMB",I362*RMB_BDT,""))))</f>
        <v/>
      </c>
      <c r="L362" s="25" t="n"/>
      <c r="M362" s="26" t="n"/>
      <c r="N362" s="25" t="n"/>
      <c r="O362" s="25">
        <f>IF(K362="","",K362+IFERROR(L362,0)+(K362*IF(M362="",CUSTOMS_PCT,M362))+IF(N362="",MISC_FEE,N362))</f>
        <v/>
      </c>
      <c r="P362" s="25">
        <f>IF(O362="","",ROUND(O362*(1+MARKUP_PCT),-1)-1)</f>
        <v/>
      </c>
      <c r="Q362" s="25">
        <f>IF(P362="","",P362-O362)</f>
        <v/>
      </c>
      <c r="R362" s="26">
        <f>IF(OR(P362="",P362=0),"",Q362/P362)</f>
        <v/>
      </c>
      <c r="S362" s="23" t="n"/>
      <c r="T362" s="23" t="n"/>
      <c r="U362" s="23" t="n"/>
      <c r="V362" s="23" t="n"/>
      <c r="W362" s="23" t="n"/>
      <c r="X362" s="23" t="n"/>
      <c r="Y362" s="23" t="n"/>
      <c r="Z362" s="23" t="n"/>
      <c r="AA362" s="23" t="n"/>
      <c r="AB362" s="23" t="n"/>
      <c r="AC362" s="27">
        <f>IF(COUNT(S362:AB362)&lt;10,"",(S362*W_FEMININE+T362*W_TREND+U362*W_AESTHETIC+V362*W_STYLE+W362*W_LIGHT+X362*W_REELS+Y362*W_GIFT+Z362*W_PRICEFIT+AA362*W_DEMAND+AB362*W_QUALITY)/5*100)</f>
        <v/>
      </c>
      <c r="AD362" s="23">
        <f>IF(P362="","",IF(P362&gt;HARD_REJECT_PRICE,"Reject",IF(P362&gt;MAX_PRICE,"Price Review",IF(AC362="","",IF(AND(AC362&gt;=BUY_THRESHOLD,OR(AB362&lt;=2,U362&lt;=2)),"Maybe",IF(AC362&gt;=BUY_THRESHOLD,"Buy",IF(AC362&gt;=MAYBE_THRESHOLD,"Maybe","Reject")))))))</f>
        <v/>
      </c>
      <c r="AE362" s="23" t="n"/>
      <c r="AF362" s="23" t="n"/>
      <c r="AG362" s="23" t="n"/>
      <c r="AH362" s="23" t="n"/>
      <c r="AI362" s="24" t="n"/>
      <c r="AJ362">
        <f>IF(AC362="",-9999-ROW()*0.0000001,AC362-ROW()*0.0000001)</f>
        <v/>
      </c>
      <c r="AK362">
        <f>IF(OR(AC362="",P362="",P362&gt;MAX_PRICE),-9999-ROW()*0.0000001,AC362-ROW()*0.0000001)</f>
        <v/>
      </c>
      <c r="AL362">
        <f>IF(AC362="",-9999-ROW()*0.0000001,X362*1000+AC362-ROW()*0.0000001)</f>
        <v/>
      </c>
      <c r="AM362">
        <f>IF(AC362="",-9999-ROW()*0.0000001,Y362*1000+AC362-ROW()*0.0000001)</f>
        <v/>
      </c>
      <c r="AN362">
        <f>IF(AND(OR(AD362="Maybe",AD362="Price Review"),AG362&lt;&gt;"Approved",AG362&lt;&gt;"Rejected"),IF(AC362="",0,AC362)-ROW()*0.0000001,-9999-ROW()*0.0000001)</f>
        <v/>
      </c>
      <c r="AO362" s="28" t="n"/>
      <c r="AP362" s="28" t="n"/>
      <c r="AQ362" s="29" t="n"/>
      <c r="AR362" s="29" t="n"/>
      <c r="AS362" s="23" t="n"/>
      <c r="AT362" s="29" t="n"/>
      <c r="AU362" s="29" t="n"/>
      <c r="AV362" s="29" t="n"/>
      <c r="AW362" s="25">
        <f>IF(OR(O362="",AV362=""),"",O362*AV362)</f>
        <v/>
      </c>
      <c r="AX362" s="23" t="n"/>
      <c r="AY362" s="23" t="n"/>
      <c r="AZ362" s="23" t="n"/>
      <c r="BA362" s="23" t="n"/>
      <c r="BB362" s="23" t="n"/>
      <c r="BC362" s="25" t="n"/>
      <c r="BD362" s="23" t="n"/>
      <c r="BE362" s="23">
        <f>IF(C362="","",IF(AND(ISNUMBER(P362),P362&gt;MAX_PRICE),"Price too high",IF(AND(ISNUMBER(AB362),AB362&lt;=2),"Quality risk",IF(AND(ISNUMBER(U362),U362&lt;=2),"Aesthetic mismatch",IF(AY362="High","Too fragile",IF(AND(ISNUMBER(R362),R362&lt;LOW_PROFIT_PCT),"Low profit",IF(AND(ISNUMBER(AT362),AT362&gt;MOQ_WARNING),"MOQ too high",IF(OR(AD362="Maybe",AD362="Price Review"),"Needs partner review",IF(AD362="Buy","Good candidate","")))))))))</f>
        <v/>
      </c>
      <c r="BF362" s="23" t="n"/>
      <c r="BG362" s="23" t="n"/>
      <c r="BH362" s="23" t="n"/>
      <c r="BI362" s="23" t="n"/>
      <c r="BJ362" s="23" t="n"/>
      <c r="BK362" s="23" t="n"/>
      <c r="BL362" s="23">
        <f>IF(C362="","",IF(AND(BG362="Yes",BH362="Yes",BI362="Yes",BJ362="Yes",BK362="Yes"),"Yes","No"))</f>
        <v/>
      </c>
      <c r="BM362" s="25" t="n"/>
      <c r="BN362" s="25" t="n"/>
      <c r="BO362" s="25">
        <f>IF(OR(BM362="",BN362=""),"",BM362+BN362)</f>
        <v/>
      </c>
      <c r="BP362" s="25" t="n"/>
      <c r="BQ362" s="25">
        <f>IF(OR(BP362="",BO362=""),"",BP362-BO362)</f>
        <v/>
      </c>
      <c r="BR362" s="26">
        <f>IF(OR(BP362="",BP362=0,BQ362=""),"",BQ362/BP362)</f>
        <v/>
      </c>
      <c r="BS362" s="24" t="n"/>
      <c r="BT362" s="29" t="n"/>
      <c r="BU362" s="29" t="n"/>
      <c r="BV362" s="23" t="n"/>
      <c r="BW362" s="23" t="n"/>
      <c r="BX362" s="29">
        <f>IF(OR(BT362="",BU362=""),"",BT362-BU362)</f>
        <v/>
      </c>
      <c r="BY362" s="23" t="n"/>
      <c r="BZ362" s="24" t="n"/>
      <c r="CA362" s="23" t="n"/>
      <c r="CB362" s="23" t="n"/>
    </row>
    <row r="363">
      <c r="A363" s="16">
        <f>IF(C363="","","AYN-"&amp;IFERROR(VLOOKUP(E363,CATEGORY_PREFIX_TABLE,2,FALSE),"OTH")&amp;"-"&amp;TEXT(ROW()-2,"0000"))</f>
        <v/>
      </c>
      <c r="B363" s="17" t="n"/>
      <c r="C363" s="16" t="n"/>
      <c r="D363" s="16" t="n"/>
      <c r="E363" s="16" t="n"/>
      <c r="F363" s="16" t="n"/>
      <c r="G363" s="16" t="n"/>
      <c r="H363" s="16" t="n"/>
      <c r="I363" s="16" t="n"/>
      <c r="J363" s="16" t="n"/>
      <c r="K363" s="18">
        <f>IF(I363="","",IF(J363="BDT",I363,IF(J363="USD",I363*USD_BDT,IF(J363="RMB",I363*RMB_BDT,""))))</f>
        <v/>
      </c>
      <c r="L363" s="18" t="n"/>
      <c r="M363" s="19" t="n"/>
      <c r="N363" s="18" t="n"/>
      <c r="O363" s="18">
        <f>IF(K363="","",K363+IFERROR(L363,0)+(K363*IF(M363="",CUSTOMS_PCT,M363))+IF(N363="",MISC_FEE,N363))</f>
        <v/>
      </c>
      <c r="P363" s="18">
        <f>IF(O363="","",ROUND(O363*(1+MARKUP_PCT),-1)-1)</f>
        <v/>
      </c>
      <c r="Q363" s="18">
        <f>IF(P363="","",P363-O363)</f>
        <v/>
      </c>
      <c r="R363" s="19">
        <f>IF(OR(P363="",P363=0),"",Q363/P363)</f>
        <v/>
      </c>
      <c r="S363" s="16" t="n"/>
      <c r="T363" s="16" t="n"/>
      <c r="U363" s="16" t="n"/>
      <c r="V363" s="16" t="n"/>
      <c r="W363" s="16" t="n"/>
      <c r="X363" s="16" t="n"/>
      <c r="Y363" s="16" t="n"/>
      <c r="Z363" s="16" t="n"/>
      <c r="AA363" s="16" t="n"/>
      <c r="AB363" s="16" t="n"/>
      <c r="AC363" s="20">
        <f>IF(COUNT(S363:AB363)&lt;10,"",(S363*W_FEMININE+T363*W_TREND+U363*W_AESTHETIC+V363*W_STYLE+W363*W_LIGHT+X363*W_REELS+Y363*W_GIFT+Z363*W_PRICEFIT+AA363*W_DEMAND+AB363*W_QUALITY)/5*100)</f>
        <v/>
      </c>
      <c r="AD363" s="16">
        <f>IF(P363="","",IF(P363&gt;HARD_REJECT_PRICE,"Reject",IF(P363&gt;MAX_PRICE,"Price Review",IF(AC363="","",IF(AND(AC363&gt;=BUY_THRESHOLD,OR(AB363&lt;=2,U363&lt;=2)),"Maybe",IF(AC363&gt;=BUY_THRESHOLD,"Buy",IF(AC363&gt;=MAYBE_THRESHOLD,"Maybe","Reject")))))))</f>
        <v/>
      </c>
      <c r="AE363" s="16" t="n"/>
      <c r="AF363" s="16" t="n"/>
      <c r="AG363" s="16" t="n"/>
      <c r="AH363" s="16" t="n"/>
      <c r="AI363" s="17" t="n"/>
      <c r="AJ363">
        <f>IF(AC363="",-9999-ROW()*0.0000001,AC363-ROW()*0.0000001)</f>
        <v/>
      </c>
      <c r="AK363">
        <f>IF(OR(AC363="",P363="",P363&gt;MAX_PRICE),-9999-ROW()*0.0000001,AC363-ROW()*0.0000001)</f>
        <v/>
      </c>
      <c r="AL363">
        <f>IF(AC363="",-9999-ROW()*0.0000001,X363*1000+AC363-ROW()*0.0000001)</f>
        <v/>
      </c>
      <c r="AM363">
        <f>IF(AC363="",-9999-ROW()*0.0000001,Y363*1000+AC363-ROW()*0.0000001)</f>
        <v/>
      </c>
      <c r="AN363">
        <f>IF(AND(OR(AD363="Maybe",AD363="Price Review"),AG363&lt;&gt;"Approved",AG363&lt;&gt;"Rejected"),IF(AC363="",0,AC363)-ROW()*0.0000001,-9999-ROW()*0.0000001)</f>
        <v/>
      </c>
      <c r="AO363" s="21" t="n"/>
      <c r="AP363" s="21" t="n"/>
      <c r="AQ363" s="22" t="n"/>
      <c r="AR363" s="22" t="n"/>
      <c r="AS363" s="16" t="n"/>
      <c r="AT363" s="22" t="n"/>
      <c r="AU363" s="22" t="n"/>
      <c r="AV363" s="22" t="n"/>
      <c r="AW363" s="18">
        <f>IF(OR(O363="",AV363=""),"",O363*AV363)</f>
        <v/>
      </c>
      <c r="AX363" s="16" t="n"/>
      <c r="AY363" s="16" t="n"/>
      <c r="AZ363" s="16" t="n"/>
      <c r="BA363" s="16" t="n"/>
      <c r="BB363" s="16" t="n"/>
      <c r="BC363" s="18" t="n"/>
      <c r="BD363" s="16" t="n"/>
      <c r="BE363" s="16">
        <f>IF(C363="","",IF(AND(ISNUMBER(P363),P363&gt;MAX_PRICE),"Price too high",IF(AND(ISNUMBER(AB363),AB363&lt;=2),"Quality risk",IF(AND(ISNUMBER(U363),U363&lt;=2),"Aesthetic mismatch",IF(AY363="High","Too fragile",IF(AND(ISNUMBER(R363),R363&lt;LOW_PROFIT_PCT),"Low profit",IF(AND(ISNUMBER(AT363),AT363&gt;MOQ_WARNING),"MOQ too high",IF(OR(AD363="Maybe",AD363="Price Review"),"Needs partner review",IF(AD363="Buy","Good candidate","")))))))))</f>
        <v/>
      </c>
      <c r="BF363" s="16" t="n"/>
      <c r="BG363" s="16" t="n"/>
      <c r="BH363" s="16" t="n"/>
      <c r="BI363" s="16" t="n"/>
      <c r="BJ363" s="16" t="n"/>
      <c r="BK363" s="16" t="n"/>
      <c r="BL363" s="16">
        <f>IF(C363="","",IF(AND(BG363="Yes",BH363="Yes",BI363="Yes",BJ363="Yes",BK363="Yes"),"Yes","No"))</f>
        <v/>
      </c>
      <c r="BM363" s="18" t="n"/>
      <c r="BN363" s="18" t="n"/>
      <c r="BO363" s="18">
        <f>IF(OR(BM363="",BN363=""),"",BM363+BN363)</f>
        <v/>
      </c>
      <c r="BP363" s="18" t="n"/>
      <c r="BQ363" s="18">
        <f>IF(OR(BP363="",BO363=""),"",BP363-BO363)</f>
        <v/>
      </c>
      <c r="BR363" s="19">
        <f>IF(OR(BP363="",BP363=0,BQ363=""),"",BQ363/BP363)</f>
        <v/>
      </c>
      <c r="BS363" s="17" t="n"/>
      <c r="BT363" s="22" t="n"/>
      <c r="BU363" s="22" t="n"/>
      <c r="BV363" s="16" t="n"/>
      <c r="BW363" s="16" t="n"/>
      <c r="BX363" s="22">
        <f>IF(OR(BT363="",BU363=""),"",BT363-BU363)</f>
        <v/>
      </c>
      <c r="BY363" s="16" t="n"/>
      <c r="BZ363" s="17" t="n"/>
      <c r="CA363" s="16" t="n"/>
      <c r="CB363" s="16" t="n"/>
    </row>
    <row r="364">
      <c r="A364" s="23">
        <f>IF(C364="","","AYN-"&amp;IFERROR(VLOOKUP(E364,CATEGORY_PREFIX_TABLE,2,FALSE),"OTH")&amp;"-"&amp;TEXT(ROW()-2,"0000"))</f>
        <v/>
      </c>
      <c r="B364" s="24" t="n"/>
      <c r="C364" s="23" t="n"/>
      <c r="D364" s="23" t="n"/>
      <c r="E364" s="23" t="n"/>
      <c r="F364" s="23" t="n"/>
      <c r="G364" s="23" t="n"/>
      <c r="H364" s="23" t="n"/>
      <c r="I364" s="23" t="n"/>
      <c r="J364" s="23" t="n"/>
      <c r="K364" s="25">
        <f>IF(I364="","",IF(J364="BDT",I364,IF(J364="USD",I364*USD_BDT,IF(J364="RMB",I364*RMB_BDT,""))))</f>
        <v/>
      </c>
      <c r="L364" s="25" t="n"/>
      <c r="M364" s="26" t="n"/>
      <c r="N364" s="25" t="n"/>
      <c r="O364" s="25">
        <f>IF(K364="","",K364+IFERROR(L364,0)+(K364*IF(M364="",CUSTOMS_PCT,M364))+IF(N364="",MISC_FEE,N364))</f>
        <v/>
      </c>
      <c r="P364" s="25">
        <f>IF(O364="","",ROUND(O364*(1+MARKUP_PCT),-1)-1)</f>
        <v/>
      </c>
      <c r="Q364" s="25">
        <f>IF(P364="","",P364-O364)</f>
        <v/>
      </c>
      <c r="R364" s="26">
        <f>IF(OR(P364="",P364=0),"",Q364/P364)</f>
        <v/>
      </c>
      <c r="S364" s="23" t="n"/>
      <c r="T364" s="23" t="n"/>
      <c r="U364" s="23" t="n"/>
      <c r="V364" s="23" t="n"/>
      <c r="W364" s="23" t="n"/>
      <c r="X364" s="23" t="n"/>
      <c r="Y364" s="23" t="n"/>
      <c r="Z364" s="23" t="n"/>
      <c r="AA364" s="23" t="n"/>
      <c r="AB364" s="23" t="n"/>
      <c r="AC364" s="27">
        <f>IF(COUNT(S364:AB364)&lt;10,"",(S364*W_FEMININE+T364*W_TREND+U364*W_AESTHETIC+V364*W_STYLE+W364*W_LIGHT+X364*W_REELS+Y364*W_GIFT+Z364*W_PRICEFIT+AA364*W_DEMAND+AB364*W_QUALITY)/5*100)</f>
        <v/>
      </c>
      <c r="AD364" s="23">
        <f>IF(P364="","",IF(P364&gt;HARD_REJECT_PRICE,"Reject",IF(P364&gt;MAX_PRICE,"Price Review",IF(AC364="","",IF(AND(AC364&gt;=BUY_THRESHOLD,OR(AB364&lt;=2,U364&lt;=2)),"Maybe",IF(AC364&gt;=BUY_THRESHOLD,"Buy",IF(AC364&gt;=MAYBE_THRESHOLD,"Maybe","Reject")))))))</f>
        <v/>
      </c>
      <c r="AE364" s="23" t="n"/>
      <c r="AF364" s="23" t="n"/>
      <c r="AG364" s="23" t="n"/>
      <c r="AH364" s="23" t="n"/>
      <c r="AI364" s="24" t="n"/>
      <c r="AJ364">
        <f>IF(AC364="",-9999-ROW()*0.0000001,AC364-ROW()*0.0000001)</f>
        <v/>
      </c>
      <c r="AK364">
        <f>IF(OR(AC364="",P364="",P364&gt;MAX_PRICE),-9999-ROW()*0.0000001,AC364-ROW()*0.0000001)</f>
        <v/>
      </c>
      <c r="AL364">
        <f>IF(AC364="",-9999-ROW()*0.0000001,X364*1000+AC364-ROW()*0.0000001)</f>
        <v/>
      </c>
      <c r="AM364">
        <f>IF(AC364="",-9999-ROW()*0.0000001,Y364*1000+AC364-ROW()*0.0000001)</f>
        <v/>
      </c>
      <c r="AN364">
        <f>IF(AND(OR(AD364="Maybe",AD364="Price Review"),AG364&lt;&gt;"Approved",AG364&lt;&gt;"Rejected"),IF(AC364="",0,AC364)-ROW()*0.0000001,-9999-ROW()*0.0000001)</f>
        <v/>
      </c>
      <c r="AO364" s="28" t="n"/>
      <c r="AP364" s="28" t="n"/>
      <c r="AQ364" s="29" t="n"/>
      <c r="AR364" s="29" t="n"/>
      <c r="AS364" s="23" t="n"/>
      <c r="AT364" s="29" t="n"/>
      <c r="AU364" s="29" t="n"/>
      <c r="AV364" s="29" t="n"/>
      <c r="AW364" s="25">
        <f>IF(OR(O364="",AV364=""),"",O364*AV364)</f>
        <v/>
      </c>
      <c r="AX364" s="23" t="n"/>
      <c r="AY364" s="23" t="n"/>
      <c r="AZ364" s="23" t="n"/>
      <c r="BA364" s="23" t="n"/>
      <c r="BB364" s="23" t="n"/>
      <c r="BC364" s="25" t="n"/>
      <c r="BD364" s="23" t="n"/>
      <c r="BE364" s="23">
        <f>IF(C364="","",IF(AND(ISNUMBER(P364),P364&gt;MAX_PRICE),"Price too high",IF(AND(ISNUMBER(AB364),AB364&lt;=2),"Quality risk",IF(AND(ISNUMBER(U364),U364&lt;=2),"Aesthetic mismatch",IF(AY364="High","Too fragile",IF(AND(ISNUMBER(R364),R364&lt;LOW_PROFIT_PCT),"Low profit",IF(AND(ISNUMBER(AT364),AT364&gt;MOQ_WARNING),"MOQ too high",IF(OR(AD364="Maybe",AD364="Price Review"),"Needs partner review",IF(AD364="Buy","Good candidate","")))))))))</f>
        <v/>
      </c>
      <c r="BF364" s="23" t="n"/>
      <c r="BG364" s="23" t="n"/>
      <c r="BH364" s="23" t="n"/>
      <c r="BI364" s="23" t="n"/>
      <c r="BJ364" s="23" t="n"/>
      <c r="BK364" s="23" t="n"/>
      <c r="BL364" s="23">
        <f>IF(C364="","",IF(AND(BG364="Yes",BH364="Yes",BI364="Yes",BJ364="Yes",BK364="Yes"),"Yes","No"))</f>
        <v/>
      </c>
      <c r="BM364" s="25" t="n"/>
      <c r="BN364" s="25" t="n"/>
      <c r="BO364" s="25">
        <f>IF(OR(BM364="",BN364=""),"",BM364+BN364)</f>
        <v/>
      </c>
      <c r="BP364" s="25" t="n"/>
      <c r="BQ364" s="25">
        <f>IF(OR(BP364="",BO364=""),"",BP364-BO364)</f>
        <v/>
      </c>
      <c r="BR364" s="26">
        <f>IF(OR(BP364="",BP364=0,BQ364=""),"",BQ364/BP364)</f>
        <v/>
      </c>
      <c r="BS364" s="24" t="n"/>
      <c r="BT364" s="29" t="n"/>
      <c r="BU364" s="29" t="n"/>
      <c r="BV364" s="23" t="n"/>
      <c r="BW364" s="23" t="n"/>
      <c r="BX364" s="29">
        <f>IF(OR(BT364="",BU364=""),"",BT364-BU364)</f>
        <v/>
      </c>
      <c r="BY364" s="23" t="n"/>
      <c r="BZ364" s="24" t="n"/>
      <c r="CA364" s="23" t="n"/>
      <c r="CB364" s="23" t="n"/>
    </row>
    <row r="365">
      <c r="A365" s="16">
        <f>IF(C365="","","AYN-"&amp;IFERROR(VLOOKUP(E365,CATEGORY_PREFIX_TABLE,2,FALSE),"OTH")&amp;"-"&amp;TEXT(ROW()-2,"0000"))</f>
        <v/>
      </c>
      <c r="B365" s="17" t="n"/>
      <c r="C365" s="16" t="n"/>
      <c r="D365" s="16" t="n"/>
      <c r="E365" s="16" t="n"/>
      <c r="F365" s="16" t="n"/>
      <c r="G365" s="16" t="n"/>
      <c r="H365" s="16" t="n"/>
      <c r="I365" s="16" t="n"/>
      <c r="J365" s="16" t="n"/>
      <c r="K365" s="18">
        <f>IF(I365="","",IF(J365="BDT",I365,IF(J365="USD",I365*USD_BDT,IF(J365="RMB",I365*RMB_BDT,""))))</f>
        <v/>
      </c>
      <c r="L365" s="18" t="n"/>
      <c r="M365" s="19" t="n"/>
      <c r="N365" s="18" t="n"/>
      <c r="O365" s="18">
        <f>IF(K365="","",K365+IFERROR(L365,0)+(K365*IF(M365="",CUSTOMS_PCT,M365))+IF(N365="",MISC_FEE,N365))</f>
        <v/>
      </c>
      <c r="P365" s="18">
        <f>IF(O365="","",ROUND(O365*(1+MARKUP_PCT),-1)-1)</f>
        <v/>
      </c>
      <c r="Q365" s="18">
        <f>IF(P365="","",P365-O365)</f>
        <v/>
      </c>
      <c r="R365" s="19">
        <f>IF(OR(P365="",P365=0),"",Q365/P365)</f>
        <v/>
      </c>
      <c r="S365" s="16" t="n"/>
      <c r="T365" s="16" t="n"/>
      <c r="U365" s="16" t="n"/>
      <c r="V365" s="16" t="n"/>
      <c r="W365" s="16" t="n"/>
      <c r="X365" s="16" t="n"/>
      <c r="Y365" s="16" t="n"/>
      <c r="Z365" s="16" t="n"/>
      <c r="AA365" s="16" t="n"/>
      <c r="AB365" s="16" t="n"/>
      <c r="AC365" s="20">
        <f>IF(COUNT(S365:AB365)&lt;10,"",(S365*W_FEMININE+T365*W_TREND+U365*W_AESTHETIC+V365*W_STYLE+W365*W_LIGHT+X365*W_REELS+Y365*W_GIFT+Z365*W_PRICEFIT+AA365*W_DEMAND+AB365*W_QUALITY)/5*100)</f>
        <v/>
      </c>
      <c r="AD365" s="16">
        <f>IF(P365="","",IF(P365&gt;HARD_REJECT_PRICE,"Reject",IF(P365&gt;MAX_PRICE,"Price Review",IF(AC365="","",IF(AND(AC365&gt;=BUY_THRESHOLD,OR(AB365&lt;=2,U365&lt;=2)),"Maybe",IF(AC365&gt;=BUY_THRESHOLD,"Buy",IF(AC365&gt;=MAYBE_THRESHOLD,"Maybe","Reject")))))))</f>
        <v/>
      </c>
      <c r="AE365" s="16" t="n"/>
      <c r="AF365" s="16" t="n"/>
      <c r="AG365" s="16" t="n"/>
      <c r="AH365" s="16" t="n"/>
      <c r="AI365" s="17" t="n"/>
      <c r="AJ365">
        <f>IF(AC365="",-9999-ROW()*0.0000001,AC365-ROW()*0.0000001)</f>
        <v/>
      </c>
      <c r="AK365">
        <f>IF(OR(AC365="",P365="",P365&gt;MAX_PRICE),-9999-ROW()*0.0000001,AC365-ROW()*0.0000001)</f>
        <v/>
      </c>
      <c r="AL365">
        <f>IF(AC365="",-9999-ROW()*0.0000001,X365*1000+AC365-ROW()*0.0000001)</f>
        <v/>
      </c>
      <c r="AM365">
        <f>IF(AC365="",-9999-ROW()*0.0000001,Y365*1000+AC365-ROW()*0.0000001)</f>
        <v/>
      </c>
      <c r="AN365">
        <f>IF(AND(OR(AD365="Maybe",AD365="Price Review"),AG365&lt;&gt;"Approved",AG365&lt;&gt;"Rejected"),IF(AC365="",0,AC365)-ROW()*0.0000001,-9999-ROW()*0.0000001)</f>
        <v/>
      </c>
      <c r="AO365" s="21" t="n"/>
      <c r="AP365" s="21" t="n"/>
      <c r="AQ365" s="22" t="n"/>
      <c r="AR365" s="22" t="n"/>
      <c r="AS365" s="16" t="n"/>
      <c r="AT365" s="22" t="n"/>
      <c r="AU365" s="22" t="n"/>
      <c r="AV365" s="22" t="n"/>
      <c r="AW365" s="18">
        <f>IF(OR(O365="",AV365=""),"",O365*AV365)</f>
        <v/>
      </c>
      <c r="AX365" s="16" t="n"/>
      <c r="AY365" s="16" t="n"/>
      <c r="AZ365" s="16" t="n"/>
      <c r="BA365" s="16" t="n"/>
      <c r="BB365" s="16" t="n"/>
      <c r="BC365" s="18" t="n"/>
      <c r="BD365" s="16" t="n"/>
      <c r="BE365" s="16">
        <f>IF(C365="","",IF(AND(ISNUMBER(P365),P365&gt;MAX_PRICE),"Price too high",IF(AND(ISNUMBER(AB365),AB365&lt;=2),"Quality risk",IF(AND(ISNUMBER(U365),U365&lt;=2),"Aesthetic mismatch",IF(AY365="High","Too fragile",IF(AND(ISNUMBER(R365),R365&lt;LOW_PROFIT_PCT),"Low profit",IF(AND(ISNUMBER(AT365),AT365&gt;MOQ_WARNING),"MOQ too high",IF(OR(AD365="Maybe",AD365="Price Review"),"Needs partner review",IF(AD365="Buy","Good candidate","")))))))))</f>
        <v/>
      </c>
      <c r="BF365" s="16" t="n"/>
      <c r="BG365" s="16" t="n"/>
      <c r="BH365" s="16" t="n"/>
      <c r="BI365" s="16" t="n"/>
      <c r="BJ365" s="16" t="n"/>
      <c r="BK365" s="16" t="n"/>
      <c r="BL365" s="16">
        <f>IF(C365="","",IF(AND(BG365="Yes",BH365="Yes",BI365="Yes",BJ365="Yes",BK365="Yes"),"Yes","No"))</f>
        <v/>
      </c>
      <c r="BM365" s="18" t="n"/>
      <c r="BN365" s="18" t="n"/>
      <c r="BO365" s="18">
        <f>IF(OR(BM365="",BN365=""),"",BM365+BN365)</f>
        <v/>
      </c>
      <c r="BP365" s="18" t="n"/>
      <c r="BQ365" s="18">
        <f>IF(OR(BP365="",BO365=""),"",BP365-BO365)</f>
        <v/>
      </c>
      <c r="BR365" s="19">
        <f>IF(OR(BP365="",BP365=0,BQ365=""),"",BQ365/BP365)</f>
        <v/>
      </c>
      <c r="BS365" s="17" t="n"/>
      <c r="BT365" s="22" t="n"/>
      <c r="BU365" s="22" t="n"/>
      <c r="BV365" s="16" t="n"/>
      <c r="BW365" s="16" t="n"/>
      <c r="BX365" s="22">
        <f>IF(OR(BT365="",BU365=""),"",BT365-BU365)</f>
        <v/>
      </c>
      <c r="BY365" s="16" t="n"/>
      <c r="BZ365" s="17" t="n"/>
      <c r="CA365" s="16" t="n"/>
      <c r="CB365" s="16" t="n"/>
    </row>
    <row r="366">
      <c r="A366" s="23">
        <f>IF(C366="","","AYN-"&amp;IFERROR(VLOOKUP(E366,CATEGORY_PREFIX_TABLE,2,FALSE),"OTH")&amp;"-"&amp;TEXT(ROW()-2,"0000"))</f>
        <v/>
      </c>
      <c r="B366" s="24" t="n"/>
      <c r="C366" s="23" t="n"/>
      <c r="D366" s="23" t="n"/>
      <c r="E366" s="23" t="n"/>
      <c r="F366" s="23" t="n"/>
      <c r="G366" s="23" t="n"/>
      <c r="H366" s="23" t="n"/>
      <c r="I366" s="23" t="n"/>
      <c r="J366" s="23" t="n"/>
      <c r="K366" s="25">
        <f>IF(I366="","",IF(J366="BDT",I366,IF(J366="USD",I366*USD_BDT,IF(J366="RMB",I366*RMB_BDT,""))))</f>
        <v/>
      </c>
      <c r="L366" s="25" t="n"/>
      <c r="M366" s="26" t="n"/>
      <c r="N366" s="25" t="n"/>
      <c r="O366" s="25">
        <f>IF(K366="","",K366+IFERROR(L366,0)+(K366*IF(M366="",CUSTOMS_PCT,M366))+IF(N366="",MISC_FEE,N366))</f>
        <v/>
      </c>
      <c r="P366" s="25">
        <f>IF(O366="","",ROUND(O366*(1+MARKUP_PCT),-1)-1)</f>
        <v/>
      </c>
      <c r="Q366" s="25">
        <f>IF(P366="","",P366-O366)</f>
        <v/>
      </c>
      <c r="R366" s="26">
        <f>IF(OR(P366="",P366=0),"",Q366/P366)</f>
        <v/>
      </c>
      <c r="S366" s="23" t="n"/>
      <c r="T366" s="23" t="n"/>
      <c r="U366" s="23" t="n"/>
      <c r="V366" s="23" t="n"/>
      <c r="W366" s="23" t="n"/>
      <c r="X366" s="23" t="n"/>
      <c r="Y366" s="23" t="n"/>
      <c r="Z366" s="23" t="n"/>
      <c r="AA366" s="23" t="n"/>
      <c r="AB366" s="23" t="n"/>
      <c r="AC366" s="27">
        <f>IF(COUNT(S366:AB366)&lt;10,"",(S366*W_FEMININE+T366*W_TREND+U366*W_AESTHETIC+V366*W_STYLE+W366*W_LIGHT+X366*W_REELS+Y366*W_GIFT+Z366*W_PRICEFIT+AA366*W_DEMAND+AB366*W_QUALITY)/5*100)</f>
        <v/>
      </c>
      <c r="AD366" s="23">
        <f>IF(P366="","",IF(P366&gt;HARD_REJECT_PRICE,"Reject",IF(P366&gt;MAX_PRICE,"Price Review",IF(AC366="","",IF(AND(AC366&gt;=BUY_THRESHOLD,OR(AB366&lt;=2,U366&lt;=2)),"Maybe",IF(AC366&gt;=BUY_THRESHOLD,"Buy",IF(AC366&gt;=MAYBE_THRESHOLD,"Maybe","Reject")))))))</f>
        <v/>
      </c>
      <c r="AE366" s="23" t="n"/>
      <c r="AF366" s="23" t="n"/>
      <c r="AG366" s="23" t="n"/>
      <c r="AH366" s="23" t="n"/>
      <c r="AI366" s="24" t="n"/>
      <c r="AJ366">
        <f>IF(AC366="",-9999-ROW()*0.0000001,AC366-ROW()*0.0000001)</f>
        <v/>
      </c>
      <c r="AK366">
        <f>IF(OR(AC366="",P366="",P366&gt;MAX_PRICE),-9999-ROW()*0.0000001,AC366-ROW()*0.0000001)</f>
        <v/>
      </c>
      <c r="AL366">
        <f>IF(AC366="",-9999-ROW()*0.0000001,X366*1000+AC366-ROW()*0.0000001)</f>
        <v/>
      </c>
      <c r="AM366">
        <f>IF(AC366="",-9999-ROW()*0.0000001,Y366*1000+AC366-ROW()*0.0000001)</f>
        <v/>
      </c>
      <c r="AN366">
        <f>IF(AND(OR(AD366="Maybe",AD366="Price Review"),AG366&lt;&gt;"Approved",AG366&lt;&gt;"Rejected"),IF(AC366="",0,AC366)-ROW()*0.0000001,-9999-ROW()*0.0000001)</f>
        <v/>
      </c>
      <c r="AO366" s="28" t="n"/>
      <c r="AP366" s="28" t="n"/>
      <c r="AQ366" s="29" t="n"/>
      <c r="AR366" s="29" t="n"/>
      <c r="AS366" s="23" t="n"/>
      <c r="AT366" s="29" t="n"/>
      <c r="AU366" s="29" t="n"/>
      <c r="AV366" s="29" t="n"/>
      <c r="AW366" s="25">
        <f>IF(OR(O366="",AV366=""),"",O366*AV366)</f>
        <v/>
      </c>
      <c r="AX366" s="23" t="n"/>
      <c r="AY366" s="23" t="n"/>
      <c r="AZ366" s="23" t="n"/>
      <c r="BA366" s="23" t="n"/>
      <c r="BB366" s="23" t="n"/>
      <c r="BC366" s="25" t="n"/>
      <c r="BD366" s="23" t="n"/>
      <c r="BE366" s="23">
        <f>IF(C366="","",IF(AND(ISNUMBER(P366),P366&gt;MAX_PRICE),"Price too high",IF(AND(ISNUMBER(AB366),AB366&lt;=2),"Quality risk",IF(AND(ISNUMBER(U366),U366&lt;=2),"Aesthetic mismatch",IF(AY366="High","Too fragile",IF(AND(ISNUMBER(R366),R366&lt;LOW_PROFIT_PCT),"Low profit",IF(AND(ISNUMBER(AT366),AT366&gt;MOQ_WARNING),"MOQ too high",IF(OR(AD366="Maybe",AD366="Price Review"),"Needs partner review",IF(AD366="Buy","Good candidate","")))))))))</f>
        <v/>
      </c>
      <c r="BF366" s="23" t="n"/>
      <c r="BG366" s="23" t="n"/>
      <c r="BH366" s="23" t="n"/>
      <c r="BI366" s="23" t="n"/>
      <c r="BJ366" s="23" t="n"/>
      <c r="BK366" s="23" t="n"/>
      <c r="BL366" s="23">
        <f>IF(C366="","",IF(AND(BG366="Yes",BH366="Yes",BI366="Yes",BJ366="Yes",BK366="Yes"),"Yes","No"))</f>
        <v/>
      </c>
      <c r="BM366" s="25" t="n"/>
      <c r="BN366" s="25" t="n"/>
      <c r="BO366" s="25">
        <f>IF(OR(BM366="",BN366=""),"",BM366+BN366)</f>
        <v/>
      </c>
      <c r="BP366" s="25" t="n"/>
      <c r="BQ366" s="25">
        <f>IF(OR(BP366="",BO366=""),"",BP366-BO366)</f>
        <v/>
      </c>
      <c r="BR366" s="26">
        <f>IF(OR(BP366="",BP366=0,BQ366=""),"",BQ366/BP366)</f>
        <v/>
      </c>
      <c r="BS366" s="24" t="n"/>
      <c r="BT366" s="29" t="n"/>
      <c r="BU366" s="29" t="n"/>
      <c r="BV366" s="23" t="n"/>
      <c r="BW366" s="23" t="n"/>
      <c r="BX366" s="29">
        <f>IF(OR(BT366="",BU366=""),"",BT366-BU366)</f>
        <v/>
      </c>
      <c r="BY366" s="23" t="n"/>
      <c r="BZ366" s="24" t="n"/>
      <c r="CA366" s="23" t="n"/>
      <c r="CB366" s="23" t="n"/>
    </row>
    <row r="367">
      <c r="A367" s="16">
        <f>IF(C367="","","AYN-"&amp;IFERROR(VLOOKUP(E367,CATEGORY_PREFIX_TABLE,2,FALSE),"OTH")&amp;"-"&amp;TEXT(ROW()-2,"0000"))</f>
        <v/>
      </c>
      <c r="B367" s="17" t="n"/>
      <c r="C367" s="16" t="n"/>
      <c r="D367" s="16" t="n"/>
      <c r="E367" s="16" t="n"/>
      <c r="F367" s="16" t="n"/>
      <c r="G367" s="16" t="n"/>
      <c r="H367" s="16" t="n"/>
      <c r="I367" s="16" t="n"/>
      <c r="J367" s="16" t="n"/>
      <c r="K367" s="18">
        <f>IF(I367="","",IF(J367="BDT",I367,IF(J367="USD",I367*USD_BDT,IF(J367="RMB",I367*RMB_BDT,""))))</f>
        <v/>
      </c>
      <c r="L367" s="18" t="n"/>
      <c r="M367" s="19" t="n"/>
      <c r="N367" s="18" t="n"/>
      <c r="O367" s="18">
        <f>IF(K367="","",K367+IFERROR(L367,0)+(K367*IF(M367="",CUSTOMS_PCT,M367))+IF(N367="",MISC_FEE,N367))</f>
        <v/>
      </c>
      <c r="P367" s="18">
        <f>IF(O367="","",ROUND(O367*(1+MARKUP_PCT),-1)-1)</f>
        <v/>
      </c>
      <c r="Q367" s="18">
        <f>IF(P367="","",P367-O367)</f>
        <v/>
      </c>
      <c r="R367" s="19">
        <f>IF(OR(P367="",P367=0),"",Q367/P367)</f>
        <v/>
      </c>
      <c r="S367" s="16" t="n"/>
      <c r="T367" s="16" t="n"/>
      <c r="U367" s="16" t="n"/>
      <c r="V367" s="16" t="n"/>
      <c r="W367" s="16" t="n"/>
      <c r="X367" s="16" t="n"/>
      <c r="Y367" s="16" t="n"/>
      <c r="Z367" s="16" t="n"/>
      <c r="AA367" s="16" t="n"/>
      <c r="AB367" s="16" t="n"/>
      <c r="AC367" s="20">
        <f>IF(COUNT(S367:AB367)&lt;10,"",(S367*W_FEMININE+T367*W_TREND+U367*W_AESTHETIC+V367*W_STYLE+W367*W_LIGHT+X367*W_REELS+Y367*W_GIFT+Z367*W_PRICEFIT+AA367*W_DEMAND+AB367*W_QUALITY)/5*100)</f>
        <v/>
      </c>
      <c r="AD367" s="16">
        <f>IF(P367="","",IF(P367&gt;HARD_REJECT_PRICE,"Reject",IF(P367&gt;MAX_PRICE,"Price Review",IF(AC367="","",IF(AND(AC367&gt;=BUY_THRESHOLD,OR(AB367&lt;=2,U367&lt;=2)),"Maybe",IF(AC367&gt;=BUY_THRESHOLD,"Buy",IF(AC367&gt;=MAYBE_THRESHOLD,"Maybe","Reject")))))))</f>
        <v/>
      </c>
      <c r="AE367" s="16" t="n"/>
      <c r="AF367" s="16" t="n"/>
      <c r="AG367" s="16" t="n"/>
      <c r="AH367" s="16" t="n"/>
      <c r="AI367" s="17" t="n"/>
      <c r="AJ367">
        <f>IF(AC367="",-9999-ROW()*0.0000001,AC367-ROW()*0.0000001)</f>
        <v/>
      </c>
      <c r="AK367">
        <f>IF(OR(AC367="",P367="",P367&gt;MAX_PRICE),-9999-ROW()*0.0000001,AC367-ROW()*0.0000001)</f>
        <v/>
      </c>
      <c r="AL367">
        <f>IF(AC367="",-9999-ROW()*0.0000001,X367*1000+AC367-ROW()*0.0000001)</f>
        <v/>
      </c>
      <c r="AM367">
        <f>IF(AC367="",-9999-ROW()*0.0000001,Y367*1000+AC367-ROW()*0.0000001)</f>
        <v/>
      </c>
      <c r="AN367">
        <f>IF(AND(OR(AD367="Maybe",AD367="Price Review"),AG367&lt;&gt;"Approved",AG367&lt;&gt;"Rejected"),IF(AC367="",0,AC367)-ROW()*0.0000001,-9999-ROW()*0.0000001)</f>
        <v/>
      </c>
      <c r="AO367" s="21" t="n"/>
      <c r="AP367" s="21" t="n"/>
      <c r="AQ367" s="22" t="n"/>
      <c r="AR367" s="22" t="n"/>
      <c r="AS367" s="16" t="n"/>
      <c r="AT367" s="22" t="n"/>
      <c r="AU367" s="22" t="n"/>
      <c r="AV367" s="22" t="n"/>
      <c r="AW367" s="18">
        <f>IF(OR(O367="",AV367=""),"",O367*AV367)</f>
        <v/>
      </c>
      <c r="AX367" s="16" t="n"/>
      <c r="AY367" s="16" t="n"/>
      <c r="AZ367" s="16" t="n"/>
      <c r="BA367" s="16" t="n"/>
      <c r="BB367" s="16" t="n"/>
      <c r="BC367" s="18" t="n"/>
      <c r="BD367" s="16" t="n"/>
      <c r="BE367" s="16">
        <f>IF(C367="","",IF(AND(ISNUMBER(P367),P367&gt;MAX_PRICE),"Price too high",IF(AND(ISNUMBER(AB367),AB367&lt;=2),"Quality risk",IF(AND(ISNUMBER(U367),U367&lt;=2),"Aesthetic mismatch",IF(AY367="High","Too fragile",IF(AND(ISNUMBER(R367),R367&lt;LOW_PROFIT_PCT),"Low profit",IF(AND(ISNUMBER(AT367),AT367&gt;MOQ_WARNING),"MOQ too high",IF(OR(AD367="Maybe",AD367="Price Review"),"Needs partner review",IF(AD367="Buy","Good candidate","")))))))))</f>
        <v/>
      </c>
      <c r="BF367" s="16" t="n"/>
      <c r="BG367" s="16" t="n"/>
      <c r="BH367" s="16" t="n"/>
      <c r="BI367" s="16" t="n"/>
      <c r="BJ367" s="16" t="n"/>
      <c r="BK367" s="16" t="n"/>
      <c r="BL367" s="16">
        <f>IF(C367="","",IF(AND(BG367="Yes",BH367="Yes",BI367="Yes",BJ367="Yes",BK367="Yes"),"Yes","No"))</f>
        <v/>
      </c>
      <c r="BM367" s="18" t="n"/>
      <c r="BN367" s="18" t="n"/>
      <c r="BO367" s="18">
        <f>IF(OR(BM367="",BN367=""),"",BM367+BN367)</f>
        <v/>
      </c>
      <c r="BP367" s="18" t="n"/>
      <c r="BQ367" s="18">
        <f>IF(OR(BP367="",BO367=""),"",BP367-BO367)</f>
        <v/>
      </c>
      <c r="BR367" s="19">
        <f>IF(OR(BP367="",BP367=0,BQ367=""),"",BQ367/BP367)</f>
        <v/>
      </c>
      <c r="BS367" s="17" t="n"/>
      <c r="BT367" s="22" t="n"/>
      <c r="BU367" s="22" t="n"/>
      <c r="BV367" s="16" t="n"/>
      <c r="BW367" s="16" t="n"/>
      <c r="BX367" s="22">
        <f>IF(OR(BT367="",BU367=""),"",BT367-BU367)</f>
        <v/>
      </c>
      <c r="BY367" s="16" t="n"/>
      <c r="BZ367" s="17" t="n"/>
      <c r="CA367" s="16" t="n"/>
      <c r="CB367" s="16" t="n"/>
    </row>
    <row r="368">
      <c r="A368" s="23">
        <f>IF(C368="","","AYN-"&amp;IFERROR(VLOOKUP(E368,CATEGORY_PREFIX_TABLE,2,FALSE),"OTH")&amp;"-"&amp;TEXT(ROW()-2,"0000"))</f>
        <v/>
      </c>
      <c r="B368" s="24" t="n"/>
      <c r="C368" s="23" t="n"/>
      <c r="D368" s="23" t="n"/>
      <c r="E368" s="23" t="n"/>
      <c r="F368" s="23" t="n"/>
      <c r="G368" s="23" t="n"/>
      <c r="H368" s="23" t="n"/>
      <c r="I368" s="23" t="n"/>
      <c r="J368" s="23" t="n"/>
      <c r="K368" s="25">
        <f>IF(I368="","",IF(J368="BDT",I368,IF(J368="USD",I368*USD_BDT,IF(J368="RMB",I368*RMB_BDT,""))))</f>
        <v/>
      </c>
      <c r="L368" s="25" t="n"/>
      <c r="M368" s="26" t="n"/>
      <c r="N368" s="25" t="n"/>
      <c r="O368" s="25">
        <f>IF(K368="","",K368+IFERROR(L368,0)+(K368*IF(M368="",CUSTOMS_PCT,M368))+IF(N368="",MISC_FEE,N368))</f>
        <v/>
      </c>
      <c r="P368" s="25">
        <f>IF(O368="","",ROUND(O368*(1+MARKUP_PCT),-1)-1)</f>
        <v/>
      </c>
      <c r="Q368" s="25">
        <f>IF(P368="","",P368-O368)</f>
        <v/>
      </c>
      <c r="R368" s="26">
        <f>IF(OR(P368="",P368=0),"",Q368/P368)</f>
        <v/>
      </c>
      <c r="S368" s="23" t="n"/>
      <c r="T368" s="23" t="n"/>
      <c r="U368" s="23" t="n"/>
      <c r="V368" s="23" t="n"/>
      <c r="W368" s="23" t="n"/>
      <c r="X368" s="23" t="n"/>
      <c r="Y368" s="23" t="n"/>
      <c r="Z368" s="23" t="n"/>
      <c r="AA368" s="23" t="n"/>
      <c r="AB368" s="23" t="n"/>
      <c r="AC368" s="27">
        <f>IF(COUNT(S368:AB368)&lt;10,"",(S368*W_FEMININE+T368*W_TREND+U368*W_AESTHETIC+V368*W_STYLE+W368*W_LIGHT+X368*W_REELS+Y368*W_GIFT+Z368*W_PRICEFIT+AA368*W_DEMAND+AB368*W_QUALITY)/5*100)</f>
        <v/>
      </c>
      <c r="AD368" s="23">
        <f>IF(P368="","",IF(P368&gt;HARD_REJECT_PRICE,"Reject",IF(P368&gt;MAX_PRICE,"Price Review",IF(AC368="","",IF(AND(AC368&gt;=BUY_THRESHOLD,OR(AB368&lt;=2,U368&lt;=2)),"Maybe",IF(AC368&gt;=BUY_THRESHOLD,"Buy",IF(AC368&gt;=MAYBE_THRESHOLD,"Maybe","Reject")))))))</f>
        <v/>
      </c>
      <c r="AE368" s="23" t="n"/>
      <c r="AF368" s="23" t="n"/>
      <c r="AG368" s="23" t="n"/>
      <c r="AH368" s="23" t="n"/>
      <c r="AI368" s="24" t="n"/>
      <c r="AJ368">
        <f>IF(AC368="",-9999-ROW()*0.0000001,AC368-ROW()*0.0000001)</f>
        <v/>
      </c>
      <c r="AK368">
        <f>IF(OR(AC368="",P368="",P368&gt;MAX_PRICE),-9999-ROW()*0.0000001,AC368-ROW()*0.0000001)</f>
        <v/>
      </c>
      <c r="AL368">
        <f>IF(AC368="",-9999-ROW()*0.0000001,X368*1000+AC368-ROW()*0.0000001)</f>
        <v/>
      </c>
      <c r="AM368">
        <f>IF(AC368="",-9999-ROW()*0.0000001,Y368*1000+AC368-ROW()*0.0000001)</f>
        <v/>
      </c>
      <c r="AN368">
        <f>IF(AND(OR(AD368="Maybe",AD368="Price Review"),AG368&lt;&gt;"Approved",AG368&lt;&gt;"Rejected"),IF(AC368="",0,AC368)-ROW()*0.0000001,-9999-ROW()*0.0000001)</f>
        <v/>
      </c>
      <c r="AO368" s="28" t="n"/>
      <c r="AP368" s="28" t="n"/>
      <c r="AQ368" s="29" t="n"/>
      <c r="AR368" s="29" t="n"/>
      <c r="AS368" s="23" t="n"/>
      <c r="AT368" s="29" t="n"/>
      <c r="AU368" s="29" t="n"/>
      <c r="AV368" s="29" t="n"/>
      <c r="AW368" s="25">
        <f>IF(OR(O368="",AV368=""),"",O368*AV368)</f>
        <v/>
      </c>
      <c r="AX368" s="23" t="n"/>
      <c r="AY368" s="23" t="n"/>
      <c r="AZ368" s="23" t="n"/>
      <c r="BA368" s="23" t="n"/>
      <c r="BB368" s="23" t="n"/>
      <c r="BC368" s="25" t="n"/>
      <c r="BD368" s="23" t="n"/>
      <c r="BE368" s="23">
        <f>IF(C368="","",IF(AND(ISNUMBER(P368),P368&gt;MAX_PRICE),"Price too high",IF(AND(ISNUMBER(AB368),AB368&lt;=2),"Quality risk",IF(AND(ISNUMBER(U368),U368&lt;=2),"Aesthetic mismatch",IF(AY368="High","Too fragile",IF(AND(ISNUMBER(R368),R368&lt;LOW_PROFIT_PCT),"Low profit",IF(AND(ISNUMBER(AT368),AT368&gt;MOQ_WARNING),"MOQ too high",IF(OR(AD368="Maybe",AD368="Price Review"),"Needs partner review",IF(AD368="Buy","Good candidate","")))))))))</f>
        <v/>
      </c>
      <c r="BF368" s="23" t="n"/>
      <c r="BG368" s="23" t="n"/>
      <c r="BH368" s="23" t="n"/>
      <c r="BI368" s="23" t="n"/>
      <c r="BJ368" s="23" t="n"/>
      <c r="BK368" s="23" t="n"/>
      <c r="BL368" s="23">
        <f>IF(C368="","",IF(AND(BG368="Yes",BH368="Yes",BI368="Yes",BJ368="Yes",BK368="Yes"),"Yes","No"))</f>
        <v/>
      </c>
      <c r="BM368" s="25" t="n"/>
      <c r="BN368" s="25" t="n"/>
      <c r="BO368" s="25">
        <f>IF(OR(BM368="",BN368=""),"",BM368+BN368)</f>
        <v/>
      </c>
      <c r="BP368" s="25" t="n"/>
      <c r="BQ368" s="25">
        <f>IF(OR(BP368="",BO368=""),"",BP368-BO368)</f>
        <v/>
      </c>
      <c r="BR368" s="26">
        <f>IF(OR(BP368="",BP368=0,BQ368=""),"",BQ368/BP368)</f>
        <v/>
      </c>
      <c r="BS368" s="24" t="n"/>
      <c r="BT368" s="29" t="n"/>
      <c r="BU368" s="29" t="n"/>
      <c r="BV368" s="23" t="n"/>
      <c r="BW368" s="23" t="n"/>
      <c r="BX368" s="29">
        <f>IF(OR(BT368="",BU368=""),"",BT368-BU368)</f>
        <v/>
      </c>
      <c r="BY368" s="23" t="n"/>
      <c r="BZ368" s="24" t="n"/>
      <c r="CA368" s="23" t="n"/>
      <c r="CB368" s="23" t="n"/>
    </row>
    <row r="369">
      <c r="A369" s="16">
        <f>IF(C369="","","AYN-"&amp;IFERROR(VLOOKUP(E369,CATEGORY_PREFIX_TABLE,2,FALSE),"OTH")&amp;"-"&amp;TEXT(ROW()-2,"0000"))</f>
        <v/>
      </c>
      <c r="B369" s="17" t="n"/>
      <c r="C369" s="16" t="n"/>
      <c r="D369" s="16" t="n"/>
      <c r="E369" s="16" t="n"/>
      <c r="F369" s="16" t="n"/>
      <c r="G369" s="16" t="n"/>
      <c r="H369" s="16" t="n"/>
      <c r="I369" s="16" t="n"/>
      <c r="J369" s="16" t="n"/>
      <c r="K369" s="18">
        <f>IF(I369="","",IF(J369="BDT",I369,IF(J369="USD",I369*USD_BDT,IF(J369="RMB",I369*RMB_BDT,""))))</f>
        <v/>
      </c>
      <c r="L369" s="18" t="n"/>
      <c r="M369" s="19" t="n"/>
      <c r="N369" s="18" t="n"/>
      <c r="O369" s="18">
        <f>IF(K369="","",K369+IFERROR(L369,0)+(K369*IF(M369="",CUSTOMS_PCT,M369))+IF(N369="",MISC_FEE,N369))</f>
        <v/>
      </c>
      <c r="P369" s="18">
        <f>IF(O369="","",ROUND(O369*(1+MARKUP_PCT),-1)-1)</f>
        <v/>
      </c>
      <c r="Q369" s="18">
        <f>IF(P369="","",P369-O369)</f>
        <v/>
      </c>
      <c r="R369" s="19">
        <f>IF(OR(P369="",P369=0),"",Q369/P369)</f>
        <v/>
      </c>
      <c r="S369" s="16" t="n"/>
      <c r="T369" s="16" t="n"/>
      <c r="U369" s="16" t="n"/>
      <c r="V369" s="16" t="n"/>
      <c r="W369" s="16" t="n"/>
      <c r="X369" s="16" t="n"/>
      <c r="Y369" s="16" t="n"/>
      <c r="Z369" s="16" t="n"/>
      <c r="AA369" s="16" t="n"/>
      <c r="AB369" s="16" t="n"/>
      <c r="AC369" s="20">
        <f>IF(COUNT(S369:AB369)&lt;10,"",(S369*W_FEMININE+T369*W_TREND+U369*W_AESTHETIC+V369*W_STYLE+W369*W_LIGHT+X369*W_REELS+Y369*W_GIFT+Z369*W_PRICEFIT+AA369*W_DEMAND+AB369*W_QUALITY)/5*100)</f>
        <v/>
      </c>
      <c r="AD369" s="16">
        <f>IF(P369="","",IF(P369&gt;HARD_REJECT_PRICE,"Reject",IF(P369&gt;MAX_PRICE,"Price Review",IF(AC369="","",IF(AND(AC369&gt;=BUY_THRESHOLD,OR(AB369&lt;=2,U369&lt;=2)),"Maybe",IF(AC369&gt;=BUY_THRESHOLD,"Buy",IF(AC369&gt;=MAYBE_THRESHOLD,"Maybe","Reject")))))))</f>
        <v/>
      </c>
      <c r="AE369" s="16" t="n"/>
      <c r="AF369" s="16" t="n"/>
      <c r="AG369" s="16" t="n"/>
      <c r="AH369" s="16" t="n"/>
      <c r="AI369" s="17" t="n"/>
      <c r="AJ369">
        <f>IF(AC369="",-9999-ROW()*0.0000001,AC369-ROW()*0.0000001)</f>
        <v/>
      </c>
      <c r="AK369">
        <f>IF(OR(AC369="",P369="",P369&gt;MAX_PRICE),-9999-ROW()*0.0000001,AC369-ROW()*0.0000001)</f>
        <v/>
      </c>
      <c r="AL369">
        <f>IF(AC369="",-9999-ROW()*0.0000001,X369*1000+AC369-ROW()*0.0000001)</f>
        <v/>
      </c>
      <c r="AM369">
        <f>IF(AC369="",-9999-ROW()*0.0000001,Y369*1000+AC369-ROW()*0.0000001)</f>
        <v/>
      </c>
      <c r="AN369">
        <f>IF(AND(OR(AD369="Maybe",AD369="Price Review"),AG369&lt;&gt;"Approved",AG369&lt;&gt;"Rejected"),IF(AC369="",0,AC369)-ROW()*0.0000001,-9999-ROW()*0.0000001)</f>
        <v/>
      </c>
      <c r="AO369" s="21" t="n"/>
      <c r="AP369" s="21" t="n"/>
      <c r="AQ369" s="22" t="n"/>
      <c r="AR369" s="22" t="n"/>
      <c r="AS369" s="16" t="n"/>
      <c r="AT369" s="22" t="n"/>
      <c r="AU369" s="22" t="n"/>
      <c r="AV369" s="22" t="n"/>
      <c r="AW369" s="18">
        <f>IF(OR(O369="",AV369=""),"",O369*AV369)</f>
        <v/>
      </c>
      <c r="AX369" s="16" t="n"/>
      <c r="AY369" s="16" t="n"/>
      <c r="AZ369" s="16" t="n"/>
      <c r="BA369" s="16" t="n"/>
      <c r="BB369" s="16" t="n"/>
      <c r="BC369" s="18" t="n"/>
      <c r="BD369" s="16" t="n"/>
      <c r="BE369" s="16">
        <f>IF(C369="","",IF(AND(ISNUMBER(P369),P369&gt;MAX_PRICE),"Price too high",IF(AND(ISNUMBER(AB369),AB369&lt;=2),"Quality risk",IF(AND(ISNUMBER(U369),U369&lt;=2),"Aesthetic mismatch",IF(AY369="High","Too fragile",IF(AND(ISNUMBER(R369),R369&lt;LOW_PROFIT_PCT),"Low profit",IF(AND(ISNUMBER(AT369),AT369&gt;MOQ_WARNING),"MOQ too high",IF(OR(AD369="Maybe",AD369="Price Review"),"Needs partner review",IF(AD369="Buy","Good candidate","")))))))))</f>
        <v/>
      </c>
      <c r="BF369" s="16" t="n"/>
      <c r="BG369" s="16" t="n"/>
      <c r="BH369" s="16" t="n"/>
      <c r="BI369" s="16" t="n"/>
      <c r="BJ369" s="16" t="n"/>
      <c r="BK369" s="16" t="n"/>
      <c r="BL369" s="16">
        <f>IF(C369="","",IF(AND(BG369="Yes",BH369="Yes",BI369="Yes",BJ369="Yes",BK369="Yes"),"Yes","No"))</f>
        <v/>
      </c>
      <c r="BM369" s="18" t="n"/>
      <c r="BN369" s="18" t="n"/>
      <c r="BO369" s="18">
        <f>IF(OR(BM369="",BN369=""),"",BM369+BN369)</f>
        <v/>
      </c>
      <c r="BP369" s="18" t="n"/>
      <c r="BQ369" s="18">
        <f>IF(OR(BP369="",BO369=""),"",BP369-BO369)</f>
        <v/>
      </c>
      <c r="BR369" s="19">
        <f>IF(OR(BP369="",BP369=0,BQ369=""),"",BQ369/BP369)</f>
        <v/>
      </c>
      <c r="BS369" s="17" t="n"/>
      <c r="BT369" s="22" t="n"/>
      <c r="BU369" s="22" t="n"/>
      <c r="BV369" s="16" t="n"/>
      <c r="BW369" s="16" t="n"/>
      <c r="BX369" s="22">
        <f>IF(OR(BT369="",BU369=""),"",BT369-BU369)</f>
        <v/>
      </c>
      <c r="BY369" s="16" t="n"/>
      <c r="BZ369" s="17" t="n"/>
      <c r="CA369" s="16" t="n"/>
      <c r="CB369" s="16" t="n"/>
    </row>
    <row r="370">
      <c r="A370" s="23">
        <f>IF(C370="","","AYN-"&amp;IFERROR(VLOOKUP(E370,CATEGORY_PREFIX_TABLE,2,FALSE),"OTH")&amp;"-"&amp;TEXT(ROW()-2,"0000"))</f>
        <v/>
      </c>
      <c r="B370" s="24" t="n"/>
      <c r="C370" s="23" t="n"/>
      <c r="D370" s="23" t="n"/>
      <c r="E370" s="23" t="n"/>
      <c r="F370" s="23" t="n"/>
      <c r="G370" s="23" t="n"/>
      <c r="H370" s="23" t="n"/>
      <c r="I370" s="23" t="n"/>
      <c r="J370" s="23" t="n"/>
      <c r="K370" s="25">
        <f>IF(I370="","",IF(J370="BDT",I370,IF(J370="USD",I370*USD_BDT,IF(J370="RMB",I370*RMB_BDT,""))))</f>
        <v/>
      </c>
      <c r="L370" s="25" t="n"/>
      <c r="M370" s="26" t="n"/>
      <c r="N370" s="25" t="n"/>
      <c r="O370" s="25">
        <f>IF(K370="","",K370+IFERROR(L370,0)+(K370*IF(M370="",CUSTOMS_PCT,M370))+IF(N370="",MISC_FEE,N370))</f>
        <v/>
      </c>
      <c r="P370" s="25">
        <f>IF(O370="","",ROUND(O370*(1+MARKUP_PCT),-1)-1)</f>
        <v/>
      </c>
      <c r="Q370" s="25">
        <f>IF(P370="","",P370-O370)</f>
        <v/>
      </c>
      <c r="R370" s="26">
        <f>IF(OR(P370="",P370=0),"",Q370/P370)</f>
        <v/>
      </c>
      <c r="S370" s="23" t="n"/>
      <c r="T370" s="23" t="n"/>
      <c r="U370" s="23" t="n"/>
      <c r="V370" s="23" t="n"/>
      <c r="W370" s="23" t="n"/>
      <c r="X370" s="23" t="n"/>
      <c r="Y370" s="23" t="n"/>
      <c r="Z370" s="23" t="n"/>
      <c r="AA370" s="23" t="n"/>
      <c r="AB370" s="23" t="n"/>
      <c r="AC370" s="27">
        <f>IF(COUNT(S370:AB370)&lt;10,"",(S370*W_FEMININE+T370*W_TREND+U370*W_AESTHETIC+V370*W_STYLE+W370*W_LIGHT+X370*W_REELS+Y370*W_GIFT+Z370*W_PRICEFIT+AA370*W_DEMAND+AB370*W_QUALITY)/5*100)</f>
        <v/>
      </c>
      <c r="AD370" s="23">
        <f>IF(P370="","",IF(P370&gt;HARD_REJECT_PRICE,"Reject",IF(P370&gt;MAX_PRICE,"Price Review",IF(AC370="","",IF(AND(AC370&gt;=BUY_THRESHOLD,OR(AB370&lt;=2,U370&lt;=2)),"Maybe",IF(AC370&gt;=BUY_THRESHOLD,"Buy",IF(AC370&gt;=MAYBE_THRESHOLD,"Maybe","Reject")))))))</f>
        <v/>
      </c>
      <c r="AE370" s="23" t="n"/>
      <c r="AF370" s="23" t="n"/>
      <c r="AG370" s="23" t="n"/>
      <c r="AH370" s="23" t="n"/>
      <c r="AI370" s="24" t="n"/>
      <c r="AJ370">
        <f>IF(AC370="",-9999-ROW()*0.0000001,AC370-ROW()*0.0000001)</f>
        <v/>
      </c>
      <c r="AK370">
        <f>IF(OR(AC370="",P370="",P370&gt;MAX_PRICE),-9999-ROW()*0.0000001,AC370-ROW()*0.0000001)</f>
        <v/>
      </c>
      <c r="AL370">
        <f>IF(AC370="",-9999-ROW()*0.0000001,X370*1000+AC370-ROW()*0.0000001)</f>
        <v/>
      </c>
      <c r="AM370">
        <f>IF(AC370="",-9999-ROW()*0.0000001,Y370*1000+AC370-ROW()*0.0000001)</f>
        <v/>
      </c>
      <c r="AN370">
        <f>IF(AND(OR(AD370="Maybe",AD370="Price Review"),AG370&lt;&gt;"Approved",AG370&lt;&gt;"Rejected"),IF(AC370="",0,AC370)-ROW()*0.0000001,-9999-ROW()*0.0000001)</f>
        <v/>
      </c>
      <c r="AO370" s="28" t="n"/>
      <c r="AP370" s="28" t="n"/>
      <c r="AQ370" s="29" t="n"/>
      <c r="AR370" s="29" t="n"/>
      <c r="AS370" s="23" t="n"/>
      <c r="AT370" s="29" t="n"/>
      <c r="AU370" s="29" t="n"/>
      <c r="AV370" s="29" t="n"/>
      <c r="AW370" s="25">
        <f>IF(OR(O370="",AV370=""),"",O370*AV370)</f>
        <v/>
      </c>
      <c r="AX370" s="23" t="n"/>
      <c r="AY370" s="23" t="n"/>
      <c r="AZ370" s="23" t="n"/>
      <c r="BA370" s="23" t="n"/>
      <c r="BB370" s="23" t="n"/>
      <c r="BC370" s="25" t="n"/>
      <c r="BD370" s="23" t="n"/>
      <c r="BE370" s="23">
        <f>IF(C370="","",IF(AND(ISNUMBER(P370),P370&gt;MAX_PRICE),"Price too high",IF(AND(ISNUMBER(AB370),AB370&lt;=2),"Quality risk",IF(AND(ISNUMBER(U370),U370&lt;=2),"Aesthetic mismatch",IF(AY370="High","Too fragile",IF(AND(ISNUMBER(R370),R370&lt;LOW_PROFIT_PCT),"Low profit",IF(AND(ISNUMBER(AT370),AT370&gt;MOQ_WARNING),"MOQ too high",IF(OR(AD370="Maybe",AD370="Price Review"),"Needs partner review",IF(AD370="Buy","Good candidate","")))))))))</f>
        <v/>
      </c>
      <c r="BF370" s="23" t="n"/>
      <c r="BG370" s="23" t="n"/>
      <c r="BH370" s="23" t="n"/>
      <c r="BI370" s="23" t="n"/>
      <c r="BJ370" s="23" t="n"/>
      <c r="BK370" s="23" t="n"/>
      <c r="BL370" s="23">
        <f>IF(C370="","",IF(AND(BG370="Yes",BH370="Yes",BI370="Yes",BJ370="Yes",BK370="Yes"),"Yes","No"))</f>
        <v/>
      </c>
      <c r="BM370" s="25" t="n"/>
      <c r="BN370" s="25" t="n"/>
      <c r="BO370" s="25">
        <f>IF(OR(BM370="",BN370=""),"",BM370+BN370)</f>
        <v/>
      </c>
      <c r="BP370" s="25" t="n"/>
      <c r="BQ370" s="25">
        <f>IF(OR(BP370="",BO370=""),"",BP370-BO370)</f>
        <v/>
      </c>
      <c r="BR370" s="26">
        <f>IF(OR(BP370="",BP370=0,BQ370=""),"",BQ370/BP370)</f>
        <v/>
      </c>
      <c r="BS370" s="24" t="n"/>
      <c r="BT370" s="29" t="n"/>
      <c r="BU370" s="29" t="n"/>
      <c r="BV370" s="23" t="n"/>
      <c r="BW370" s="23" t="n"/>
      <c r="BX370" s="29">
        <f>IF(OR(BT370="",BU370=""),"",BT370-BU370)</f>
        <v/>
      </c>
      <c r="BY370" s="23" t="n"/>
      <c r="BZ370" s="24" t="n"/>
      <c r="CA370" s="23" t="n"/>
      <c r="CB370" s="23" t="n"/>
    </row>
    <row r="371">
      <c r="A371" s="16">
        <f>IF(C371="","","AYN-"&amp;IFERROR(VLOOKUP(E371,CATEGORY_PREFIX_TABLE,2,FALSE),"OTH")&amp;"-"&amp;TEXT(ROW()-2,"0000"))</f>
        <v/>
      </c>
      <c r="B371" s="17" t="n"/>
      <c r="C371" s="16" t="n"/>
      <c r="D371" s="16" t="n"/>
      <c r="E371" s="16" t="n"/>
      <c r="F371" s="16" t="n"/>
      <c r="G371" s="16" t="n"/>
      <c r="H371" s="16" t="n"/>
      <c r="I371" s="16" t="n"/>
      <c r="J371" s="16" t="n"/>
      <c r="K371" s="18">
        <f>IF(I371="","",IF(J371="BDT",I371,IF(J371="USD",I371*USD_BDT,IF(J371="RMB",I371*RMB_BDT,""))))</f>
        <v/>
      </c>
      <c r="L371" s="18" t="n"/>
      <c r="M371" s="19" t="n"/>
      <c r="N371" s="18" t="n"/>
      <c r="O371" s="18">
        <f>IF(K371="","",K371+IFERROR(L371,0)+(K371*IF(M371="",CUSTOMS_PCT,M371))+IF(N371="",MISC_FEE,N371))</f>
        <v/>
      </c>
      <c r="P371" s="18">
        <f>IF(O371="","",ROUND(O371*(1+MARKUP_PCT),-1)-1)</f>
        <v/>
      </c>
      <c r="Q371" s="18">
        <f>IF(P371="","",P371-O371)</f>
        <v/>
      </c>
      <c r="R371" s="19">
        <f>IF(OR(P371="",P371=0),"",Q371/P371)</f>
        <v/>
      </c>
      <c r="S371" s="16" t="n"/>
      <c r="T371" s="16" t="n"/>
      <c r="U371" s="16" t="n"/>
      <c r="V371" s="16" t="n"/>
      <c r="W371" s="16" t="n"/>
      <c r="X371" s="16" t="n"/>
      <c r="Y371" s="16" t="n"/>
      <c r="Z371" s="16" t="n"/>
      <c r="AA371" s="16" t="n"/>
      <c r="AB371" s="16" t="n"/>
      <c r="AC371" s="20">
        <f>IF(COUNT(S371:AB371)&lt;10,"",(S371*W_FEMININE+T371*W_TREND+U371*W_AESTHETIC+V371*W_STYLE+W371*W_LIGHT+X371*W_REELS+Y371*W_GIFT+Z371*W_PRICEFIT+AA371*W_DEMAND+AB371*W_QUALITY)/5*100)</f>
        <v/>
      </c>
      <c r="AD371" s="16">
        <f>IF(P371="","",IF(P371&gt;HARD_REJECT_PRICE,"Reject",IF(P371&gt;MAX_PRICE,"Price Review",IF(AC371="","",IF(AND(AC371&gt;=BUY_THRESHOLD,OR(AB371&lt;=2,U371&lt;=2)),"Maybe",IF(AC371&gt;=BUY_THRESHOLD,"Buy",IF(AC371&gt;=MAYBE_THRESHOLD,"Maybe","Reject")))))))</f>
        <v/>
      </c>
      <c r="AE371" s="16" t="n"/>
      <c r="AF371" s="16" t="n"/>
      <c r="AG371" s="16" t="n"/>
      <c r="AH371" s="16" t="n"/>
      <c r="AI371" s="17" t="n"/>
      <c r="AJ371">
        <f>IF(AC371="",-9999-ROW()*0.0000001,AC371-ROW()*0.0000001)</f>
        <v/>
      </c>
      <c r="AK371">
        <f>IF(OR(AC371="",P371="",P371&gt;MAX_PRICE),-9999-ROW()*0.0000001,AC371-ROW()*0.0000001)</f>
        <v/>
      </c>
      <c r="AL371">
        <f>IF(AC371="",-9999-ROW()*0.0000001,X371*1000+AC371-ROW()*0.0000001)</f>
        <v/>
      </c>
      <c r="AM371">
        <f>IF(AC371="",-9999-ROW()*0.0000001,Y371*1000+AC371-ROW()*0.0000001)</f>
        <v/>
      </c>
      <c r="AN371">
        <f>IF(AND(OR(AD371="Maybe",AD371="Price Review"),AG371&lt;&gt;"Approved",AG371&lt;&gt;"Rejected"),IF(AC371="",0,AC371)-ROW()*0.0000001,-9999-ROW()*0.0000001)</f>
        <v/>
      </c>
      <c r="AO371" s="21" t="n"/>
      <c r="AP371" s="21" t="n"/>
      <c r="AQ371" s="22" t="n"/>
      <c r="AR371" s="22" t="n"/>
      <c r="AS371" s="16" t="n"/>
      <c r="AT371" s="22" t="n"/>
      <c r="AU371" s="22" t="n"/>
      <c r="AV371" s="22" t="n"/>
      <c r="AW371" s="18">
        <f>IF(OR(O371="",AV371=""),"",O371*AV371)</f>
        <v/>
      </c>
      <c r="AX371" s="16" t="n"/>
      <c r="AY371" s="16" t="n"/>
      <c r="AZ371" s="16" t="n"/>
      <c r="BA371" s="16" t="n"/>
      <c r="BB371" s="16" t="n"/>
      <c r="BC371" s="18" t="n"/>
      <c r="BD371" s="16" t="n"/>
      <c r="BE371" s="16">
        <f>IF(C371="","",IF(AND(ISNUMBER(P371),P371&gt;MAX_PRICE),"Price too high",IF(AND(ISNUMBER(AB371),AB371&lt;=2),"Quality risk",IF(AND(ISNUMBER(U371),U371&lt;=2),"Aesthetic mismatch",IF(AY371="High","Too fragile",IF(AND(ISNUMBER(R371),R371&lt;LOW_PROFIT_PCT),"Low profit",IF(AND(ISNUMBER(AT371),AT371&gt;MOQ_WARNING),"MOQ too high",IF(OR(AD371="Maybe",AD371="Price Review"),"Needs partner review",IF(AD371="Buy","Good candidate","")))))))))</f>
        <v/>
      </c>
      <c r="BF371" s="16" t="n"/>
      <c r="BG371" s="16" t="n"/>
      <c r="BH371" s="16" t="n"/>
      <c r="BI371" s="16" t="n"/>
      <c r="BJ371" s="16" t="n"/>
      <c r="BK371" s="16" t="n"/>
      <c r="BL371" s="16">
        <f>IF(C371="","",IF(AND(BG371="Yes",BH371="Yes",BI371="Yes",BJ371="Yes",BK371="Yes"),"Yes","No"))</f>
        <v/>
      </c>
      <c r="BM371" s="18" t="n"/>
      <c r="BN371" s="18" t="n"/>
      <c r="BO371" s="18">
        <f>IF(OR(BM371="",BN371=""),"",BM371+BN371)</f>
        <v/>
      </c>
      <c r="BP371" s="18" t="n"/>
      <c r="BQ371" s="18">
        <f>IF(OR(BP371="",BO371=""),"",BP371-BO371)</f>
        <v/>
      </c>
      <c r="BR371" s="19">
        <f>IF(OR(BP371="",BP371=0,BQ371=""),"",BQ371/BP371)</f>
        <v/>
      </c>
      <c r="BS371" s="17" t="n"/>
      <c r="BT371" s="22" t="n"/>
      <c r="BU371" s="22" t="n"/>
      <c r="BV371" s="16" t="n"/>
      <c r="BW371" s="16" t="n"/>
      <c r="BX371" s="22">
        <f>IF(OR(BT371="",BU371=""),"",BT371-BU371)</f>
        <v/>
      </c>
      <c r="BY371" s="16" t="n"/>
      <c r="BZ371" s="17" t="n"/>
      <c r="CA371" s="16" t="n"/>
      <c r="CB371" s="16" t="n"/>
    </row>
    <row r="372">
      <c r="A372" s="23">
        <f>IF(C372="","","AYN-"&amp;IFERROR(VLOOKUP(E372,CATEGORY_PREFIX_TABLE,2,FALSE),"OTH")&amp;"-"&amp;TEXT(ROW()-2,"0000"))</f>
        <v/>
      </c>
      <c r="B372" s="24" t="n"/>
      <c r="C372" s="23" t="n"/>
      <c r="D372" s="23" t="n"/>
      <c r="E372" s="23" t="n"/>
      <c r="F372" s="23" t="n"/>
      <c r="G372" s="23" t="n"/>
      <c r="H372" s="23" t="n"/>
      <c r="I372" s="23" t="n"/>
      <c r="J372" s="23" t="n"/>
      <c r="K372" s="25">
        <f>IF(I372="","",IF(J372="BDT",I372,IF(J372="USD",I372*USD_BDT,IF(J372="RMB",I372*RMB_BDT,""))))</f>
        <v/>
      </c>
      <c r="L372" s="25" t="n"/>
      <c r="M372" s="26" t="n"/>
      <c r="N372" s="25" t="n"/>
      <c r="O372" s="25">
        <f>IF(K372="","",K372+IFERROR(L372,0)+(K372*IF(M372="",CUSTOMS_PCT,M372))+IF(N372="",MISC_FEE,N372))</f>
        <v/>
      </c>
      <c r="P372" s="25">
        <f>IF(O372="","",ROUND(O372*(1+MARKUP_PCT),-1)-1)</f>
        <v/>
      </c>
      <c r="Q372" s="25">
        <f>IF(P372="","",P372-O372)</f>
        <v/>
      </c>
      <c r="R372" s="26">
        <f>IF(OR(P372="",P372=0),"",Q372/P372)</f>
        <v/>
      </c>
      <c r="S372" s="23" t="n"/>
      <c r="T372" s="23" t="n"/>
      <c r="U372" s="23" t="n"/>
      <c r="V372" s="23" t="n"/>
      <c r="W372" s="23" t="n"/>
      <c r="X372" s="23" t="n"/>
      <c r="Y372" s="23" t="n"/>
      <c r="Z372" s="23" t="n"/>
      <c r="AA372" s="23" t="n"/>
      <c r="AB372" s="23" t="n"/>
      <c r="AC372" s="27">
        <f>IF(COUNT(S372:AB372)&lt;10,"",(S372*W_FEMININE+T372*W_TREND+U372*W_AESTHETIC+V372*W_STYLE+W372*W_LIGHT+X372*W_REELS+Y372*W_GIFT+Z372*W_PRICEFIT+AA372*W_DEMAND+AB372*W_QUALITY)/5*100)</f>
        <v/>
      </c>
      <c r="AD372" s="23">
        <f>IF(P372="","",IF(P372&gt;HARD_REJECT_PRICE,"Reject",IF(P372&gt;MAX_PRICE,"Price Review",IF(AC372="","",IF(AND(AC372&gt;=BUY_THRESHOLD,OR(AB372&lt;=2,U372&lt;=2)),"Maybe",IF(AC372&gt;=BUY_THRESHOLD,"Buy",IF(AC372&gt;=MAYBE_THRESHOLD,"Maybe","Reject")))))))</f>
        <v/>
      </c>
      <c r="AE372" s="23" t="n"/>
      <c r="AF372" s="23" t="n"/>
      <c r="AG372" s="23" t="n"/>
      <c r="AH372" s="23" t="n"/>
      <c r="AI372" s="24" t="n"/>
      <c r="AJ372">
        <f>IF(AC372="",-9999-ROW()*0.0000001,AC372-ROW()*0.0000001)</f>
        <v/>
      </c>
      <c r="AK372">
        <f>IF(OR(AC372="",P372="",P372&gt;MAX_PRICE),-9999-ROW()*0.0000001,AC372-ROW()*0.0000001)</f>
        <v/>
      </c>
      <c r="AL372">
        <f>IF(AC372="",-9999-ROW()*0.0000001,X372*1000+AC372-ROW()*0.0000001)</f>
        <v/>
      </c>
      <c r="AM372">
        <f>IF(AC372="",-9999-ROW()*0.0000001,Y372*1000+AC372-ROW()*0.0000001)</f>
        <v/>
      </c>
      <c r="AN372">
        <f>IF(AND(OR(AD372="Maybe",AD372="Price Review"),AG372&lt;&gt;"Approved",AG372&lt;&gt;"Rejected"),IF(AC372="",0,AC372)-ROW()*0.0000001,-9999-ROW()*0.0000001)</f>
        <v/>
      </c>
      <c r="AO372" s="28" t="n"/>
      <c r="AP372" s="28" t="n"/>
      <c r="AQ372" s="29" t="n"/>
      <c r="AR372" s="29" t="n"/>
      <c r="AS372" s="23" t="n"/>
      <c r="AT372" s="29" t="n"/>
      <c r="AU372" s="29" t="n"/>
      <c r="AV372" s="29" t="n"/>
      <c r="AW372" s="25">
        <f>IF(OR(O372="",AV372=""),"",O372*AV372)</f>
        <v/>
      </c>
      <c r="AX372" s="23" t="n"/>
      <c r="AY372" s="23" t="n"/>
      <c r="AZ372" s="23" t="n"/>
      <c r="BA372" s="23" t="n"/>
      <c r="BB372" s="23" t="n"/>
      <c r="BC372" s="25" t="n"/>
      <c r="BD372" s="23" t="n"/>
      <c r="BE372" s="23">
        <f>IF(C372="","",IF(AND(ISNUMBER(P372),P372&gt;MAX_PRICE),"Price too high",IF(AND(ISNUMBER(AB372),AB372&lt;=2),"Quality risk",IF(AND(ISNUMBER(U372),U372&lt;=2),"Aesthetic mismatch",IF(AY372="High","Too fragile",IF(AND(ISNUMBER(R372),R372&lt;LOW_PROFIT_PCT),"Low profit",IF(AND(ISNUMBER(AT372),AT372&gt;MOQ_WARNING),"MOQ too high",IF(OR(AD372="Maybe",AD372="Price Review"),"Needs partner review",IF(AD372="Buy","Good candidate","")))))))))</f>
        <v/>
      </c>
      <c r="BF372" s="23" t="n"/>
      <c r="BG372" s="23" t="n"/>
      <c r="BH372" s="23" t="n"/>
      <c r="BI372" s="23" t="n"/>
      <c r="BJ372" s="23" t="n"/>
      <c r="BK372" s="23" t="n"/>
      <c r="BL372" s="23">
        <f>IF(C372="","",IF(AND(BG372="Yes",BH372="Yes",BI372="Yes",BJ372="Yes",BK372="Yes"),"Yes","No"))</f>
        <v/>
      </c>
      <c r="BM372" s="25" t="n"/>
      <c r="BN372" s="25" t="n"/>
      <c r="BO372" s="25">
        <f>IF(OR(BM372="",BN372=""),"",BM372+BN372)</f>
        <v/>
      </c>
      <c r="BP372" s="25" t="n"/>
      <c r="BQ372" s="25">
        <f>IF(OR(BP372="",BO372=""),"",BP372-BO372)</f>
        <v/>
      </c>
      <c r="BR372" s="26">
        <f>IF(OR(BP372="",BP372=0,BQ372=""),"",BQ372/BP372)</f>
        <v/>
      </c>
      <c r="BS372" s="24" t="n"/>
      <c r="BT372" s="29" t="n"/>
      <c r="BU372" s="29" t="n"/>
      <c r="BV372" s="23" t="n"/>
      <c r="BW372" s="23" t="n"/>
      <c r="BX372" s="29">
        <f>IF(OR(BT372="",BU372=""),"",BT372-BU372)</f>
        <v/>
      </c>
      <c r="BY372" s="23" t="n"/>
      <c r="BZ372" s="24" t="n"/>
      <c r="CA372" s="23" t="n"/>
      <c r="CB372" s="23" t="n"/>
    </row>
    <row r="373">
      <c r="A373" s="16">
        <f>IF(C373="","","AYN-"&amp;IFERROR(VLOOKUP(E373,CATEGORY_PREFIX_TABLE,2,FALSE),"OTH")&amp;"-"&amp;TEXT(ROW()-2,"0000"))</f>
        <v/>
      </c>
      <c r="B373" s="17" t="n"/>
      <c r="C373" s="16" t="n"/>
      <c r="D373" s="16" t="n"/>
      <c r="E373" s="16" t="n"/>
      <c r="F373" s="16" t="n"/>
      <c r="G373" s="16" t="n"/>
      <c r="H373" s="16" t="n"/>
      <c r="I373" s="16" t="n"/>
      <c r="J373" s="16" t="n"/>
      <c r="K373" s="18">
        <f>IF(I373="","",IF(J373="BDT",I373,IF(J373="USD",I373*USD_BDT,IF(J373="RMB",I373*RMB_BDT,""))))</f>
        <v/>
      </c>
      <c r="L373" s="18" t="n"/>
      <c r="M373" s="19" t="n"/>
      <c r="N373" s="18" t="n"/>
      <c r="O373" s="18">
        <f>IF(K373="","",K373+IFERROR(L373,0)+(K373*IF(M373="",CUSTOMS_PCT,M373))+IF(N373="",MISC_FEE,N373))</f>
        <v/>
      </c>
      <c r="P373" s="18">
        <f>IF(O373="","",ROUND(O373*(1+MARKUP_PCT),-1)-1)</f>
        <v/>
      </c>
      <c r="Q373" s="18">
        <f>IF(P373="","",P373-O373)</f>
        <v/>
      </c>
      <c r="R373" s="19">
        <f>IF(OR(P373="",P373=0),"",Q373/P373)</f>
        <v/>
      </c>
      <c r="S373" s="16" t="n"/>
      <c r="T373" s="16" t="n"/>
      <c r="U373" s="16" t="n"/>
      <c r="V373" s="16" t="n"/>
      <c r="W373" s="16" t="n"/>
      <c r="X373" s="16" t="n"/>
      <c r="Y373" s="16" t="n"/>
      <c r="Z373" s="16" t="n"/>
      <c r="AA373" s="16" t="n"/>
      <c r="AB373" s="16" t="n"/>
      <c r="AC373" s="20">
        <f>IF(COUNT(S373:AB373)&lt;10,"",(S373*W_FEMININE+T373*W_TREND+U373*W_AESTHETIC+V373*W_STYLE+W373*W_LIGHT+X373*W_REELS+Y373*W_GIFT+Z373*W_PRICEFIT+AA373*W_DEMAND+AB373*W_QUALITY)/5*100)</f>
        <v/>
      </c>
      <c r="AD373" s="16">
        <f>IF(P373="","",IF(P373&gt;HARD_REJECT_PRICE,"Reject",IF(P373&gt;MAX_PRICE,"Price Review",IF(AC373="","",IF(AND(AC373&gt;=BUY_THRESHOLD,OR(AB373&lt;=2,U373&lt;=2)),"Maybe",IF(AC373&gt;=BUY_THRESHOLD,"Buy",IF(AC373&gt;=MAYBE_THRESHOLD,"Maybe","Reject")))))))</f>
        <v/>
      </c>
      <c r="AE373" s="16" t="n"/>
      <c r="AF373" s="16" t="n"/>
      <c r="AG373" s="16" t="n"/>
      <c r="AH373" s="16" t="n"/>
      <c r="AI373" s="17" t="n"/>
      <c r="AJ373">
        <f>IF(AC373="",-9999-ROW()*0.0000001,AC373-ROW()*0.0000001)</f>
        <v/>
      </c>
      <c r="AK373">
        <f>IF(OR(AC373="",P373="",P373&gt;MAX_PRICE),-9999-ROW()*0.0000001,AC373-ROW()*0.0000001)</f>
        <v/>
      </c>
      <c r="AL373">
        <f>IF(AC373="",-9999-ROW()*0.0000001,X373*1000+AC373-ROW()*0.0000001)</f>
        <v/>
      </c>
      <c r="AM373">
        <f>IF(AC373="",-9999-ROW()*0.0000001,Y373*1000+AC373-ROW()*0.0000001)</f>
        <v/>
      </c>
      <c r="AN373">
        <f>IF(AND(OR(AD373="Maybe",AD373="Price Review"),AG373&lt;&gt;"Approved",AG373&lt;&gt;"Rejected"),IF(AC373="",0,AC373)-ROW()*0.0000001,-9999-ROW()*0.0000001)</f>
        <v/>
      </c>
      <c r="AO373" s="21" t="n"/>
      <c r="AP373" s="21" t="n"/>
      <c r="AQ373" s="22" t="n"/>
      <c r="AR373" s="22" t="n"/>
      <c r="AS373" s="16" t="n"/>
      <c r="AT373" s="22" t="n"/>
      <c r="AU373" s="22" t="n"/>
      <c r="AV373" s="22" t="n"/>
      <c r="AW373" s="18">
        <f>IF(OR(O373="",AV373=""),"",O373*AV373)</f>
        <v/>
      </c>
      <c r="AX373" s="16" t="n"/>
      <c r="AY373" s="16" t="n"/>
      <c r="AZ373" s="16" t="n"/>
      <c r="BA373" s="16" t="n"/>
      <c r="BB373" s="16" t="n"/>
      <c r="BC373" s="18" t="n"/>
      <c r="BD373" s="16" t="n"/>
      <c r="BE373" s="16">
        <f>IF(C373="","",IF(AND(ISNUMBER(P373),P373&gt;MAX_PRICE),"Price too high",IF(AND(ISNUMBER(AB373),AB373&lt;=2),"Quality risk",IF(AND(ISNUMBER(U373),U373&lt;=2),"Aesthetic mismatch",IF(AY373="High","Too fragile",IF(AND(ISNUMBER(R373),R373&lt;LOW_PROFIT_PCT),"Low profit",IF(AND(ISNUMBER(AT373),AT373&gt;MOQ_WARNING),"MOQ too high",IF(OR(AD373="Maybe",AD373="Price Review"),"Needs partner review",IF(AD373="Buy","Good candidate","")))))))))</f>
        <v/>
      </c>
      <c r="BF373" s="16" t="n"/>
      <c r="BG373" s="16" t="n"/>
      <c r="BH373" s="16" t="n"/>
      <c r="BI373" s="16" t="n"/>
      <c r="BJ373" s="16" t="n"/>
      <c r="BK373" s="16" t="n"/>
      <c r="BL373" s="16">
        <f>IF(C373="","",IF(AND(BG373="Yes",BH373="Yes",BI373="Yes",BJ373="Yes",BK373="Yes"),"Yes","No"))</f>
        <v/>
      </c>
      <c r="BM373" s="18" t="n"/>
      <c r="BN373" s="18" t="n"/>
      <c r="BO373" s="18">
        <f>IF(OR(BM373="",BN373=""),"",BM373+BN373)</f>
        <v/>
      </c>
      <c r="BP373" s="18" t="n"/>
      <c r="BQ373" s="18">
        <f>IF(OR(BP373="",BO373=""),"",BP373-BO373)</f>
        <v/>
      </c>
      <c r="BR373" s="19">
        <f>IF(OR(BP373="",BP373=0,BQ373=""),"",BQ373/BP373)</f>
        <v/>
      </c>
      <c r="BS373" s="17" t="n"/>
      <c r="BT373" s="22" t="n"/>
      <c r="BU373" s="22" t="n"/>
      <c r="BV373" s="16" t="n"/>
      <c r="BW373" s="16" t="n"/>
      <c r="BX373" s="22">
        <f>IF(OR(BT373="",BU373=""),"",BT373-BU373)</f>
        <v/>
      </c>
      <c r="BY373" s="16" t="n"/>
      <c r="BZ373" s="17" t="n"/>
      <c r="CA373" s="16" t="n"/>
      <c r="CB373" s="16" t="n"/>
    </row>
    <row r="374">
      <c r="A374" s="23">
        <f>IF(C374="","","AYN-"&amp;IFERROR(VLOOKUP(E374,CATEGORY_PREFIX_TABLE,2,FALSE),"OTH")&amp;"-"&amp;TEXT(ROW()-2,"0000"))</f>
        <v/>
      </c>
      <c r="B374" s="24" t="n"/>
      <c r="C374" s="23" t="n"/>
      <c r="D374" s="23" t="n"/>
      <c r="E374" s="23" t="n"/>
      <c r="F374" s="23" t="n"/>
      <c r="G374" s="23" t="n"/>
      <c r="H374" s="23" t="n"/>
      <c r="I374" s="23" t="n"/>
      <c r="J374" s="23" t="n"/>
      <c r="K374" s="25">
        <f>IF(I374="","",IF(J374="BDT",I374,IF(J374="USD",I374*USD_BDT,IF(J374="RMB",I374*RMB_BDT,""))))</f>
        <v/>
      </c>
      <c r="L374" s="25" t="n"/>
      <c r="M374" s="26" t="n"/>
      <c r="N374" s="25" t="n"/>
      <c r="O374" s="25">
        <f>IF(K374="","",K374+IFERROR(L374,0)+(K374*IF(M374="",CUSTOMS_PCT,M374))+IF(N374="",MISC_FEE,N374))</f>
        <v/>
      </c>
      <c r="P374" s="25">
        <f>IF(O374="","",ROUND(O374*(1+MARKUP_PCT),-1)-1)</f>
        <v/>
      </c>
      <c r="Q374" s="25">
        <f>IF(P374="","",P374-O374)</f>
        <v/>
      </c>
      <c r="R374" s="26">
        <f>IF(OR(P374="",P374=0),"",Q374/P374)</f>
        <v/>
      </c>
      <c r="S374" s="23" t="n"/>
      <c r="T374" s="23" t="n"/>
      <c r="U374" s="23" t="n"/>
      <c r="V374" s="23" t="n"/>
      <c r="W374" s="23" t="n"/>
      <c r="X374" s="23" t="n"/>
      <c r="Y374" s="23" t="n"/>
      <c r="Z374" s="23" t="n"/>
      <c r="AA374" s="23" t="n"/>
      <c r="AB374" s="23" t="n"/>
      <c r="AC374" s="27">
        <f>IF(COUNT(S374:AB374)&lt;10,"",(S374*W_FEMININE+T374*W_TREND+U374*W_AESTHETIC+V374*W_STYLE+W374*W_LIGHT+X374*W_REELS+Y374*W_GIFT+Z374*W_PRICEFIT+AA374*W_DEMAND+AB374*W_QUALITY)/5*100)</f>
        <v/>
      </c>
      <c r="AD374" s="23">
        <f>IF(P374="","",IF(P374&gt;HARD_REJECT_PRICE,"Reject",IF(P374&gt;MAX_PRICE,"Price Review",IF(AC374="","",IF(AND(AC374&gt;=BUY_THRESHOLD,OR(AB374&lt;=2,U374&lt;=2)),"Maybe",IF(AC374&gt;=BUY_THRESHOLD,"Buy",IF(AC374&gt;=MAYBE_THRESHOLD,"Maybe","Reject")))))))</f>
        <v/>
      </c>
      <c r="AE374" s="23" t="n"/>
      <c r="AF374" s="23" t="n"/>
      <c r="AG374" s="23" t="n"/>
      <c r="AH374" s="23" t="n"/>
      <c r="AI374" s="24" t="n"/>
      <c r="AJ374">
        <f>IF(AC374="",-9999-ROW()*0.0000001,AC374-ROW()*0.0000001)</f>
        <v/>
      </c>
      <c r="AK374">
        <f>IF(OR(AC374="",P374="",P374&gt;MAX_PRICE),-9999-ROW()*0.0000001,AC374-ROW()*0.0000001)</f>
        <v/>
      </c>
      <c r="AL374">
        <f>IF(AC374="",-9999-ROW()*0.0000001,X374*1000+AC374-ROW()*0.0000001)</f>
        <v/>
      </c>
      <c r="AM374">
        <f>IF(AC374="",-9999-ROW()*0.0000001,Y374*1000+AC374-ROW()*0.0000001)</f>
        <v/>
      </c>
      <c r="AN374">
        <f>IF(AND(OR(AD374="Maybe",AD374="Price Review"),AG374&lt;&gt;"Approved",AG374&lt;&gt;"Rejected"),IF(AC374="",0,AC374)-ROW()*0.0000001,-9999-ROW()*0.0000001)</f>
        <v/>
      </c>
      <c r="AO374" s="28" t="n"/>
      <c r="AP374" s="28" t="n"/>
      <c r="AQ374" s="29" t="n"/>
      <c r="AR374" s="29" t="n"/>
      <c r="AS374" s="23" t="n"/>
      <c r="AT374" s="29" t="n"/>
      <c r="AU374" s="29" t="n"/>
      <c r="AV374" s="29" t="n"/>
      <c r="AW374" s="25">
        <f>IF(OR(O374="",AV374=""),"",O374*AV374)</f>
        <v/>
      </c>
      <c r="AX374" s="23" t="n"/>
      <c r="AY374" s="23" t="n"/>
      <c r="AZ374" s="23" t="n"/>
      <c r="BA374" s="23" t="n"/>
      <c r="BB374" s="23" t="n"/>
      <c r="BC374" s="25" t="n"/>
      <c r="BD374" s="23" t="n"/>
      <c r="BE374" s="23">
        <f>IF(C374="","",IF(AND(ISNUMBER(P374),P374&gt;MAX_PRICE),"Price too high",IF(AND(ISNUMBER(AB374),AB374&lt;=2),"Quality risk",IF(AND(ISNUMBER(U374),U374&lt;=2),"Aesthetic mismatch",IF(AY374="High","Too fragile",IF(AND(ISNUMBER(R374),R374&lt;LOW_PROFIT_PCT),"Low profit",IF(AND(ISNUMBER(AT374),AT374&gt;MOQ_WARNING),"MOQ too high",IF(OR(AD374="Maybe",AD374="Price Review"),"Needs partner review",IF(AD374="Buy","Good candidate","")))))))))</f>
        <v/>
      </c>
      <c r="BF374" s="23" t="n"/>
      <c r="BG374" s="23" t="n"/>
      <c r="BH374" s="23" t="n"/>
      <c r="BI374" s="23" t="n"/>
      <c r="BJ374" s="23" t="n"/>
      <c r="BK374" s="23" t="n"/>
      <c r="BL374" s="23">
        <f>IF(C374="","",IF(AND(BG374="Yes",BH374="Yes",BI374="Yes",BJ374="Yes",BK374="Yes"),"Yes","No"))</f>
        <v/>
      </c>
      <c r="BM374" s="25" t="n"/>
      <c r="BN374" s="25" t="n"/>
      <c r="BO374" s="25">
        <f>IF(OR(BM374="",BN374=""),"",BM374+BN374)</f>
        <v/>
      </c>
      <c r="BP374" s="25" t="n"/>
      <c r="BQ374" s="25">
        <f>IF(OR(BP374="",BO374=""),"",BP374-BO374)</f>
        <v/>
      </c>
      <c r="BR374" s="26">
        <f>IF(OR(BP374="",BP374=0,BQ374=""),"",BQ374/BP374)</f>
        <v/>
      </c>
      <c r="BS374" s="24" t="n"/>
      <c r="BT374" s="29" t="n"/>
      <c r="BU374" s="29" t="n"/>
      <c r="BV374" s="23" t="n"/>
      <c r="BW374" s="23" t="n"/>
      <c r="BX374" s="29">
        <f>IF(OR(BT374="",BU374=""),"",BT374-BU374)</f>
        <v/>
      </c>
      <c r="BY374" s="23" t="n"/>
      <c r="BZ374" s="24" t="n"/>
      <c r="CA374" s="23" t="n"/>
      <c r="CB374" s="23" t="n"/>
    </row>
    <row r="375">
      <c r="A375" s="16">
        <f>IF(C375="","","AYN-"&amp;IFERROR(VLOOKUP(E375,CATEGORY_PREFIX_TABLE,2,FALSE),"OTH")&amp;"-"&amp;TEXT(ROW()-2,"0000"))</f>
        <v/>
      </c>
      <c r="B375" s="17" t="n"/>
      <c r="C375" s="16" t="n"/>
      <c r="D375" s="16" t="n"/>
      <c r="E375" s="16" t="n"/>
      <c r="F375" s="16" t="n"/>
      <c r="G375" s="16" t="n"/>
      <c r="H375" s="16" t="n"/>
      <c r="I375" s="16" t="n"/>
      <c r="J375" s="16" t="n"/>
      <c r="K375" s="18">
        <f>IF(I375="","",IF(J375="BDT",I375,IF(J375="USD",I375*USD_BDT,IF(J375="RMB",I375*RMB_BDT,""))))</f>
        <v/>
      </c>
      <c r="L375" s="18" t="n"/>
      <c r="M375" s="19" t="n"/>
      <c r="N375" s="18" t="n"/>
      <c r="O375" s="18">
        <f>IF(K375="","",K375+IFERROR(L375,0)+(K375*IF(M375="",CUSTOMS_PCT,M375))+IF(N375="",MISC_FEE,N375))</f>
        <v/>
      </c>
      <c r="P375" s="18">
        <f>IF(O375="","",ROUND(O375*(1+MARKUP_PCT),-1)-1)</f>
        <v/>
      </c>
      <c r="Q375" s="18">
        <f>IF(P375="","",P375-O375)</f>
        <v/>
      </c>
      <c r="R375" s="19">
        <f>IF(OR(P375="",P375=0),"",Q375/P375)</f>
        <v/>
      </c>
      <c r="S375" s="16" t="n"/>
      <c r="T375" s="16" t="n"/>
      <c r="U375" s="16" t="n"/>
      <c r="V375" s="16" t="n"/>
      <c r="W375" s="16" t="n"/>
      <c r="X375" s="16" t="n"/>
      <c r="Y375" s="16" t="n"/>
      <c r="Z375" s="16" t="n"/>
      <c r="AA375" s="16" t="n"/>
      <c r="AB375" s="16" t="n"/>
      <c r="AC375" s="20">
        <f>IF(COUNT(S375:AB375)&lt;10,"",(S375*W_FEMININE+T375*W_TREND+U375*W_AESTHETIC+V375*W_STYLE+W375*W_LIGHT+X375*W_REELS+Y375*W_GIFT+Z375*W_PRICEFIT+AA375*W_DEMAND+AB375*W_QUALITY)/5*100)</f>
        <v/>
      </c>
      <c r="AD375" s="16">
        <f>IF(P375="","",IF(P375&gt;HARD_REJECT_PRICE,"Reject",IF(P375&gt;MAX_PRICE,"Price Review",IF(AC375="","",IF(AND(AC375&gt;=BUY_THRESHOLD,OR(AB375&lt;=2,U375&lt;=2)),"Maybe",IF(AC375&gt;=BUY_THRESHOLD,"Buy",IF(AC375&gt;=MAYBE_THRESHOLD,"Maybe","Reject")))))))</f>
        <v/>
      </c>
      <c r="AE375" s="16" t="n"/>
      <c r="AF375" s="16" t="n"/>
      <c r="AG375" s="16" t="n"/>
      <c r="AH375" s="16" t="n"/>
      <c r="AI375" s="17" t="n"/>
      <c r="AJ375">
        <f>IF(AC375="",-9999-ROW()*0.0000001,AC375-ROW()*0.0000001)</f>
        <v/>
      </c>
      <c r="AK375">
        <f>IF(OR(AC375="",P375="",P375&gt;MAX_PRICE),-9999-ROW()*0.0000001,AC375-ROW()*0.0000001)</f>
        <v/>
      </c>
      <c r="AL375">
        <f>IF(AC375="",-9999-ROW()*0.0000001,X375*1000+AC375-ROW()*0.0000001)</f>
        <v/>
      </c>
      <c r="AM375">
        <f>IF(AC375="",-9999-ROW()*0.0000001,Y375*1000+AC375-ROW()*0.0000001)</f>
        <v/>
      </c>
      <c r="AN375">
        <f>IF(AND(OR(AD375="Maybe",AD375="Price Review"),AG375&lt;&gt;"Approved",AG375&lt;&gt;"Rejected"),IF(AC375="",0,AC375)-ROW()*0.0000001,-9999-ROW()*0.0000001)</f>
        <v/>
      </c>
      <c r="AO375" s="21" t="n"/>
      <c r="AP375" s="21" t="n"/>
      <c r="AQ375" s="22" t="n"/>
      <c r="AR375" s="22" t="n"/>
      <c r="AS375" s="16" t="n"/>
      <c r="AT375" s="22" t="n"/>
      <c r="AU375" s="22" t="n"/>
      <c r="AV375" s="22" t="n"/>
      <c r="AW375" s="18">
        <f>IF(OR(O375="",AV375=""),"",O375*AV375)</f>
        <v/>
      </c>
      <c r="AX375" s="16" t="n"/>
      <c r="AY375" s="16" t="n"/>
      <c r="AZ375" s="16" t="n"/>
      <c r="BA375" s="16" t="n"/>
      <c r="BB375" s="16" t="n"/>
      <c r="BC375" s="18" t="n"/>
      <c r="BD375" s="16" t="n"/>
      <c r="BE375" s="16">
        <f>IF(C375="","",IF(AND(ISNUMBER(P375),P375&gt;MAX_PRICE),"Price too high",IF(AND(ISNUMBER(AB375),AB375&lt;=2),"Quality risk",IF(AND(ISNUMBER(U375),U375&lt;=2),"Aesthetic mismatch",IF(AY375="High","Too fragile",IF(AND(ISNUMBER(R375),R375&lt;LOW_PROFIT_PCT),"Low profit",IF(AND(ISNUMBER(AT375),AT375&gt;MOQ_WARNING),"MOQ too high",IF(OR(AD375="Maybe",AD375="Price Review"),"Needs partner review",IF(AD375="Buy","Good candidate","")))))))))</f>
        <v/>
      </c>
      <c r="BF375" s="16" t="n"/>
      <c r="BG375" s="16" t="n"/>
      <c r="BH375" s="16" t="n"/>
      <c r="BI375" s="16" t="n"/>
      <c r="BJ375" s="16" t="n"/>
      <c r="BK375" s="16" t="n"/>
      <c r="BL375" s="16">
        <f>IF(C375="","",IF(AND(BG375="Yes",BH375="Yes",BI375="Yes",BJ375="Yes",BK375="Yes"),"Yes","No"))</f>
        <v/>
      </c>
      <c r="BM375" s="18" t="n"/>
      <c r="BN375" s="18" t="n"/>
      <c r="BO375" s="18">
        <f>IF(OR(BM375="",BN375=""),"",BM375+BN375)</f>
        <v/>
      </c>
      <c r="BP375" s="18" t="n"/>
      <c r="BQ375" s="18">
        <f>IF(OR(BP375="",BO375=""),"",BP375-BO375)</f>
        <v/>
      </c>
      <c r="BR375" s="19">
        <f>IF(OR(BP375="",BP375=0,BQ375=""),"",BQ375/BP375)</f>
        <v/>
      </c>
      <c r="BS375" s="17" t="n"/>
      <c r="BT375" s="22" t="n"/>
      <c r="BU375" s="22" t="n"/>
      <c r="BV375" s="16" t="n"/>
      <c r="BW375" s="16" t="n"/>
      <c r="BX375" s="22">
        <f>IF(OR(BT375="",BU375=""),"",BT375-BU375)</f>
        <v/>
      </c>
      <c r="BY375" s="16" t="n"/>
      <c r="BZ375" s="17" t="n"/>
      <c r="CA375" s="16" t="n"/>
      <c r="CB375" s="16" t="n"/>
    </row>
    <row r="376">
      <c r="A376" s="23">
        <f>IF(C376="","","AYN-"&amp;IFERROR(VLOOKUP(E376,CATEGORY_PREFIX_TABLE,2,FALSE),"OTH")&amp;"-"&amp;TEXT(ROW()-2,"0000"))</f>
        <v/>
      </c>
      <c r="B376" s="24" t="n"/>
      <c r="C376" s="23" t="n"/>
      <c r="D376" s="23" t="n"/>
      <c r="E376" s="23" t="n"/>
      <c r="F376" s="23" t="n"/>
      <c r="G376" s="23" t="n"/>
      <c r="H376" s="23" t="n"/>
      <c r="I376" s="23" t="n"/>
      <c r="J376" s="23" t="n"/>
      <c r="K376" s="25">
        <f>IF(I376="","",IF(J376="BDT",I376,IF(J376="USD",I376*USD_BDT,IF(J376="RMB",I376*RMB_BDT,""))))</f>
        <v/>
      </c>
      <c r="L376" s="25" t="n"/>
      <c r="M376" s="26" t="n"/>
      <c r="N376" s="25" t="n"/>
      <c r="O376" s="25">
        <f>IF(K376="","",K376+IFERROR(L376,0)+(K376*IF(M376="",CUSTOMS_PCT,M376))+IF(N376="",MISC_FEE,N376))</f>
        <v/>
      </c>
      <c r="P376" s="25">
        <f>IF(O376="","",ROUND(O376*(1+MARKUP_PCT),-1)-1)</f>
        <v/>
      </c>
      <c r="Q376" s="25">
        <f>IF(P376="","",P376-O376)</f>
        <v/>
      </c>
      <c r="R376" s="26">
        <f>IF(OR(P376="",P376=0),"",Q376/P376)</f>
        <v/>
      </c>
      <c r="S376" s="23" t="n"/>
      <c r="T376" s="23" t="n"/>
      <c r="U376" s="23" t="n"/>
      <c r="V376" s="23" t="n"/>
      <c r="W376" s="23" t="n"/>
      <c r="X376" s="23" t="n"/>
      <c r="Y376" s="23" t="n"/>
      <c r="Z376" s="23" t="n"/>
      <c r="AA376" s="23" t="n"/>
      <c r="AB376" s="23" t="n"/>
      <c r="AC376" s="27">
        <f>IF(COUNT(S376:AB376)&lt;10,"",(S376*W_FEMININE+T376*W_TREND+U376*W_AESTHETIC+V376*W_STYLE+W376*W_LIGHT+X376*W_REELS+Y376*W_GIFT+Z376*W_PRICEFIT+AA376*W_DEMAND+AB376*W_QUALITY)/5*100)</f>
        <v/>
      </c>
      <c r="AD376" s="23">
        <f>IF(P376="","",IF(P376&gt;HARD_REJECT_PRICE,"Reject",IF(P376&gt;MAX_PRICE,"Price Review",IF(AC376="","",IF(AND(AC376&gt;=BUY_THRESHOLD,OR(AB376&lt;=2,U376&lt;=2)),"Maybe",IF(AC376&gt;=BUY_THRESHOLD,"Buy",IF(AC376&gt;=MAYBE_THRESHOLD,"Maybe","Reject")))))))</f>
        <v/>
      </c>
      <c r="AE376" s="23" t="n"/>
      <c r="AF376" s="23" t="n"/>
      <c r="AG376" s="23" t="n"/>
      <c r="AH376" s="23" t="n"/>
      <c r="AI376" s="24" t="n"/>
      <c r="AJ376">
        <f>IF(AC376="",-9999-ROW()*0.0000001,AC376-ROW()*0.0000001)</f>
        <v/>
      </c>
      <c r="AK376">
        <f>IF(OR(AC376="",P376="",P376&gt;MAX_PRICE),-9999-ROW()*0.0000001,AC376-ROW()*0.0000001)</f>
        <v/>
      </c>
      <c r="AL376">
        <f>IF(AC376="",-9999-ROW()*0.0000001,X376*1000+AC376-ROW()*0.0000001)</f>
        <v/>
      </c>
      <c r="AM376">
        <f>IF(AC376="",-9999-ROW()*0.0000001,Y376*1000+AC376-ROW()*0.0000001)</f>
        <v/>
      </c>
      <c r="AN376">
        <f>IF(AND(OR(AD376="Maybe",AD376="Price Review"),AG376&lt;&gt;"Approved",AG376&lt;&gt;"Rejected"),IF(AC376="",0,AC376)-ROW()*0.0000001,-9999-ROW()*0.0000001)</f>
        <v/>
      </c>
      <c r="AO376" s="28" t="n"/>
      <c r="AP376" s="28" t="n"/>
      <c r="AQ376" s="29" t="n"/>
      <c r="AR376" s="29" t="n"/>
      <c r="AS376" s="23" t="n"/>
      <c r="AT376" s="29" t="n"/>
      <c r="AU376" s="29" t="n"/>
      <c r="AV376" s="29" t="n"/>
      <c r="AW376" s="25">
        <f>IF(OR(O376="",AV376=""),"",O376*AV376)</f>
        <v/>
      </c>
      <c r="AX376" s="23" t="n"/>
      <c r="AY376" s="23" t="n"/>
      <c r="AZ376" s="23" t="n"/>
      <c r="BA376" s="23" t="n"/>
      <c r="BB376" s="23" t="n"/>
      <c r="BC376" s="25" t="n"/>
      <c r="BD376" s="23" t="n"/>
      <c r="BE376" s="23">
        <f>IF(C376="","",IF(AND(ISNUMBER(P376),P376&gt;MAX_PRICE),"Price too high",IF(AND(ISNUMBER(AB376),AB376&lt;=2),"Quality risk",IF(AND(ISNUMBER(U376),U376&lt;=2),"Aesthetic mismatch",IF(AY376="High","Too fragile",IF(AND(ISNUMBER(R376),R376&lt;LOW_PROFIT_PCT),"Low profit",IF(AND(ISNUMBER(AT376),AT376&gt;MOQ_WARNING),"MOQ too high",IF(OR(AD376="Maybe",AD376="Price Review"),"Needs partner review",IF(AD376="Buy","Good candidate","")))))))))</f>
        <v/>
      </c>
      <c r="BF376" s="23" t="n"/>
      <c r="BG376" s="23" t="n"/>
      <c r="BH376" s="23" t="n"/>
      <c r="BI376" s="23" t="n"/>
      <c r="BJ376" s="23" t="n"/>
      <c r="BK376" s="23" t="n"/>
      <c r="BL376" s="23">
        <f>IF(C376="","",IF(AND(BG376="Yes",BH376="Yes",BI376="Yes",BJ376="Yes",BK376="Yes"),"Yes","No"))</f>
        <v/>
      </c>
      <c r="BM376" s="25" t="n"/>
      <c r="BN376" s="25" t="n"/>
      <c r="BO376" s="25">
        <f>IF(OR(BM376="",BN376=""),"",BM376+BN376)</f>
        <v/>
      </c>
      <c r="BP376" s="25" t="n"/>
      <c r="BQ376" s="25">
        <f>IF(OR(BP376="",BO376=""),"",BP376-BO376)</f>
        <v/>
      </c>
      <c r="BR376" s="26">
        <f>IF(OR(BP376="",BP376=0,BQ376=""),"",BQ376/BP376)</f>
        <v/>
      </c>
      <c r="BS376" s="24" t="n"/>
      <c r="BT376" s="29" t="n"/>
      <c r="BU376" s="29" t="n"/>
      <c r="BV376" s="23" t="n"/>
      <c r="BW376" s="23" t="n"/>
      <c r="BX376" s="29">
        <f>IF(OR(BT376="",BU376=""),"",BT376-BU376)</f>
        <v/>
      </c>
      <c r="BY376" s="23" t="n"/>
      <c r="BZ376" s="24" t="n"/>
      <c r="CA376" s="23" t="n"/>
      <c r="CB376" s="23" t="n"/>
    </row>
    <row r="377">
      <c r="A377" s="16">
        <f>IF(C377="","","AYN-"&amp;IFERROR(VLOOKUP(E377,CATEGORY_PREFIX_TABLE,2,FALSE),"OTH")&amp;"-"&amp;TEXT(ROW()-2,"0000"))</f>
        <v/>
      </c>
      <c r="B377" s="17" t="n"/>
      <c r="C377" s="16" t="n"/>
      <c r="D377" s="16" t="n"/>
      <c r="E377" s="16" t="n"/>
      <c r="F377" s="16" t="n"/>
      <c r="G377" s="16" t="n"/>
      <c r="H377" s="16" t="n"/>
      <c r="I377" s="16" t="n"/>
      <c r="J377" s="16" t="n"/>
      <c r="K377" s="18">
        <f>IF(I377="","",IF(J377="BDT",I377,IF(J377="USD",I377*USD_BDT,IF(J377="RMB",I377*RMB_BDT,""))))</f>
        <v/>
      </c>
      <c r="L377" s="18" t="n"/>
      <c r="M377" s="19" t="n"/>
      <c r="N377" s="18" t="n"/>
      <c r="O377" s="18">
        <f>IF(K377="","",K377+IFERROR(L377,0)+(K377*IF(M377="",CUSTOMS_PCT,M377))+IF(N377="",MISC_FEE,N377))</f>
        <v/>
      </c>
      <c r="P377" s="18">
        <f>IF(O377="","",ROUND(O377*(1+MARKUP_PCT),-1)-1)</f>
        <v/>
      </c>
      <c r="Q377" s="18">
        <f>IF(P377="","",P377-O377)</f>
        <v/>
      </c>
      <c r="R377" s="19">
        <f>IF(OR(P377="",P377=0),"",Q377/P377)</f>
        <v/>
      </c>
      <c r="S377" s="16" t="n"/>
      <c r="T377" s="16" t="n"/>
      <c r="U377" s="16" t="n"/>
      <c r="V377" s="16" t="n"/>
      <c r="W377" s="16" t="n"/>
      <c r="X377" s="16" t="n"/>
      <c r="Y377" s="16" t="n"/>
      <c r="Z377" s="16" t="n"/>
      <c r="AA377" s="16" t="n"/>
      <c r="AB377" s="16" t="n"/>
      <c r="AC377" s="20">
        <f>IF(COUNT(S377:AB377)&lt;10,"",(S377*W_FEMININE+T377*W_TREND+U377*W_AESTHETIC+V377*W_STYLE+W377*W_LIGHT+X377*W_REELS+Y377*W_GIFT+Z377*W_PRICEFIT+AA377*W_DEMAND+AB377*W_QUALITY)/5*100)</f>
        <v/>
      </c>
      <c r="AD377" s="16">
        <f>IF(P377="","",IF(P377&gt;HARD_REJECT_PRICE,"Reject",IF(P377&gt;MAX_PRICE,"Price Review",IF(AC377="","",IF(AND(AC377&gt;=BUY_THRESHOLD,OR(AB377&lt;=2,U377&lt;=2)),"Maybe",IF(AC377&gt;=BUY_THRESHOLD,"Buy",IF(AC377&gt;=MAYBE_THRESHOLD,"Maybe","Reject")))))))</f>
        <v/>
      </c>
      <c r="AE377" s="16" t="n"/>
      <c r="AF377" s="16" t="n"/>
      <c r="AG377" s="16" t="n"/>
      <c r="AH377" s="16" t="n"/>
      <c r="AI377" s="17" t="n"/>
      <c r="AJ377">
        <f>IF(AC377="",-9999-ROW()*0.0000001,AC377-ROW()*0.0000001)</f>
        <v/>
      </c>
      <c r="AK377">
        <f>IF(OR(AC377="",P377="",P377&gt;MAX_PRICE),-9999-ROW()*0.0000001,AC377-ROW()*0.0000001)</f>
        <v/>
      </c>
      <c r="AL377">
        <f>IF(AC377="",-9999-ROW()*0.0000001,X377*1000+AC377-ROW()*0.0000001)</f>
        <v/>
      </c>
      <c r="AM377">
        <f>IF(AC377="",-9999-ROW()*0.0000001,Y377*1000+AC377-ROW()*0.0000001)</f>
        <v/>
      </c>
      <c r="AN377">
        <f>IF(AND(OR(AD377="Maybe",AD377="Price Review"),AG377&lt;&gt;"Approved",AG377&lt;&gt;"Rejected"),IF(AC377="",0,AC377)-ROW()*0.0000001,-9999-ROW()*0.0000001)</f>
        <v/>
      </c>
      <c r="AO377" s="21" t="n"/>
      <c r="AP377" s="21" t="n"/>
      <c r="AQ377" s="22" t="n"/>
      <c r="AR377" s="22" t="n"/>
      <c r="AS377" s="16" t="n"/>
      <c r="AT377" s="22" t="n"/>
      <c r="AU377" s="22" t="n"/>
      <c r="AV377" s="22" t="n"/>
      <c r="AW377" s="18">
        <f>IF(OR(O377="",AV377=""),"",O377*AV377)</f>
        <v/>
      </c>
      <c r="AX377" s="16" t="n"/>
      <c r="AY377" s="16" t="n"/>
      <c r="AZ377" s="16" t="n"/>
      <c r="BA377" s="16" t="n"/>
      <c r="BB377" s="16" t="n"/>
      <c r="BC377" s="18" t="n"/>
      <c r="BD377" s="16" t="n"/>
      <c r="BE377" s="16">
        <f>IF(C377="","",IF(AND(ISNUMBER(P377),P377&gt;MAX_PRICE),"Price too high",IF(AND(ISNUMBER(AB377),AB377&lt;=2),"Quality risk",IF(AND(ISNUMBER(U377),U377&lt;=2),"Aesthetic mismatch",IF(AY377="High","Too fragile",IF(AND(ISNUMBER(R377),R377&lt;LOW_PROFIT_PCT),"Low profit",IF(AND(ISNUMBER(AT377),AT377&gt;MOQ_WARNING),"MOQ too high",IF(OR(AD377="Maybe",AD377="Price Review"),"Needs partner review",IF(AD377="Buy","Good candidate","")))))))))</f>
        <v/>
      </c>
      <c r="BF377" s="16" t="n"/>
      <c r="BG377" s="16" t="n"/>
      <c r="BH377" s="16" t="n"/>
      <c r="BI377" s="16" t="n"/>
      <c r="BJ377" s="16" t="n"/>
      <c r="BK377" s="16" t="n"/>
      <c r="BL377" s="16">
        <f>IF(C377="","",IF(AND(BG377="Yes",BH377="Yes",BI377="Yes",BJ377="Yes",BK377="Yes"),"Yes","No"))</f>
        <v/>
      </c>
      <c r="BM377" s="18" t="n"/>
      <c r="BN377" s="18" t="n"/>
      <c r="BO377" s="18">
        <f>IF(OR(BM377="",BN377=""),"",BM377+BN377)</f>
        <v/>
      </c>
      <c r="BP377" s="18" t="n"/>
      <c r="BQ377" s="18">
        <f>IF(OR(BP377="",BO377=""),"",BP377-BO377)</f>
        <v/>
      </c>
      <c r="BR377" s="19">
        <f>IF(OR(BP377="",BP377=0,BQ377=""),"",BQ377/BP377)</f>
        <v/>
      </c>
      <c r="BS377" s="17" t="n"/>
      <c r="BT377" s="22" t="n"/>
      <c r="BU377" s="22" t="n"/>
      <c r="BV377" s="16" t="n"/>
      <c r="BW377" s="16" t="n"/>
      <c r="BX377" s="22">
        <f>IF(OR(BT377="",BU377=""),"",BT377-BU377)</f>
        <v/>
      </c>
      <c r="BY377" s="16" t="n"/>
      <c r="BZ377" s="17" t="n"/>
      <c r="CA377" s="16" t="n"/>
      <c r="CB377" s="16" t="n"/>
    </row>
    <row r="378">
      <c r="A378" s="23">
        <f>IF(C378="","","AYN-"&amp;IFERROR(VLOOKUP(E378,CATEGORY_PREFIX_TABLE,2,FALSE),"OTH")&amp;"-"&amp;TEXT(ROW()-2,"0000"))</f>
        <v/>
      </c>
      <c r="B378" s="24" t="n"/>
      <c r="C378" s="23" t="n"/>
      <c r="D378" s="23" t="n"/>
      <c r="E378" s="23" t="n"/>
      <c r="F378" s="23" t="n"/>
      <c r="G378" s="23" t="n"/>
      <c r="H378" s="23" t="n"/>
      <c r="I378" s="23" t="n"/>
      <c r="J378" s="23" t="n"/>
      <c r="K378" s="25">
        <f>IF(I378="","",IF(J378="BDT",I378,IF(J378="USD",I378*USD_BDT,IF(J378="RMB",I378*RMB_BDT,""))))</f>
        <v/>
      </c>
      <c r="L378" s="25" t="n"/>
      <c r="M378" s="26" t="n"/>
      <c r="N378" s="25" t="n"/>
      <c r="O378" s="25">
        <f>IF(K378="","",K378+IFERROR(L378,0)+(K378*IF(M378="",CUSTOMS_PCT,M378))+IF(N378="",MISC_FEE,N378))</f>
        <v/>
      </c>
      <c r="P378" s="25">
        <f>IF(O378="","",ROUND(O378*(1+MARKUP_PCT),-1)-1)</f>
        <v/>
      </c>
      <c r="Q378" s="25">
        <f>IF(P378="","",P378-O378)</f>
        <v/>
      </c>
      <c r="R378" s="26">
        <f>IF(OR(P378="",P378=0),"",Q378/P378)</f>
        <v/>
      </c>
      <c r="S378" s="23" t="n"/>
      <c r="T378" s="23" t="n"/>
      <c r="U378" s="23" t="n"/>
      <c r="V378" s="23" t="n"/>
      <c r="W378" s="23" t="n"/>
      <c r="X378" s="23" t="n"/>
      <c r="Y378" s="23" t="n"/>
      <c r="Z378" s="23" t="n"/>
      <c r="AA378" s="23" t="n"/>
      <c r="AB378" s="23" t="n"/>
      <c r="AC378" s="27">
        <f>IF(COUNT(S378:AB378)&lt;10,"",(S378*W_FEMININE+T378*W_TREND+U378*W_AESTHETIC+V378*W_STYLE+W378*W_LIGHT+X378*W_REELS+Y378*W_GIFT+Z378*W_PRICEFIT+AA378*W_DEMAND+AB378*W_QUALITY)/5*100)</f>
        <v/>
      </c>
      <c r="AD378" s="23">
        <f>IF(P378="","",IF(P378&gt;HARD_REJECT_PRICE,"Reject",IF(P378&gt;MAX_PRICE,"Price Review",IF(AC378="","",IF(AND(AC378&gt;=BUY_THRESHOLD,OR(AB378&lt;=2,U378&lt;=2)),"Maybe",IF(AC378&gt;=BUY_THRESHOLD,"Buy",IF(AC378&gt;=MAYBE_THRESHOLD,"Maybe","Reject")))))))</f>
        <v/>
      </c>
      <c r="AE378" s="23" t="n"/>
      <c r="AF378" s="23" t="n"/>
      <c r="AG378" s="23" t="n"/>
      <c r="AH378" s="23" t="n"/>
      <c r="AI378" s="24" t="n"/>
      <c r="AJ378">
        <f>IF(AC378="",-9999-ROW()*0.0000001,AC378-ROW()*0.0000001)</f>
        <v/>
      </c>
      <c r="AK378">
        <f>IF(OR(AC378="",P378="",P378&gt;MAX_PRICE),-9999-ROW()*0.0000001,AC378-ROW()*0.0000001)</f>
        <v/>
      </c>
      <c r="AL378">
        <f>IF(AC378="",-9999-ROW()*0.0000001,X378*1000+AC378-ROW()*0.0000001)</f>
        <v/>
      </c>
      <c r="AM378">
        <f>IF(AC378="",-9999-ROW()*0.0000001,Y378*1000+AC378-ROW()*0.0000001)</f>
        <v/>
      </c>
      <c r="AN378">
        <f>IF(AND(OR(AD378="Maybe",AD378="Price Review"),AG378&lt;&gt;"Approved",AG378&lt;&gt;"Rejected"),IF(AC378="",0,AC378)-ROW()*0.0000001,-9999-ROW()*0.0000001)</f>
        <v/>
      </c>
      <c r="AO378" s="28" t="n"/>
      <c r="AP378" s="28" t="n"/>
      <c r="AQ378" s="29" t="n"/>
      <c r="AR378" s="29" t="n"/>
      <c r="AS378" s="23" t="n"/>
      <c r="AT378" s="29" t="n"/>
      <c r="AU378" s="29" t="n"/>
      <c r="AV378" s="29" t="n"/>
      <c r="AW378" s="25">
        <f>IF(OR(O378="",AV378=""),"",O378*AV378)</f>
        <v/>
      </c>
      <c r="AX378" s="23" t="n"/>
      <c r="AY378" s="23" t="n"/>
      <c r="AZ378" s="23" t="n"/>
      <c r="BA378" s="23" t="n"/>
      <c r="BB378" s="23" t="n"/>
      <c r="BC378" s="25" t="n"/>
      <c r="BD378" s="23" t="n"/>
      <c r="BE378" s="23">
        <f>IF(C378="","",IF(AND(ISNUMBER(P378),P378&gt;MAX_PRICE),"Price too high",IF(AND(ISNUMBER(AB378),AB378&lt;=2),"Quality risk",IF(AND(ISNUMBER(U378),U378&lt;=2),"Aesthetic mismatch",IF(AY378="High","Too fragile",IF(AND(ISNUMBER(R378),R378&lt;LOW_PROFIT_PCT),"Low profit",IF(AND(ISNUMBER(AT378),AT378&gt;MOQ_WARNING),"MOQ too high",IF(OR(AD378="Maybe",AD378="Price Review"),"Needs partner review",IF(AD378="Buy","Good candidate","")))))))))</f>
        <v/>
      </c>
      <c r="BF378" s="23" t="n"/>
      <c r="BG378" s="23" t="n"/>
      <c r="BH378" s="23" t="n"/>
      <c r="BI378" s="23" t="n"/>
      <c r="BJ378" s="23" t="n"/>
      <c r="BK378" s="23" t="n"/>
      <c r="BL378" s="23">
        <f>IF(C378="","",IF(AND(BG378="Yes",BH378="Yes",BI378="Yes",BJ378="Yes",BK378="Yes"),"Yes","No"))</f>
        <v/>
      </c>
      <c r="BM378" s="25" t="n"/>
      <c r="BN378" s="25" t="n"/>
      <c r="BO378" s="25">
        <f>IF(OR(BM378="",BN378=""),"",BM378+BN378)</f>
        <v/>
      </c>
      <c r="BP378" s="25" t="n"/>
      <c r="BQ378" s="25">
        <f>IF(OR(BP378="",BO378=""),"",BP378-BO378)</f>
        <v/>
      </c>
      <c r="BR378" s="26">
        <f>IF(OR(BP378="",BP378=0,BQ378=""),"",BQ378/BP378)</f>
        <v/>
      </c>
      <c r="BS378" s="24" t="n"/>
      <c r="BT378" s="29" t="n"/>
      <c r="BU378" s="29" t="n"/>
      <c r="BV378" s="23" t="n"/>
      <c r="BW378" s="23" t="n"/>
      <c r="BX378" s="29">
        <f>IF(OR(BT378="",BU378=""),"",BT378-BU378)</f>
        <v/>
      </c>
      <c r="BY378" s="23" t="n"/>
      <c r="BZ378" s="24" t="n"/>
      <c r="CA378" s="23" t="n"/>
      <c r="CB378" s="23" t="n"/>
    </row>
    <row r="379">
      <c r="A379" s="16">
        <f>IF(C379="","","AYN-"&amp;IFERROR(VLOOKUP(E379,CATEGORY_PREFIX_TABLE,2,FALSE),"OTH")&amp;"-"&amp;TEXT(ROW()-2,"0000"))</f>
        <v/>
      </c>
      <c r="B379" s="17" t="n"/>
      <c r="C379" s="16" t="n"/>
      <c r="D379" s="16" t="n"/>
      <c r="E379" s="16" t="n"/>
      <c r="F379" s="16" t="n"/>
      <c r="G379" s="16" t="n"/>
      <c r="H379" s="16" t="n"/>
      <c r="I379" s="16" t="n"/>
      <c r="J379" s="16" t="n"/>
      <c r="K379" s="18">
        <f>IF(I379="","",IF(J379="BDT",I379,IF(J379="USD",I379*USD_BDT,IF(J379="RMB",I379*RMB_BDT,""))))</f>
        <v/>
      </c>
      <c r="L379" s="18" t="n"/>
      <c r="M379" s="19" t="n"/>
      <c r="N379" s="18" t="n"/>
      <c r="O379" s="18">
        <f>IF(K379="","",K379+IFERROR(L379,0)+(K379*IF(M379="",CUSTOMS_PCT,M379))+IF(N379="",MISC_FEE,N379))</f>
        <v/>
      </c>
      <c r="P379" s="18">
        <f>IF(O379="","",ROUND(O379*(1+MARKUP_PCT),-1)-1)</f>
        <v/>
      </c>
      <c r="Q379" s="18">
        <f>IF(P379="","",P379-O379)</f>
        <v/>
      </c>
      <c r="R379" s="19">
        <f>IF(OR(P379="",P379=0),"",Q379/P379)</f>
        <v/>
      </c>
      <c r="S379" s="16" t="n"/>
      <c r="T379" s="16" t="n"/>
      <c r="U379" s="16" t="n"/>
      <c r="V379" s="16" t="n"/>
      <c r="W379" s="16" t="n"/>
      <c r="X379" s="16" t="n"/>
      <c r="Y379" s="16" t="n"/>
      <c r="Z379" s="16" t="n"/>
      <c r="AA379" s="16" t="n"/>
      <c r="AB379" s="16" t="n"/>
      <c r="AC379" s="20">
        <f>IF(COUNT(S379:AB379)&lt;10,"",(S379*W_FEMININE+T379*W_TREND+U379*W_AESTHETIC+V379*W_STYLE+W379*W_LIGHT+X379*W_REELS+Y379*W_GIFT+Z379*W_PRICEFIT+AA379*W_DEMAND+AB379*W_QUALITY)/5*100)</f>
        <v/>
      </c>
      <c r="AD379" s="16">
        <f>IF(P379="","",IF(P379&gt;HARD_REJECT_PRICE,"Reject",IF(P379&gt;MAX_PRICE,"Price Review",IF(AC379="","",IF(AND(AC379&gt;=BUY_THRESHOLD,OR(AB379&lt;=2,U379&lt;=2)),"Maybe",IF(AC379&gt;=BUY_THRESHOLD,"Buy",IF(AC379&gt;=MAYBE_THRESHOLD,"Maybe","Reject")))))))</f>
        <v/>
      </c>
      <c r="AE379" s="16" t="n"/>
      <c r="AF379" s="16" t="n"/>
      <c r="AG379" s="16" t="n"/>
      <c r="AH379" s="16" t="n"/>
      <c r="AI379" s="17" t="n"/>
      <c r="AJ379">
        <f>IF(AC379="",-9999-ROW()*0.0000001,AC379-ROW()*0.0000001)</f>
        <v/>
      </c>
      <c r="AK379">
        <f>IF(OR(AC379="",P379="",P379&gt;MAX_PRICE),-9999-ROW()*0.0000001,AC379-ROW()*0.0000001)</f>
        <v/>
      </c>
      <c r="AL379">
        <f>IF(AC379="",-9999-ROW()*0.0000001,X379*1000+AC379-ROW()*0.0000001)</f>
        <v/>
      </c>
      <c r="AM379">
        <f>IF(AC379="",-9999-ROW()*0.0000001,Y379*1000+AC379-ROW()*0.0000001)</f>
        <v/>
      </c>
      <c r="AN379">
        <f>IF(AND(OR(AD379="Maybe",AD379="Price Review"),AG379&lt;&gt;"Approved",AG379&lt;&gt;"Rejected"),IF(AC379="",0,AC379)-ROW()*0.0000001,-9999-ROW()*0.0000001)</f>
        <v/>
      </c>
      <c r="AO379" s="21" t="n"/>
      <c r="AP379" s="21" t="n"/>
      <c r="AQ379" s="22" t="n"/>
      <c r="AR379" s="22" t="n"/>
      <c r="AS379" s="16" t="n"/>
      <c r="AT379" s="22" t="n"/>
      <c r="AU379" s="22" t="n"/>
      <c r="AV379" s="22" t="n"/>
      <c r="AW379" s="18">
        <f>IF(OR(O379="",AV379=""),"",O379*AV379)</f>
        <v/>
      </c>
      <c r="AX379" s="16" t="n"/>
      <c r="AY379" s="16" t="n"/>
      <c r="AZ379" s="16" t="n"/>
      <c r="BA379" s="16" t="n"/>
      <c r="BB379" s="16" t="n"/>
      <c r="BC379" s="18" t="n"/>
      <c r="BD379" s="16" t="n"/>
      <c r="BE379" s="16">
        <f>IF(C379="","",IF(AND(ISNUMBER(P379),P379&gt;MAX_PRICE),"Price too high",IF(AND(ISNUMBER(AB379),AB379&lt;=2),"Quality risk",IF(AND(ISNUMBER(U379),U379&lt;=2),"Aesthetic mismatch",IF(AY379="High","Too fragile",IF(AND(ISNUMBER(R379),R379&lt;LOW_PROFIT_PCT),"Low profit",IF(AND(ISNUMBER(AT379),AT379&gt;MOQ_WARNING),"MOQ too high",IF(OR(AD379="Maybe",AD379="Price Review"),"Needs partner review",IF(AD379="Buy","Good candidate","")))))))))</f>
        <v/>
      </c>
      <c r="BF379" s="16" t="n"/>
      <c r="BG379" s="16" t="n"/>
      <c r="BH379" s="16" t="n"/>
      <c r="BI379" s="16" t="n"/>
      <c r="BJ379" s="16" t="n"/>
      <c r="BK379" s="16" t="n"/>
      <c r="BL379" s="16">
        <f>IF(C379="","",IF(AND(BG379="Yes",BH379="Yes",BI379="Yes",BJ379="Yes",BK379="Yes"),"Yes","No"))</f>
        <v/>
      </c>
      <c r="BM379" s="18" t="n"/>
      <c r="BN379" s="18" t="n"/>
      <c r="BO379" s="18">
        <f>IF(OR(BM379="",BN379=""),"",BM379+BN379)</f>
        <v/>
      </c>
      <c r="BP379" s="18" t="n"/>
      <c r="BQ379" s="18">
        <f>IF(OR(BP379="",BO379=""),"",BP379-BO379)</f>
        <v/>
      </c>
      <c r="BR379" s="19">
        <f>IF(OR(BP379="",BP379=0,BQ379=""),"",BQ379/BP379)</f>
        <v/>
      </c>
      <c r="BS379" s="17" t="n"/>
      <c r="BT379" s="22" t="n"/>
      <c r="BU379" s="22" t="n"/>
      <c r="BV379" s="16" t="n"/>
      <c r="BW379" s="16" t="n"/>
      <c r="BX379" s="22">
        <f>IF(OR(BT379="",BU379=""),"",BT379-BU379)</f>
        <v/>
      </c>
      <c r="BY379" s="16" t="n"/>
      <c r="BZ379" s="17" t="n"/>
      <c r="CA379" s="16" t="n"/>
      <c r="CB379" s="16" t="n"/>
    </row>
    <row r="380">
      <c r="A380" s="23">
        <f>IF(C380="","","AYN-"&amp;IFERROR(VLOOKUP(E380,CATEGORY_PREFIX_TABLE,2,FALSE),"OTH")&amp;"-"&amp;TEXT(ROW()-2,"0000"))</f>
        <v/>
      </c>
      <c r="B380" s="24" t="n"/>
      <c r="C380" s="23" t="n"/>
      <c r="D380" s="23" t="n"/>
      <c r="E380" s="23" t="n"/>
      <c r="F380" s="23" t="n"/>
      <c r="G380" s="23" t="n"/>
      <c r="H380" s="23" t="n"/>
      <c r="I380" s="23" t="n"/>
      <c r="J380" s="23" t="n"/>
      <c r="K380" s="25">
        <f>IF(I380="","",IF(J380="BDT",I380,IF(J380="USD",I380*USD_BDT,IF(J380="RMB",I380*RMB_BDT,""))))</f>
        <v/>
      </c>
      <c r="L380" s="25" t="n"/>
      <c r="M380" s="26" t="n"/>
      <c r="N380" s="25" t="n"/>
      <c r="O380" s="25">
        <f>IF(K380="","",K380+IFERROR(L380,0)+(K380*IF(M380="",CUSTOMS_PCT,M380))+IF(N380="",MISC_FEE,N380))</f>
        <v/>
      </c>
      <c r="P380" s="25">
        <f>IF(O380="","",ROUND(O380*(1+MARKUP_PCT),-1)-1)</f>
        <v/>
      </c>
      <c r="Q380" s="25">
        <f>IF(P380="","",P380-O380)</f>
        <v/>
      </c>
      <c r="R380" s="26">
        <f>IF(OR(P380="",P380=0),"",Q380/P380)</f>
        <v/>
      </c>
      <c r="S380" s="23" t="n"/>
      <c r="T380" s="23" t="n"/>
      <c r="U380" s="23" t="n"/>
      <c r="V380" s="23" t="n"/>
      <c r="W380" s="23" t="n"/>
      <c r="X380" s="23" t="n"/>
      <c r="Y380" s="23" t="n"/>
      <c r="Z380" s="23" t="n"/>
      <c r="AA380" s="23" t="n"/>
      <c r="AB380" s="23" t="n"/>
      <c r="AC380" s="27">
        <f>IF(COUNT(S380:AB380)&lt;10,"",(S380*W_FEMININE+T380*W_TREND+U380*W_AESTHETIC+V380*W_STYLE+W380*W_LIGHT+X380*W_REELS+Y380*W_GIFT+Z380*W_PRICEFIT+AA380*W_DEMAND+AB380*W_QUALITY)/5*100)</f>
        <v/>
      </c>
      <c r="AD380" s="23">
        <f>IF(P380="","",IF(P380&gt;HARD_REJECT_PRICE,"Reject",IF(P380&gt;MAX_PRICE,"Price Review",IF(AC380="","",IF(AND(AC380&gt;=BUY_THRESHOLD,OR(AB380&lt;=2,U380&lt;=2)),"Maybe",IF(AC380&gt;=BUY_THRESHOLD,"Buy",IF(AC380&gt;=MAYBE_THRESHOLD,"Maybe","Reject")))))))</f>
        <v/>
      </c>
      <c r="AE380" s="23" t="n"/>
      <c r="AF380" s="23" t="n"/>
      <c r="AG380" s="23" t="n"/>
      <c r="AH380" s="23" t="n"/>
      <c r="AI380" s="24" t="n"/>
      <c r="AJ380">
        <f>IF(AC380="",-9999-ROW()*0.0000001,AC380-ROW()*0.0000001)</f>
        <v/>
      </c>
      <c r="AK380">
        <f>IF(OR(AC380="",P380="",P380&gt;MAX_PRICE),-9999-ROW()*0.0000001,AC380-ROW()*0.0000001)</f>
        <v/>
      </c>
      <c r="AL380">
        <f>IF(AC380="",-9999-ROW()*0.0000001,X380*1000+AC380-ROW()*0.0000001)</f>
        <v/>
      </c>
      <c r="AM380">
        <f>IF(AC380="",-9999-ROW()*0.0000001,Y380*1000+AC380-ROW()*0.0000001)</f>
        <v/>
      </c>
      <c r="AN380">
        <f>IF(AND(OR(AD380="Maybe",AD380="Price Review"),AG380&lt;&gt;"Approved",AG380&lt;&gt;"Rejected"),IF(AC380="",0,AC380)-ROW()*0.0000001,-9999-ROW()*0.0000001)</f>
        <v/>
      </c>
      <c r="AO380" s="28" t="n"/>
      <c r="AP380" s="28" t="n"/>
      <c r="AQ380" s="29" t="n"/>
      <c r="AR380" s="29" t="n"/>
      <c r="AS380" s="23" t="n"/>
      <c r="AT380" s="29" t="n"/>
      <c r="AU380" s="29" t="n"/>
      <c r="AV380" s="29" t="n"/>
      <c r="AW380" s="25">
        <f>IF(OR(O380="",AV380=""),"",O380*AV380)</f>
        <v/>
      </c>
      <c r="AX380" s="23" t="n"/>
      <c r="AY380" s="23" t="n"/>
      <c r="AZ380" s="23" t="n"/>
      <c r="BA380" s="23" t="n"/>
      <c r="BB380" s="23" t="n"/>
      <c r="BC380" s="25" t="n"/>
      <c r="BD380" s="23" t="n"/>
      <c r="BE380" s="23">
        <f>IF(C380="","",IF(AND(ISNUMBER(P380),P380&gt;MAX_PRICE),"Price too high",IF(AND(ISNUMBER(AB380),AB380&lt;=2),"Quality risk",IF(AND(ISNUMBER(U380),U380&lt;=2),"Aesthetic mismatch",IF(AY380="High","Too fragile",IF(AND(ISNUMBER(R380),R380&lt;LOW_PROFIT_PCT),"Low profit",IF(AND(ISNUMBER(AT380),AT380&gt;MOQ_WARNING),"MOQ too high",IF(OR(AD380="Maybe",AD380="Price Review"),"Needs partner review",IF(AD380="Buy","Good candidate","")))))))))</f>
        <v/>
      </c>
      <c r="BF380" s="23" t="n"/>
      <c r="BG380" s="23" t="n"/>
      <c r="BH380" s="23" t="n"/>
      <c r="BI380" s="23" t="n"/>
      <c r="BJ380" s="23" t="n"/>
      <c r="BK380" s="23" t="n"/>
      <c r="BL380" s="23">
        <f>IF(C380="","",IF(AND(BG380="Yes",BH380="Yes",BI380="Yes",BJ380="Yes",BK380="Yes"),"Yes","No"))</f>
        <v/>
      </c>
      <c r="BM380" s="25" t="n"/>
      <c r="BN380" s="25" t="n"/>
      <c r="BO380" s="25">
        <f>IF(OR(BM380="",BN380=""),"",BM380+BN380)</f>
        <v/>
      </c>
      <c r="BP380" s="25" t="n"/>
      <c r="BQ380" s="25">
        <f>IF(OR(BP380="",BO380=""),"",BP380-BO380)</f>
        <v/>
      </c>
      <c r="BR380" s="26">
        <f>IF(OR(BP380="",BP380=0,BQ380=""),"",BQ380/BP380)</f>
        <v/>
      </c>
      <c r="BS380" s="24" t="n"/>
      <c r="BT380" s="29" t="n"/>
      <c r="BU380" s="29" t="n"/>
      <c r="BV380" s="23" t="n"/>
      <c r="BW380" s="23" t="n"/>
      <c r="BX380" s="29">
        <f>IF(OR(BT380="",BU380=""),"",BT380-BU380)</f>
        <v/>
      </c>
      <c r="BY380" s="23" t="n"/>
      <c r="BZ380" s="24" t="n"/>
      <c r="CA380" s="23" t="n"/>
      <c r="CB380" s="23" t="n"/>
    </row>
    <row r="381">
      <c r="A381" s="16">
        <f>IF(C381="","","AYN-"&amp;IFERROR(VLOOKUP(E381,CATEGORY_PREFIX_TABLE,2,FALSE),"OTH")&amp;"-"&amp;TEXT(ROW()-2,"0000"))</f>
        <v/>
      </c>
      <c r="B381" s="17" t="n"/>
      <c r="C381" s="16" t="n"/>
      <c r="D381" s="16" t="n"/>
      <c r="E381" s="16" t="n"/>
      <c r="F381" s="16" t="n"/>
      <c r="G381" s="16" t="n"/>
      <c r="H381" s="16" t="n"/>
      <c r="I381" s="16" t="n"/>
      <c r="J381" s="16" t="n"/>
      <c r="K381" s="18">
        <f>IF(I381="","",IF(J381="BDT",I381,IF(J381="USD",I381*USD_BDT,IF(J381="RMB",I381*RMB_BDT,""))))</f>
        <v/>
      </c>
      <c r="L381" s="18" t="n"/>
      <c r="M381" s="19" t="n"/>
      <c r="N381" s="18" t="n"/>
      <c r="O381" s="18">
        <f>IF(K381="","",K381+IFERROR(L381,0)+(K381*IF(M381="",CUSTOMS_PCT,M381))+IF(N381="",MISC_FEE,N381))</f>
        <v/>
      </c>
      <c r="P381" s="18">
        <f>IF(O381="","",ROUND(O381*(1+MARKUP_PCT),-1)-1)</f>
        <v/>
      </c>
      <c r="Q381" s="18">
        <f>IF(P381="","",P381-O381)</f>
        <v/>
      </c>
      <c r="R381" s="19">
        <f>IF(OR(P381="",P381=0),"",Q381/P381)</f>
        <v/>
      </c>
      <c r="S381" s="16" t="n"/>
      <c r="T381" s="16" t="n"/>
      <c r="U381" s="16" t="n"/>
      <c r="V381" s="16" t="n"/>
      <c r="W381" s="16" t="n"/>
      <c r="X381" s="16" t="n"/>
      <c r="Y381" s="16" t="n"/>
      <c r="Z381" s="16" t="n"/>
      <c r="AA381" s="16" t="n"/>
      <c r="AB381" s="16" t="n"/>
      <c r="AC381" s="20">
        <f>IF(COUNT(S381:AB381)&lt;10,"",(S381*W_FEMININE+T381*W_TREND+U381*W_AESTHETIC+V381*W_STYLE+W381*W_LIGHT+X381*W_REELS+Y381*W_GIFT+Z381*W_PRICEFIT+AA381*W_DEMAND+AB381*W_QUALITY)/5*100)</f>
        <v/>
      </c>
      <c r="AD381" s="16">
        <f>IF(P381="","",IF(P381&gt;HARD_REJECT_PRICE,"Reject",IF(P381&gt;MAX_PRICE,"Price Review",IF(AC381="","",IF(AND(AC381&gt;=BUY_THRESHOLD,OR(AB381&lt;=2,U381&lt;=2)),"Maybe",IF(AC381&gt;=BUY_THRESHOLD,"Buy",IF(AC381&gt;=MAYBE_THRESHOLD,"Maybe","Reject")))))))</f>
        <v/>
      </c>
      <c r="AE381" s="16" t="n"/>
      <c r="AF381" s="16" t="n"/>
      <c r="AG381" s="16" t="n"/>
      <c r="AH381" s="16" t="n"/>
      <c r="AI381" s="17" t="n"/>
      <c r="AJ381">
        <f>IF(AC381="",-9999-ROW()*0.0000001,AC381-ROW()*0.0000001)</f>
        <v/>
      </c>
      <c r="AK381">
        <f>IF(OR(AC381="",P381="",P381&gt;MAX_PRICE),-9999-ROW()*0.0000001,AC381-ROW()*0.0000001)</f>
        <v/>
      </c>
      <c r="AL381">
        <f>IF(AC381="",-9999-ROW()*0.0000001,X381*1000+AC381-ROW()*0.0000001)</f>
        <v/>
      </c>
      <c r="AM381">
        <f>IF(AC381="",-9999-ROW()*0.0000001,Y381*1000+AC381-ROW()*0.0000001)</f>
        <v/>
      </c>
      <c r="AN381">
        <f>IF(AND(OR(AD381="Maybe",AD381="Price Review"),AG381&lt;&gt;"Approved",AG381&lt;&gt;"Rejected"),IF(AC381="",0,AC381)-ROW()*0.0000001,-9999-ROW()*0.0000001)</f>
        <v/>
      </c>
      <c r="AO381" s="21" t="n"/>
      <c r="AP381" s="21" t="n"/>
      <c r="AQ381" s="22" t="n"/>
      <c r="AR381" s="22" t="n"/>
      <c r="AS381" s="16" t="n"/>
      <c r="AT381" s="22" t="n"/>
      <c r="AU381" s="22" t="n"/>
      <c r="AV381" s="22" t="n"/>
      <c r="AW381" s="18">
        <f>IF(OR(O381="",AV381=""),"",O381*AV381)</f>
        <v/>
      </c>
      <c r="AX381" s="16" t="n"/>
      <c r="AY381" s="16" t="n"/>
      <c r="AZ381" s="16" t="n"/>
      <c r="BA381" s="16" t="n"/>
      <c r="BB381" s="16" t="n"/>
      <c r="BC381" s="18" t="n"/>
      <c r="BD381" s="16" t="n"/>
      <c r="BE381" s="16">
        <f>IF(C381="","",IF(AND(ISNUMBER(P381),P381&gt;MAX_PRICE),"Price too high",IF(AND(ISNUMBER(AB381),AB381&lt;=2),"Quality risk",IF(AND(ISNUMBER(U381),U381&lt;=2),"Aesthetic mismatch",IF(AY381="High","Too fragile",IF(AND(ISNUMBER(R381),R381&lt;LOW_PROFIT_PCT),"Low profit",IF(AND(ISNUMBER(AT381),AT381&gt;MOQ_WARNING),"MOQ too high",IF(OR(AD381="Maybe",AD381="Price Review"),"Needs partner review",IF(AD381="Buy","Good candidate","")))))))))</f>
        <v/>
      </c>
      <c r="BF381" s="16" t="n"/>
      <c r="BG381" s="16" t="n"/>
      <c r="BH381" s="16" t="n"/>
      <c r="BI381" s="16" t="n"/>
      <c r="BJ381" s="16" t="n"/>
      <c r="BK381" s="16" t="n"/>
      <c r="BL381" s="16">
        <f>IF(C381="","",IF(AND(BG381="Yes",BH381="Yes",BI381="Yes",BJ381="Yes",BK381="Yes"),"Yes","No"))</f>
        <v/>
      </c>
      <c r="BM381" s="18" t="n"/>
      <c r="BN381" s="18" t="n"/>
      <c r="BO381" s="18">
        <f>IF(OR(BM381="",BN381=""),"",BM381+BN381)</f>
        <v/>
      </c>
      <c r="BP381" s="18" t="n"/>
      <c r="BQ381" s="18">
        <f>IF(OR(BP381="",BO381=""),"",BP381-BO381)</f>
        <v/>
      </c>
      <c r="BR381" s="19">
        <f>IF(OR(BP381="",BP381=0,BQ381=""),"",BQ381/BP381)</f>
        <v/>
      </c>
      <c r="BS381" s="17" t="n"/>
      <c r="BT381" s="22" t="n"/>
      <c r="BU381" s="22" t="n"/>
      <c r="BV381" s="16" t="n"/>
      <c r="BW381" s="16" t="n"/>
      <c r="BX381" s="22">
        <f>IF(OR(BT381="",BU381=""),"",BT381-BU381)</f>
        <v/>
      </c>
      <c r="BY381" s="16" t="n"/>
      <c r="BZ381" s="17" t="n"/>
      <c r="CA381" s="16" t="n"/>
      <c r="CB381" s="16" t="n"/>
    </row>
    <row r="382">
      <c r="A382" s="23">
        <f>IF(C382="","","AYN-"&amp;IFERROR(VLOOKUP(E382,CATEGORY_PREFIX_TABLE,2,FALSE),"OTH")&amp;"-"&amp;TEXT(ROW()-2,"0000"))</f>
        <v/>
      </c>
      <c r="B382" s="24" t="n"/>
      <c r="C382" s="23" t="n"/>
      <c r="D382" s="23" t="n"/>
      <c r="E382" s="23" t="n"/>
      <c r="F382" s="23" t="n"/>
      <c r="G382" s="23" t="n"/>
      <c r="H382" s="23" t="n"/>
      <c r="I382" s="23" t="n"/>
      <c r="J382" s="23" t="n"/>
      <c r="K382" s="25">
        <f>IF(I382="","",IF(J382="BDT",I382,IF(J382="USD",I382*USD_BDT,IF(J382="RMB",I382*RMB_BDT,""))))</f>
        <v/>
      </c>
      <c r="L382" s="25" t="n"/>
      <c r="M382" s="26" t="n"/>
      <c r="N382" s="25" t="n"/>
      <c r="O382" s="25">
        <f>IF(K382="","",K382+IFERROR(L382,0)+(K382*IF(M382="",CUSTOMS_PCT,M382))+IF(N382="",MISC_FEE,N382))</f>
        <v/>
      </c>
      <c r="P382" s="25">
        <f>IF(O382="","",ROUND(O382*(1+MARKUP_PCT),-1)-1)</f>
        <v/>
      </c>
      <c r="Q382" s="25">
        <f>IF(P382="","",P382-O382)</f>
        <v/>
      </c>
      <c r="R382" s="26">
        <f>IF(OR(P382="",P382=0),"",Q382/P382)</f>
        <v/>
      </c>
      <c r="S382" s="23" t="n"/>
      <c r="T382" s="23" t="n"/>
      <c r="U382" s="23" t="n"/>
      <c r="V382" s="23" t="n"/>
      <c r="W382" s="23" t="n"/>
      <c r="X382" s="23" t="n"/>
      <c r="Y382" s="23" t="n"/>
      <c r="Z382" s="23" t="n"/>
      <c r="AA382" s="23" t="n"/>
      <c r="AB382" s="23" t="n"/>
      <c r="AC382" s="27">
        <f>IF(COUNT(S382:AB382)&lt;10,"",(S382*W_FEMININE+T382*W_TREND+U382*W_AESTHETIC+V382*W_STYLE+W382*W_LIGHT+X382*W_REELS+Y382*W_GIFT+Z382*W_PRICEFIT+AA382*W_DEMAND+AB382*W_QUALITY)/5*100)</f>
        <v/>
      </c>
      <c r="AD382" s="23">
        <f>IF(P382="","",IF(P382&gt;HARD_REJECT_PRICE,"Reject",IF(P382&gt;MAX_PRICE,"Price Review",IF(AC382="","",IF(AND(AC382&gt;=BUY_THRESHOLD,OR(AB382&lt;=2,U382&lt;=2)),"Maybe",IF(AC382&gt;=BUY_THRESHOLD,"Buy",IF(AC382&gt;=MAYBE_THRESHOLD,"Maybe","Reject")))))))</f>
        <v/>
      </c>
      <c r="AE382" s="23" t="n"/>
      <c r="AF382" s="23" t="n"/>
      <c r="AG382" s="23" t="n"/>
      <c r="AH382" s="23" t="n"/>
      <c r="AI382" s="24" t="n"/>
      <c r="AJ382">
        <f>IF(AC382="",-9999-ROW()*0.0000001,AC382-ROW()*0.0000001)</f>
        <v/>
      </c>
      <c r="AK382">
        <f>IF(OR(AC382="",P382="",P382&gt;MAX_PRICE),-9999-ROW()*0.0000001,AC382-ROW()*0.0000001)</f>
        <v/>
      </c>
      <c r="AL382">
        <f>IF(AC382="",-9999-ROW()*0.0000001,X382*1000+AC382-ROW()*0.0000001)</f>
        <v/>
      </c>
      <c r="AM382">
        <f>IF(AC382="",-9999-ROW()*0.0000001,Y382*1000+AC382-ROW()*0.0000001)</f>
        <v/>
      </c>
      <c r="AN382">
        <f>IF(AND(OR(AD382="Maybe",AD382="Price Review"),AG382&lt;&gt;"Approved",AG382&lt;&gt;"Rejected"),IF(AC382="",0,AC382)-ROW()*0.0000001,-9999-ROW()*0.0000001)</f>
        <v/>
      </c>
      <c r="AO382" s="28" t="n"/>
      <c r="AP382" s="28" t="n"/>
      <c r="AQ382" s="29" t="n"/>
      <c r="AR382" s="29" t="n"/>
      <c r="AS382" s="23" t="n"/>
      <c r="AT382" s="29" t="n"/>
      <c r="AU382" s="29" t="n"/>
      <c r="AV382" s="29" t="n"/>
      <c r="AW382" s="25">
        <f>IF(OR(O382="",AV382=""),"",O382*AV382)</f>
        <v/>
      </c>
      <c r="AX382" s="23" t="n"/>
      <c r="AY382" s="23" t="n"/>
      <c r="AZ382" s="23" t="n"/>
      <c r="BA382" s="23" t="n"/>
      <c r="BB382" s="23" t="n"/>
      <c r="BC382" s="25" t="n"/>
      <c r="BD382" s="23" t="n"/>
      <c r="BE382" s="23">
        <f>IF(C382="","",IF(AND(ISNUMBER(P382),P382&gt;MAX_PRICE),"Price too high",IF(AND(ISNUMBER(AB382),AB382&lt;=2),"Quality risk",IF(AND(ISNUMBER(U382),U382&lt;=2),"Aesthetic mismatch",IF(AY382="High","Too fragile",IF(AND(ISNUMBER(R382),R382&lt;LOW_PROFIT_PCT),"Low profit",IF(AND(ISNUMBER(AT382),AT382&gt;MOQ_WARNING),"MOQ too high",IF(OR(AD382="Maybe",AD382="Price Review"),"Needs partner review",IF(AD382="Buy","Good candidate","")))))))))</f>
        <v/>
      </c>
      <c r="BF382" s="23" t="n"/>
      <c r="BG382" s="23" t="n"/>
      <c r="BH382" s="23" t="n"/>
      <c r="BI382" s="23" t="n"/>
      <c r="BJ382" s="23" t="n"/>
      <c r="BK382" s="23" t="n"/>
      <c r="BL382" s="23">
        <f>IF(C382="","",IF(AND(BG382="Yes",BH382="Yes",BI382="Yes",BJ382="Yes",BK382="Yes"),"Yes","No"))</f>
        <v/>
      </c>
      <c r="BM382" s="25" t="n"/>
      <c r="BN382" s="25" t="n"/>
      <c r="BO382" s="25">
        <f>IF(OR(BM382="",BN382=""),"",BM382+BN382)</f>
        <v/>
      </c>
      <c r="BP382" s="25" t="n"/>
      <c r="BQ382" s="25">
        <f>IF(OR(BP382="",BO382=""),"",BP382-BO382)</f>
        <v/>
      </c>
      <c r="BR382" s="26">
        <f>IF(OR(BP382="",BP382=0,BQ382=""),"",BQ382/BP382)</f>
        <v/>
      </c>
      <c r="BS382" s="24" t="n"/>
      <c r="BT382" s="29" t="n"/>
      <c r="BU382" s="29" t="n"/>
      <c r="BV382" s="23" t="n"/>
      <c r="BW382" s="23" t="n"/>
      <c r="BX382" s="29">
        <f>IF(OR(BT382="",BU382=""),"",BT382-BU382)</f>
        <v/>
      </c>
      <c r="BY382" s="23" t="n"/>
      <c r="BZ382" s="24" t="n"/>
      <c r="CA382" s="23" t="n"/>
      <c r="CB382" s="23" t="n"/>
    </row>
    <row r="383">
      <c r="A383" s="16">
        <f>IF(C383="","","AYN-"&amp;IFERROR(VLOOKUP(E383,CATEGORY_PREFIX_TABLE,2,FALSE),"OTH")&amp;"-"&amp;TEXT(ROW()-2,"0000"))</f>
        <v/>
      </c>
      <c r="B383" s="17" t="n"/>
      <c r="C383" s="16" t="n"/>
      <c r="D383" s="16" t="n"/>
      <c r="E383" s="16" t="n"/>
      <c r="F383" s="16" t="n"/>
      <c r="G383" s="16" t="n"/>
      <c r="H383" s="16" t="n"/>
      <c r="I383" s="16" t="n"/>
      <c r="J383" s="16" t="n"/>
      <c r="K383" s="18">
        <f>IF(I383="","",IF(J383="BDT",I383,IF(J383="USD",I383*USD_BDT,IF(J383="RMB",I383*RMB_BDT,""))))</f>
        <v/>
      </c>
      <c r="L383" s="18" t="n"/>
      <c r="M383" s="19" t="n"/>
      <c r="N383" s="18" t="n"/>
      <c r="O383" s="18">
        <f>IF(K383="","",K383+IFERROR(L383,0)+(K383*IF(M383="",CUSTOMS_PCT,M383))+IF(N383="",MISC_FEE,N383))</f>
        <v/>
      </c>
      <c r="P383" s="18">
        <f>IF(O383="","",ROUND(O383*(1+MARKUP_PCT),-1)-1)</f>
        <v/>
      </c>
      <c r="Q383" s="18">
        <f>IF(P383="","",P383-O383)</f>
        <v/>
      </c>
      <c r="R383" s="19">
        <f>IF(OR(P383="",P383=0),"",Q383/P383)</f>
        <v/>
      </c>
      <c r="S383" s="16" t="n"/>
      <c r="T383" s="16" t="n"/>
      <c r="U383" s="16" t="n"/>
      <c r="V383" s="16" t="n"/>
      <c r="W383" s="16" t="n"/>
      <c r="X383" s="16" t="n"/>
      <c r="Y383" s="16" t="n"/>
      <c r="Z383" s="16" t="n"/>
      <c r="AA383" s="16" t="n"/>
      <c r="AB383" s="16" t="n"/>
      <c r="AC383" s="20">
        <f>IF(COUNT(S383:AB383)&lt;10,"",(S383*W_FEMININE+T383*W_TREND+U383*W_AESTHETIC+V383*W_STYLE+W383*W_LIGHT+X383*W_REELS+Y383*W_GIFT+Z383*W_PRICEFIT+AA383*W_DEMAND+AB383*W_QUALITY)/5*100)</f>
        <v/>
      </c>
      <c r="AD383" s="16">
        <f>IF(P383="","",IF(P383&gt;HARD_REJECT_PRICE,"Reject",IF(P383&gt;MAX_PRICE,"Price Review",IF(AC383="","",IF(AND(AC383&gt;=BUY_THRESHOLD,OR(AB383&lt;=2,U383&lt;=2)),"Maybe",IF(AC383&gt;=BUY_THRESHOLD,"Buy",IF(AC383&gt;=MAYBE_THRESHOLD,"Maybe","Reject")))))))</f>
        <v/>
      </c>
      <c r="AE383" s="16" t="n"/>
      <c r="AF383" s="16" t="n"/>
      <c r="AG383" s="16" t="n"/>
      <c r="AH383" s="16" t="n"/>
      <c r="AI383" s="17" t="n"/>
      <c r="AJ383">
        <f>IF(AC383="",-9999-ROW()*0.0000001,AC383-ROW()*0.0000001)</f>
        <v/>
      </c>
      <c r="AK383">
        <f>IF(OR(AC383="",P383="",P383&gt;MAX_PRICE),-9999-ROW()*0.0000001,AC383-ROW()*0.0000001)</f>
        <v/>
      </c>
      <c r="AL383">
        <f>IF(AC383="",-9999-ROW()*0.0000001,X383*1000+AC383-ROW()*0.0000001)</f>
        <v/>
      </c>
      <c r="AM383">
        <f>IF(AC383="",-9999-ROW()*0.0000001,Y383*1000+AC383-ROW()*0.0000001)</f>
        <v/>
      </c>
      <c r="AN383">
        <f>IF(AND(OR(AD383="Maybe",AD383="Price Review"),AG383&lt;&gt;"Approved",AG383&lt;&gt;"Rejected"),IF(AC383="",0,AC383)-ROW()*0.0000001,-9999-ROW()*0.0000001)</f>
        <v/>
      </c>
      <c r="AO383" s="21" t="n"/>
      <c r="AP383" s="21" t="n"/>
      <c r="AQ383" s="22" t="n"/>
      <c r="AR383" s="22" t="n"/>
      <c r="AS383" s="16" t="n"/>
      <c r="AT383" s="22" t="n"/>
      <c r="AU383" s="22" t="n"/>
      <c r="AV383" s="22" t="n"/>
      <c r="AW383" s="18">
        <f>IF(OR(O383="",AV383=""),"",O383*AV383)</f>
        <v/>
      </c>
      <c r="AX383" s="16" t="n"/>
      <c r="AY383" s="16" t="n"/>
      <c r="AZ383" s="16" t="n"/>
      <c r="BA383" s="16" t="n"/>
      <c r="BB383" s="16" t="n"/>
      <c r="BC383" s="18" t="n"/>
      <c r="BD383" s="16" t="n"/>
      <c r="BE383" s="16">
        <f>IF(C383="","",IF(AND(ISNUMBER(P383),P383&gt;MAX_PRICE),"Price too high",IF(AND(ISNUMBER(AB383),AB383&lt;=2),"Quality risk",IF(AND(ISNUMBER(U383),U383&lt;=2),"Aesthetic mismatch",IF(AY383="High","Too fragile",IF(AND(ISNUMBER(R383),R383&lt;LOW_PROFIT_PCT),"Low profit",IF(AND(ISNUMBER(AT383),AT383&gt;MOQ_WARNING),"MOQ too high",IF(OR(AD383="Maybe",AD383="Price Review"),"Needs partner review",IF(AD383="Buy","Good candidate","")))))))))</f>
        <v/>
      </c>
      <c r="BF383" s="16" t="n"/>
      <c r="BG383" s="16" t="n"/>
      <c r="BH383" s="16" t="n"/>
      <c r="BI383" s="16" t="n"/>
      <c r="BJ383" s="16" t="n"/>
      <c r="BK383" s="16" t="n"/>
      <c r="BL383" s="16">
        <f>IF(C383="","",IF(AND(BG383="Yes",BH383="Yes",BI383="Yes",BJ383="Yes",BK383="Yes"),"Yes","No"))</f>
        <v/>
      </c>
      <c r="BM383" s="18" t="n"/>
      <c r="BN383" s="18" t="n"/>
      <c r="BO383" s="18">
        <f>IF(OR(BM383="",BN383=""),"",BM383+BN383)</f>
        <v/>
      </c>
      <c r="BP383" s="18" t="n"/>
      <c r="BQ383" s="18">
        <f>IF(OR(BP383="",BO383=""),"",BP383-BO383)</f>
        <v/>
      </c>
      <c r="BR383" s="19">
        <f>IF(OR(BP383="",BP383=0,BQ383=""),"",BQ383/BP383)</f>
        <v/>
      </c>
      <c r="BS383" s="17" t="n"/>
      <c r="BT383" s="22" t="n"/>
      <c r="BU383" s="22" t="n"/>
      <c r="BV383" s="16" t="n"/>
      <c r="BW383" s="16" t="n"/>
      <c r="BX383" s="22">
        <f>IF(OR(BT383="",BU383=""),"",BT383-BU383)</f>
        <v/>
      </c>
      <c r="BY383" s="16" t="n"/>
      <c r="BZ383" s="17" t="n"/>
      <c r="CA383" s="16" t="n"/>
      <c r="CB383" s="16" t="n"/>
    </row>
    <row r="384">
      <c r="A384" s="23">
        <f>IF(C384="","","AYN-"&amp;IFERROR(VLOOKUP(E384,CATEGORY_PREFIX_TABLE,2,FALSE),"OTH")&amp;"-"&amp;TEXT(ROW()-2,"0000"))</f>
        <v/>
      </c>
      <c r="B384" s="24" t="n"/>
      <c r="C384" s="23" t="n"/>
      <c r="D384" s="23" t="n"/>
      <c r="E384" s="23" t="n"/>
      <c r="F384" s="23" t="n"/>
      <c r="G384" s="23" t="n"/>
      <c r="H384" s="23" t="n"/>
      <c r="I384" s="23" t="n"/>
      <c r="J384" s="23" t="n"/>
      <c r="K384" s="25">
        <f>IF(I384="","",IF(J384="BDT",I384,IF(J384="USD",I384*USD_BDT,IF(J384="RMB",I384*RMB_BDT,""))))</f>
        <v/>
      </c>
      <c r="L384" s="25" t="n"/>
      <c r="M384" s="26" t="n"/>
      <c r="N384" s="25" t="n"/>
      <c r="O384" s="25">
        <f>IF(K384="","",K384+IFERROR(L384,0)+(K384*IF(M384="",CUSTOMS_PCT,M384))+IF(N384="",MISC_FEE,N384))</f>
        <v/>
      </c>
      <c r="P384" s="25">
        <f>IF(O384="","",ROUND(O384*(1+MARKUP_PCT),-1)-1)</f>
        <v/>
      </c>
      <c r="Q384" s="25">
        <f>IF(P384="","",P384-O384)</f>
        <v/>
      </c>
      <c r="R384" s="26">
        <f>IF(OR(P384="",P384=0),"",Q384/P384)</f>
        <v/>
      </c>
      <c r="S384" s="23" t="n"/>
      <c r="T384" s="23" t="n"/>
      <c r="U384" s="23" t="n"/>
      <c r="V384" s="23" t="n"/>
      <c r="W384" s="23" t="n"/>
      <c r="X384" s="23" t="n"/>
      <c r="Y384" s="23" t="n"/>
      <c r="Z384" s="23" t="n"/>
      <c r="AA384" s="23" t="n"/>
      <c r="AB384" s="23" t="n"/>
      <c r="AC384" s="27">
        <f>IF(COUNT(S384:AB384)&lt;10,"",(S384*W_FEMININE+T384*W_TREND+U384*W_AESTHETIC+V384*W_STYLE+W384*W_LIGHT+X384*W_REELS+Y384*W_GIFT+Z384*W_PRICEFIT+AA384*W_DEMAND+AB384*W_QUALITY)/5*100)</f>
        <v/>
      </c>
      <c r="AD384" s="23">
        <f>IF(P384="","",IF(P384&gt;HARD_REJECT_PRICE,"Reject",IF(P384&gt;MAX_PRICE,"Price Review",IF(AC384="","",IF(AND(AC384&gt;=BUY_THRESHOLD,OR(AB384&lt;=2,U384&lt;=2)),"Maybe",IF(AC384&gt;=BUY_THRESHOLD,"Buy",IF(AC384&gt;=MAYBE_THRESHOLD,"Maybe","Reject")))))))</f>
        <v/>
      </c>
      <c r="AE384" s="23" t="n"/>
      <c r="AF384" s="23" t="n"/>
      <c r="AG384" s="23" t="n"/>
      <c r="AH384" s="23" t="n"/>
      <c r="AI384" s="24" t="n"/>
      <c r="AJ384">
        <f>IF(AC384="",-9999-ROW()*0.0000001,AC384-ROW()*0.0000001)</f>
        <v/>
      </c>
      <c r="AK384">
        <f>IF(OR(AC384="",P384="",P384&gt;MAX_PRICE),-9999-ROW()*0.0000001,AC384-ROW()*0.0000001)</f>
        <v/>
      </c>
      <c r="AL384">
        <f>IF(AC384="",-9999-ROW()*0.0000001,X384*1000+AC384-ROW()*0.0000001)</f>
        <v/>
      </c>
      <c r="AM384">
        <f>IF(AC384="",-9999-ROW()*0.0000001,Y384*1000+AC384-ROW()*0.0000001)</f>
        <v/>
      </c>
      <c r="AN384">
        <f>IF(AND(OR(AD384="Maybe",AD384="Price Review"),AG384&lt;&gt;"Approved",AG384&lt;&gt;"Rejected"),IF(AC384="",0,AC384)-ROW()*0.0000001,-9999-ROW()*0.0000001)</f>
        <v/>
      </c>
      <c r="AO384" s="28" t="n"/>
      <c r="AP384" s="28" t="n"/>
      <c r="AQ384" s="29" t="n"/>
      <c r="AR384" s="29" t="n"/>
      <c r="AS384" s="23" t="n"/>
      <c r="AT384" s="29" t="n"/>
      <c r="AU384" s="29" t="n"/>
      <c r="AV384" s="29" t="n"/>
      <c r="AW384" s="25">
        <f>IF(OR(O384="",AV384=""),"",O384*AV384)</f>
        <v/>
      </c>
      <c r="AX384" s="23" t="n"/>
      <c r="AY384" s="23" t="n"/>
      <c r="AZ384" s="23" t="n"/>
      <c r="BA384" s="23" t="n"/>
      <c r="BB384" s="23" t="n"/>
      <c r="BC384" s="25" t="n"/>
      <c r="BD384" s="23" t="n"/>
      <c r="BE384" s="23">
        <f>IF(C384="","",IF(AND(ISNUMBER(P384),P384&gt;MAX_PRICE),"Price too high",IF(AND(ISNUMBER(AB384),AB384&lt;=2),"Quality risk",IF(AND(ISNUMBER(U384),U384&lt;=2),"Aesthetic mismatch",IF(AY384="High","Too fragile",IF(AND(ISNUMBER(R384),R384&lt;LOW_PROFIT_PCT),"Low profit",IF(AND(ISNUMBER(AT384),AT384&gt;MOQ_WARNING),"MOQ too high",IF(OR(AD384="Maybe",AD384="Price Review"),"Needs partner review",IF(AD384="Buy","Good candidate","")))))))))</f>
        <v/>
      </c>
      <c r="BF384" s="23" t="n"/>
      <c r="BG384" s="23" t="n"/>
      <c r="BH384" s="23" t="n"/>
      <c r="BI384" s="23" t="n"/>
      <c r="BJ384" s="23" t="n"/>
      <c r="BK384" s="23" t="n"/>
      <c r="BL384" s="23">
        <f>IF(C384="","",IF(AND(BG384="Yes",BH384="Yes",BI384="Yes",BJ384="Yes",BK384="Yes"),"Yes","No"))</f>
        <v/>
      </c>
      <c r="BM384" s="25" t="n"/>
      <c r="BN384" s="25" t="n"/>
      <c r="BO384" s="25">
        <f>IF(OR(BM384="",BN384=""),"",BM384+BN384)</f>
        <v/>
      </c>
      <c r="BP384" s="25" t="n"/>
      <c r="BQ384" s="25">
        <f>IF(OR(BP384="",BO384=""),"",BP384-BO384)</f>
        <v/>
      </c>
      <c r="BR384" s="26">
        <f>IF(OR(BP384="",BP384=0,BQ384=""),"",BQ384/BP384)</f>
        <v/>
      </c>
      <c r="BS384" s="24" t="n"/>
      <c r="BT384" s="29" t="n"/>
      <c r="BU384" s="29" t="n"/>
      <c r="BV384" s="23" t="n"/>
      <c r="BW384" s="23" t="n"/>
      <c r="BX384" s="29">
        <f>IF(OR(BT384="",BU384=""),"",BT384-BU384)</f>
        <v/>
      </c>
      <c r="BY384" s="23" t="n"/>
      <c r="BZ384" s="24" t="n"/>
      <c r="CA384" s="23" t="n"/>
      <c r="CB384" s="23" t="n"/>
    </row>
    <row r="385">
      <c r="A385" s="16">
        <f>IF(C385="","","AYN-"&amp;IFERROR(VLOOKUP(E385,CATEGORY_PREFIX_TABLE,2,FALSE),"OTH")&amp;"-"&amp;TEXT(ROW()-2,"0000"))</f>
        <v/>
      </c>
      <c r="B385" s="17" t="n"/>
      <c r="C385" s="16" t="n"/>
      <c r="D385" s="16" t="n"/>
      <c r="E385" s="16" t="n"/>
      <c r="F385" s="16" t="n"/>
      <c r="G385" s="16" t="n"/>
      <c r="H385" s="16" t="n"/>
      <c r="I385" s="16" t="n"/>
      <c r="J385" s="16" t="n"/>
      <c r="K385" s="18">
        <f>IF(I385="","",IF(J385="BDT",I385,IF(J385="USD",I385*USD_BDT,IF(J385="RMB",I385*RMB_BDT,""))))</f>
        <v/>
      </c>
      <c r="L385" s="18" t="n"/>
      <c r="M385" s="19" t="n"/>
      <c r="N385" s="18" t="n"/>
      <c r="O385" s="18">
        <f>IF(K385="","",K385+IFERROR(L385,0)+(K385*IF(M385="",CUSTOMS_PCT,M385))+IF(N385="",MISC_FEE,N385))</f>
        <v/>
      </c>
      <c r="P385" s="18">
        <f>IF(O385="","",ROUND(O385*(1+MARKUP_PCT),-1)-1)</f>
        <v/>
      </c>
      <c r="Q385" s="18">
        <f>IF(P385="","",P385-O385)</f>
        <v/>
      </c>
      <c r="R385" s="19">
        <f>IF(OR(P385="",P385=0),"",Q385/P385)</f>
        <v/>
      </c>
      <c r="S385" s="16" t="n"/>
      <c r="T385" s="16" t="n"/>
      <c r="U385" s="16" t="n"/>
      <c r="V385" s="16" t="n"/>
      <c r="W385" s="16" t="n"/>
      <c r="X385" s="16" t="n"/>
      <c r="Y385" s="16" t="n"/>
      <c r="Z385" s="16" t="n"/>
      <c r="AA385" s="16" t="n"/>
      <c r="AB385" s="16" t="n"/>
      <c r="AC385" s="20">
        <f>IF(COUNT(S385:AB385)&lt;10,"",(S385*W_FEMININE+T385*W_TREND+U385*W_AESTHETIC+V385*W_STYLE+W385*W_LIGHT+X385*W_REELS+Y385*W_GIFT+Z385*W_PRICEFIT+AA385*W_DEMAND+AB385*W_QUALITY)/5*100)</f>
        <v/>
      </c>
      <c r="AD385" s="16">
        <f>IF(P385="","",IF(P385&gt;HARD_REJECT_PRICE,"Reject",IF(P385&gt;MAX_PRICE,"Price Review",IF(AC385="","",IF(AND(AC385&gt;=BUY_THRESHOLD,OR(AB385&lt;=2,U385&lt;=2)),"Maybe",IF(AC385&gt;=BUY_THRESHOLD,"Buy",IF(AC385&gt;=MAYBE_THRESHOLD,"Maybe","Reject")))))))</f>
        <v/>
      </c>
      <c r="AE385" s="16" t="n"/>
      <c r="AF385" s="16" t="n"/>
      <c r="AG385" s="16" t="n"/>
      <c r="AH385" s="16" t="n"/>
      <c r="AI385" s="17" t="n"/>
      <c r="AJ385">
        <f>IF(AC385="",-9999-ROW()*0.0000001,AC385-ROW()*0.0000001)</f>
        <v/>
      </c>
      <c r="AK385">
        <f>IF(OR(AC385="",P385="",P385&gt;MAX_PRICE),-9999-ROW()*0.0000001,AC385-ROW()*0.0000001)</f>
        <v/>
      </c>
      <c r="AL385">
        <f>IF(AC385="",-9999-ROW()*0.0000001,X385*1000+AC385-ROW()*0.0000001)</f>
        <v/>
      </c>
      <c r="AM385">
        <f>IF(AC385="",-9999-ROW()*0.0000001,Y385*1000+AC385-ROW()*0.0000001)</f>
        <v/>
      </c>
      <c r="AN385">
        <f>IF(AND(OR(AD385="Maybe",AD385="Price Review"),AG385&lt;&gt;"Approved",AG385&lt;&gt;"Rejected"),IF(AC385="",0,AC385)-ROW()*0.0000001,-9999-ROW()*0.0000001)</f>
        <v/>
      </c>
      <c r="AO385" s="21" t="n"/>
      <c r="AP385" s="21" t="n"/>
      <c r="AQ385" s="22" t="n"/>
      <c r="AR385" s="22" t="n"/>
      <c r="AS385" s="16" t="n"/>
      <c r="AT385" s="22" t="n"/>
      <c r="AU385" s="22" t="n"/>
      <c r="AV385" s="22" t="n"/>
      <c r="AW385" s="18">
        <f>IF(OR(O385="",AV385=""),"",O385*AV385)</f>
        <v/>
      </c>
      <c r="AX385" s="16" t="n"/>
      <c r="AY385" s="16" t="n"/>
      <c r="AZ385" s="16" t="n"/>
      <c r="BA385" s="16" t="n"/>
      <c r="BB385" s="16" t="n"/>
      <c r="BC385" s="18" t="n"/>
      <c r="BD385" s="16" t="n"/>
      <c r="BE385" s="16">
        <f>IF(C385="","",IF(AND(ISNUMBER(P385),P385&gt;MAX_PRICE),"Price too high",IF(AND(ISNUMBER(AB385),AB385&lt;=2),"Quality risk",IF(AND(ISNUMBER(U385),U385&lt;=2),"Aesthetic mismatch",IF(AY385="High","Too fragile",IF(AND(ISNUMBER(R385),R385&lt;LOW_PROFIT_PCT),"Low profit",IF(AND(ISNUMBER(AT385),AT385&gt;MOQ_WARNING),"MOQ too high",IF(OR(AD385="Maybe",AD385="Price Review"),"Needs partner review",IF(AD385="Buy","Good candidate","")))))))))</f>
        <v/>
      </c>
      <c r="BF385" s="16" t="n"/>
      <c r="BG385" s="16" t="n"/>
      <c r="BH385" s="16" t="n"/>
      <c r="BI385" s="16" t="n"/>
      <c r="BJ385" s="16" t="n"/>
      <c r="BK385" s="16" t="n"/>
      <c r="BL385" s="16">
        <f>IF(C385="","",IF(AND(BG385="Yes",BH385="Yes",BI385="Yes",BJ385="Yes",BK385="Yes"),"Yes","No"))</f>
        <v/>
      </c>
      <c r="BM385" s="18" t="n"/>
      <c r="BN385" s="18" t="n"/>
      <c r="BO385" s="18">
        <f>IF(OR(BM385="",BN385=""),"",BM385+BN385)</f>
        <v/>
      </c>
      <c r="BP385" s="18" t="n"/>
      <c r="BQ385" s="18">
        <f>IF(OR(BP385="",BO385=""),"",BP385-BO385)</f>
        <v/>
      </c>
      <c r="BR385" s="19">
        <f>IF(OR(BP385="",BP385=0,BQ385=""),"",BQ385/BP385)</f>
        <v/>
      </c>
      <c r="BS385" s="17" t="n"/>
      <c r="BT385" s="22" t="n"/>
      <c r="BU385" s="22" t="n"/>
      <c r="BV385" s="16" t="n"/>
      <c r="BW385" s="16" t="n"/>
      <c r="BX385" s="22">
        <f>IF(OR(BT385="",BU385=""),"",BT385-BU385)</f>
        <v/>
      </c>
      <c r="BY385" s="16" t="n"/>
      <c r="BZ385" s="17" t="n"/>
      <c r="CA385" s="16" t="n"/>
      <c r="CB385" s="16" t="n"/>
    </row>
    <row r="386">
      <c r="A386" s="23">
        <f>IF(C386="","","AYN-"&amp;IFERROR(VLOOKUP(E386,CATEGORY_PREFIX_TABLE,2,FALSE),"OTH")&amp;"-"&amp;TEXT(ROW()-2,"0000"))</f>
        <v/>
      </c>
      <c r="B386" s="24" t="n"/>
      <c r="C386" s="23" t="n"/>
      <c r="D386" s="23" t="n"/>
      <c r="E386" s="23" t="n"/>
      <c r="F386" s="23" t="n"/>
      <c r="G386" s="23" t="n"/>
      <c r="H386" s="23" t="n"/>
      <c r="I386" s="23" t="n"/>
      <c r="J386" s="23" t="n"/>
      <c r="K386" s="25">
        <f>IF(I386="","",IF(J386="BDT",I386,IF(J386="USD",I386*USD_BDT,IF(J386="RMB",I386*RMB_BDT,""))))</f>
        <v/>
      </c>
      <c r="L386" s="25" t="n"/>
      <c r="M386" s="26" t="n"/>
      <c r="N386" s="25" t="n"/>
      <c r="O386" s="25">
        <f>IF(K386="","",K386+IFERROR(L386,0)+(K386*IF(M386="",CUSTOMS_PCT,M386))+IF(N386="",MISC_FEE,N386))</f>
        <v/>
      </c>
      <c r="P386" s="25">
        <f>IF(O386="","",ROUND(O386*(1+MARKUP_PCT),-1)-1)</f>
        <v/>
      </c>
      <c r="Q386" s="25">
        <f>IF(P386="","",P386-O386)</f>
        <v/>
      </c>
      <c r="R386" s="26">
        <f>IF(OR(P386="",P386=0),"",Q386/P386)</f>
        <v/>
      </c>
      <c r="S386" s="23" t="n"/>
      <c r="T386" s="23" t="n"/>
      <c r="U386" s="23" t="n"/>
      <c r="V386" s="23" t="n"/>
      <c r="W386" s="23" t="n"/>
      <c r="X386" s="23" t="n"/>
      <c r="Y386" s="23" t="n"/>
      <c r="Z386" s="23" t="n"/>
      <c r="AA386" s="23" t="n"/>
      <c r="AB386" s="23" t="n"/>
      <c r="AC386" s="27">
        <f>IF(COUNT(S386:AB386)&lt;10,"",(S386*W_FEMININE+T386*W_TREND+U386*W_AESTHETIC+V386*W_STYLE+W386*W_LIGHT+X386*W_REELS+Y386*W_GIFT+Z386*W_PRICEFIT+AA386*W_DEMAND+AB386*W_QUALITY)/5*100)</f>
        <v/>
      </c>
      <c r="AD386" s="23">
        <f>IF(P386="","",IF(P386&gt;HARD_REJECT_PRICE,"Reject",IF(P386&gt;MAX_PRICE,"Price Review",IF(AC386="","",IF(AND(AC386&gt;=BUY_THRESHOLD,OR(AB386&lt;=2,U386&lt;=2)),"Maybe",IF(AC386&gt;=BUY_THRESHOLD,"Buy",IF(AC386&gt;=MAYBE_THRESHOLD,"Maybe","Reject")))))))</f>
        <v/>
      </c>
      <c r="AE386" s="23" t="n"/>
      <c r="AF386" s="23" t="n"/>
      <c r="AG386" s="23" t="n"/>
      <c r="AH386" s="23" t="n"/>
      <c r="AI386" s="24" t="n"/>
      <c r="AJ386">
        <f>IF(AC386="",-9999-ROW()*0.0000001,AC386-ROW()*0.0000001)</f>
        <v/>
      </c>
      <c r="AK386">
        <f>IF(OR(AC386="",P386="",P386&gt;MAX_PRICE),-9999-ROW()*0.0000001,AC386-ROW()*0.0000001)</f>
        <v/>
      </c>
      <c r="AL386">
        <f>IF(AC386="",-9999-ROW()*0.0000001,X386*1000+AC386-ROW()*0.0000001)</f>
        <v/>
      </c>
      <c r="AM386">
        <f>IF(AC386="",-9999-ROW()*0.0000001,Y386*1000+AC386-ROW()*0.0000001)</f>
        <v/>
      </c>
      <c r="AN386">
        <f>IF(AND(OR(AD386="Maybe",AD386="Price Review"),AG386&lt;&gt;"Approved",AG386&lt;&gt;"Rejected"),IF(AC386="",0,AC386)-ROW()*0.0000001,-9999-ROW()*0.0000001)</f>
        <v/>
      </c>
      <c r="AO386" s="28" t="n"/>
      <c r="AP386" s="28" t="n"/>
      <c r="AQ386" s="29" t="n"/>
      <c r="AR386" s="29" t="n"/>
      <c r="AS386" s="23" t="n"/>
      <c r="AT386" s="29" t="n"/>
      <c r="AU386" s="29" t="n"/>
      <c r="AV386" s="29" t="n"/>
      <c r="AW386" s="25">
        <f>IF(OR(O386="",AV386=""),"",O386*AV386)</f>
        <v/>
      </c>
      <c r="AX386" s="23" t="n"/>
      <c r="AY386" s="23" t="n"/>
      <c r="AZ386" s="23" t="n"/>
      <c r="BA386" s="23" t="n"/>
      <c r="BB386" s="23" t="n"/>
      <c r="BC386" s="25" t="n"/>
      <c r="BD386" s="23" t="n"/>
      <c r="BE386" s="23">
        <f>IF(C386="","",IF(AND(ISNUMBER(P386),P386&gt;MAX_PRICE),"Price too high",IF(AND(ISNUMBER(AB386),AB386&lt;=2),"Quality risk",IF(AND(ISNUMBER(U386),U386&lt;=2),"Aesthetic mismatch",IF(AY386="High","Too fragile",IF(AND(ISNUMBER(R386),R386&lt;LOW_PROFIT_PCT),"Low profit",IF(AND(ISNUMBER(AT386),AT386&gt;MOQ_WARNING),"MOQ too high",IF(OR(AD386="Maybe",AD386="Price Review"),"Needs partner review",IF(AD386="Buy","Good candidate","")))))))))</f>
        <v/>
      </c>
      <c r="BF386" s="23" t="n"/>
      <c r="BG386" s="23" t="n"/>
      <c r="BH386" s="23" t="n"/>
      <c r="BI386" s="23" t="n"/>
      <c r="BJ386" s="23" t="n"/>
      <c r="BK386" s="23" t="n"/>
      <c r="BL386" s="23">
        <f>IF(C386="","",IF(AND(BG386="Yes",BH386="Yes",BI386="Yes",BJ386="Yes",BK386="Yes"),"Yes","No"))</f>
        <v/>
      </c>
      <c r="BM386" s="25" t="n"/>
      <c r="BN386" s="25" t="n"/>
      <c r="BO386" s="25">
        <f>IF(OR(BM386="",BN386=""),"",BM386+BN386)</f>
        <v/>
      </c>
      <c r="BP386" s="25" t="n"/>
      <c r="BQ386" s="25">
        <f>IF(OR(BP386="",BO386=""),"",BP386-BO386)</f>
        <v/>
      </c>
      <c r="BR386" s="26">
        <f>IF(OR(BP386="",BP386=0,BQ386=""),"",BQ386/BP386)</f>
        <v/>
      </c>
      <c r="BS386" s="24" t="n"/>
      <c r="BT386" s="29" t="n"/>
      <c r="BU386" s="29" t="n"/>
      <c r="BV386" s="23" t="n"/>
      <c r="BW386" s="23" t="n"/>
      <c r="BX386" s="29">
        <f>IF(OR(BT386="",BU386=""),"",BT386-BU386)</f>
        <v/>
      </c>
      <c r="BY386" s="23" t="n"/>
      <c r="BZ386" s="24" t="n"/>
      <c r="CA386" s="23" t="n"/>
      <c r="CB386" s="23" t="n"/>
    </row>
    <row r="387">
      <c r="A387" s="16">
        <f>IF(C387="","","AYN-"&amp;IFERROR(VLOOKUP(E387,CATEGORY_PREFIX_TABLE,2,FALSE),"OTH")&amp;"-"&amp;TEXT(ROW()-2,"0000"))</f>
        <v/>
      </c>
      <c r="B387" s="17" t="n"/>
      <c r="C387" s="16" t="n"/>
      <c r="D387" s="16" t="n"/>
      <c r="E387" s="16" t="n"/>
      <c r="F387" s="16" t="n"/>
      <c r="G387" s="16" t="n"/>
      <c r="H387" s="16" t="n"/>
      <c r="I387" s="16" t="n"/>
      <c r="J387" s="16" t="n"/>
      <c r="K387" s="18">
        <f>IF(I387="","",IF(J387="BDT",I387,IF(J387="USD",I387*USD_BDT,IF(J387="RMB",I387*RMB_BDT,""))))</f>
        <v/>
      </c>
      <c r="L387" s="18" t="n"/>
      <c r="M387" s="19" t="n"/>
      <c r="N387" s="18" t="n"/>
      <c r="O387" s="18">
        <f>IF(K387="","",K387+IFERROR(L387,0)+(K387*IF(M387="",CUSTOMS_PCT,M387))+IF(N387="",MISC_FEE,N387))</f>
        <v/>
      </c>
      <c r="P387" s="18">
        <f>IF(O387="","",ROUND(O387*(1+MARKUP_PCT),-1)-1)</f>
        <v/>
      </c>
      <c r="Q387" s="18">
        <f>IF(P387="","",P387-O387)</f>
        <v/>
      </c>
      <c r="R387" s="19">
        <f>IF(OR(P387="",P387=0),"",Q387/P387)</f>
        <v/>
      </c>
      <c r="S387" s="16" t="n"/>
      <c r="T387" s="16" t="n"/>
      <c r="U387" s="16" t="n"/>
      <c r="V387" s="16" t="n"/>
      <c r="W387" s="16" t="n"/>
      <c r="X387" s="16" t="n"/>
      <c r="Y387" s="16" t="n"/>
      <c r="Z387" s="16" t="n"/>
      <c r="AA387" s="16" t="n"/>
      <c r="AB387" s="16" t="n"/>
      <c r="AC387" s="20">
        <f>IF(COUNT(S387:AB387)&lt;10,"",(S387*W_FEMININE+T387*W_TREND+U387*W_AESTHETIC+V387*W_STYLE+W387*W_LIGHT+X387*W_REELS+Y387*W_GIFT+Z387*W_PRICEFIT+AA387*W_DEMAND+AB387*W_QUALITY)/5*100)</f>
        <v/>
      </c>
      <c r="AD387" s="16">
        <f>IF(P387="","",IF(P387&gt;HARD_REJECT_PRICE,"Reject",IF(P387&gt;MAX_PRICE,"Price Review",IF(AC387="","",IF(AND(AC387&gt;=BUY_THRESHOLD,OR(AB387&lt;=2,U387&lt;=2)),"Maybe",IF(AC387&gt;=BUY_THRESHOLD,"Buy",IF(AC387&gt;=MAYBE_THRESHOLD,"Maybe","Reject")))))))</f>
        <v/>
      </c>
      <c r="AE387" s="16" t="n"/>
      <c r="AF387" s="16" t="n"/>
      <c r="AG387" s="16" t="n"/>
      <c r="AH387" s="16" t="n"/>
      <c r="AI387" s="17" t="n"/>
      <c r="AJ387">
        <f>IF(AC387="",-9999-ROW()*0.0000001,AC387-ROW()*0.0000001)</f>
        <v/>
      </c>
      <c r="AK387">
        <f>IF(OR(AC387="",P387="",P387&gt;MAX_PRICE),-9999-ROW()*0.0000001,AC387-ROW()*0.0000001)</f>
        <v/>
      </c>
      <c r="AL387">
        <f>IF(AC387="",-9999-ROW()*0.0000001,X387*1000+AC387-ROW()*0.0000001)</f>
        <v/>
      </c>
      <c r="AM387">
        <f>IF(AC387="",-9999-ROW()*0.0000001,Y387*1000+AC387-ROW()*0.0000001)</f>
        <v/>
      </c>
      <c r="AN387">
        <f>IF(AND(OR(AD387="Maybe",AD387="Price Review"),AG387&lt;&gt;"Approved",AG387&lt;&gt;"Rejected"),IF(AC387="",0,AC387)-ROW()*0.0000001,-9999-ROW()*0.0000001)</f>
        <v/>
      </c>
      <c r="AO387" s="21" t="n"/>
      <c r="AP387" s="21" t="n"/>
      <c r="AQ387" s="22" t="n"/>
      <c r="AR387" s="22" t="n"/>
      <c r="AS387" s="16" t="n"/>
      <c r="AT387" s="22" t="n"/>
      <c r="AU387" s="22" t="n"/>
      <c r="AV387" s="22" t="n"/>
      <c r="AW387" s="18">
        <f>IF(OR(O387="",AV387=""),"",O387*AV387)</f>
        <v/>
      </c>
      <c r="AX387" s="16" t="n"/>
      <c r="AY387" s="16" t="n"/>
      <c r="AZ387" s="16" t="n"/>
      <c r="BA387" s="16" t="n"/>
      <c r="BB387" s="16" t="n"/>
      <c r="BC387" s="18" t="n"/>
      <c r="BD387" s="16" t="n"/>
      <c r="BE387" s="16">
        <f>IF(C387="","",IF(AND(ISNUMBER(P387),P387&gt;MAX_PRICE),"Price too high",IF(AND(ISNUMBER(AB387),AB387&lt;=2),"Quality risk",IF(AND(ISNUMBER(U387),U387&lt;=2),"Aesthetic mismatch",IF(AY387="High","Too fragile",IF(AND(ISNUMBER(R387),R387&lt;LOW_PROFIT_PCT),"Low profit",IF(AND(ISNUMBER(AT387),AT387&gt;MOQ_WARNING),"MOQ too high",IF(OR(AD387="Maybe",AD387="Price Review"),"Needs partner review",IF(AD387="Buy","Good candidate","")))))))))</f>
        <v/>
      </c>
      <c r="BF387" s="16" t="n"/>
      <c r="BG387" s="16" t="n"/>
      <c r="BH387" s="16" t="n"/>
      <c r="BI387" s="16" t="n"/>
      <c r="BJ387" s="16" t="n"/>
      <c r="BK387" s="16" t="n"/>
      <c r="BL387" s="16">
        <f>IF(C387="","",IF(AND(BG387="Yes",BH387="Yes",BI387="Yes",BJ387="Yes",BK387="Yes"),"Yes","No"))</f>
        <v/>
      </c>
      <c r="BM387" s="18" t="n"/>
      <c r="BN387" s="18" t="n"/>
      <c r="BO387" s="18">
        <f>IF(OR(BM387="",BN387=""),"",BM387+BN387)</f>
        <v/>
      </c>
      <c r="BP387" s="18" t="n"/>
      <c r="BQ387" s="18">
        <f>IF(OR(BP387="",BO387=""),"",BP387-BO387)</f>
        <v/>
      </c>
      <c r="BR387" s="19">
        <f>IF(OR(BP387="",BP387=0,BQ387=""),"",BQ387/BP387)</f>
        <v/>
      </c>
      <c r="BS387" s="17" t="n"/>
      <c r="BT387" s="22" t="n"/>
      <c r="BU387" s="22" t="n"/>
      <c r="BV387" s="16" t="n"/>
      <c r="BW387" s="16" t="n"/>
      <c r="BX387" s="22">
        <f>IF(OR(BT387="",BU387=""),"",BT387-BU387)</f>
        <v/>
      </c>
      <c r="BY387" s="16" t="n"/>
      <c r="BZ387" s="17" t="n"/>
      <c r="CA387" s="16" t="n"/>
      <c r="CB387" s="16" t="n"/>
    </row>
    <row r="388">
      <c r="A388" s="23">
        <f>IF(C388="","","AYN-"&amp;IFERROR(VLOOKUP(E388,CATEGORY_PREFIX_TABLE,2,FALSE),"OTH")&amp;"-"&amp;TEXT(ROW()-2,"0000"))</f>
        <v/>
      </c>
      <c r="B388" s="24" t="n"/>
      <c r="C388" s="23" t="n"/>
      <c r="D388" s="23" t="n"/>
      <c r="E388" s="23" t="n"/>
      <c r="F388" s="23" t="n"/>
      <c r="G388" s="23" t="n"/>
      <c r="H388" s="23" t="n"/>
      <c r="I388" s="23" t="n"/>
      <c r="J388" s="23" t="n"/>
      <c r="K388" s="25">
        <f>IF(I388="","",IF(J388="BDT",I388,IF(J388="USD",I388*USD_BDT,IF(J388="RMB",I388*RMB_BDT,""))))</f>
        <v/>
      </c>
      <c r="L388" s="25" t="n"/>
      <c r="M388" s="26" t="n"/>
      <c r="N388" s="25" t="n"/>
      <c r="O388" s="25">
        <f>IF(K388="","",K388+IFERROR(L388,0)+(K388*IF(M388="",CUSTOMS_PCT,M388))+IF(N388="",MISC_FEE,N388))</f>
        <v/>
      </c>
      <c r="P388" s="25">
        <f>IF(O388="","",ROUND(O388*(1+MARKUP_PCT),-1)-1)</f>
        <v/>
      </c>
      <c r="Q388" s="25">
        <f>IF(P388="","",P388-O388)</f>
        <v/>
      </c>
      <c r="R388" s="26">
        <f>IF(OR(P388="",P388=0),"",Q388/P388)</f>
        <v/>
      </c>
      <c r="S388" s="23" t="n"/>
      <c r="T388" s="23" t="n"/>
      <c r="U388" s="23" t="n"/>
      <c r="V388" s="23" t="n"/>
      <c r="W388" s="23" t="n"/>
      <c r="X388" s="23" t="n"/>
      <c r="Y388" s="23" t="n"/>
      <c r="Z388" s="23" t="n"/>
      <c r="AA388" s="23" t="n"/>
      <c r="AB388" s="23" t="n"/>
      <c r="AC388" s="27">
        <f>IF(COUNT(S388:AB388)&lt;10,"",(S388*W_FEMININE+T388*W_TREND+U388*W_AESTHETIC+V388*W_STYLE+W388*W_LIGHT+X388*W_REELS+Y388*W_GIFT+Z388*W_PRICEFIT+AA388*W_DEMAND+AB388*W_QUALITY)/5*100)</f>
        <v/>
      </c>
      <c r="AD388" s="23">
        <f>IF(P388="","",IF(P388&gt;HARD_REJECT_PRICE,"Reject",IF(P388&gt;MAX_PRICE,"Price Review",IF(AC388="","",IF(AND(AC388&gt;=BUY_THRESHOLD,OR(AB388&lt;=2,U388&lt;=2)),"Maybe",IF(AC388&gt;=BUY_THRESHOLD,"Buy",IF(AC388&gt;=MAYBE_THRESHOLD,"Maybe","Reject")))))))</f>
        <v/>
      </c>
      <c r="AE388" s="23" t="n"/>
      <c r="AF388" s="23" t="n"/>
      <c r="AG388" s="23" t="n"/>
      <c r="AH388" s="23" t="n"/>
      <c r="AI388" s="24" t="n"/>
      <c r="AJ388">
        <f>IF(AC388="",-9999-ROW()*0.0000001,AC388-ROW()*0.0000001)</f>
        <v/>
      </c>
      <c r="AK388">
        <f>IF(OR(AC388="",P388="",P388&gt;MAX_PRICE),-9999-ROW()*0.0000001,AC388-ROW()*0.0000001)</f>
        <v/>
      </c>
      <c r="AL388">
        <f>IF(AC388="",-9999-ROW()*0.0000001,X388*1000+AC388-ROW()*0.0000001)</f>
        <v/>
      </c>
      <c r="AM388">
        <f>IF(AC388="",-9999-ROW()*0.0000001,Y388*1000+AC388-ROW()*0.0000001)</f>
        <v/>
      </c>
      <c r="AN388">
        <f>IF(AND(OR(AD388="Maybe",AD388="Price Review"),AG388&lt;&gt;"Approved",AG388&lt;&gt;"Rejected"),IF(AC388="",0,AC388)-ROW()*0.0000001,-9999-ROW()*0.0000001)</f>
        <v/>
      </c>
      <c r="AO388" s="28" t="n"/>
      <c r="AP388" s="28" t="n"/>
      <c r="AQ388" s="29" t="n"/>
      <c r="AR388" s="29" t="n"/>
      <c r="AS388" s="23" t="n"/>
      <c r="AT388" s="29" t="n"/>
      <c r="AU388" s="29" t="n"/>
      <c r="AV388" s="29" t="n"/>
      <c r="AW388" s="25">
        <f>IF(OR(O388="",AV388=""),"",O388*AV388)</f>
        <v/>
      </c>
      <c r="AX388" s="23" t="n"/>
      <c r="AY388" s="23" t="n"/>
      <c r="AZ388" s="23" t="n"/>
      <c r="BA388" s="23" t="n"/>
      <c r="BB388" s="23" t="n"/>
      <c r="BC388" s="25" t="n"/>
      <c r="BD388" s="23" t="n"/>
      <c r="BE388" s="23">
        <f>IF(C388="","",IF(AND(ISNUMBER(P388),P388&gt;MAX_PRICE),"Price too high",IF(AND(ISNUMBER(AB388),AB388&lt;=2),"Quality risk",IF(AND(ISNUMBER(U388),U388&lt;=2),"Aesthetic mismatch",IF(AY388="High","Too fragile",IF(AND(ISNUMBER(R388),R388&lt;LOW_PROFIT_PCT),"Low profit",IF(AND(ISNUMBER(AT388),AT388&gt;MOQ_WARNING),"MOQ too high",IF(OR(AD388="Maybe",AD388="Price Review"),"Needs partner review",IF(AD388="Buy","Good candidate","")))))))))</f>
        <v/>
      </c>
      <c r="BF388" s="23" t="n"/>
      <c r="BG388" s="23" t="n"/>
      <c r="BH388" s="23" t="n"/>
      <c r="BI388" s="23" t="n"/>
      <c r="BJ388" s="23" t="n"/>
      <c r="BK388" s="23" t="n"/>
      <c r="BL388" s="23">
        <f>IF(C388="","",IF(AND(BG388="Yes",BH388="Yes",BI388="Yes",BJ388="Yes",BK388="Yes"),"Yes","No"))</f>
        <v/>
      </c>
      <c r="BM388" s="25" t="n"/>
      <c r="BN388" s="25" t="n"/>
      <c r="BO388" s="25">
        <f>IF(OR(BM388="",BN388=""),"",BM388+BN388)</f>
        <v/>
      </c>
      <c r="BP388" s="25" t="n"/>
      <c r="BQ388" s="25">
        <f>IF(OR(BP388="",BO388=""),"",BP388-BO388)</f>
        <v/>
      </c>
      <c r="BR388" s="26">
        <f>IF(OR(BP388="",BP388=0,BQ388=""),"",BQ388/BP388)</f>
        <v/>
      </c>
      <c r="BS388" s="24" t="n"/>
      <c r="BT388" s="29" t="n"/>
      <c r="BU388" s="29" t="n"/>
      <c r="BV388" s="23" t="n"/>
      <c r="BW388" s="23" t="n"/>
      <c r="BX388" s="29">
        <f>IF(OR(BT388="",BU388=""),"",BT388-BU388)</f>
        <v/>
      </c>
      <c r="BY388" s="23" t="n"/>
      <c r="BZ388" s="24" t="n"/>
      <c r="CA388" s="23" t="n"/>
      <c r="CB388" s="23" t="n"/>
    </row>
    <row r="389">
      <c r="A389" s="16">
        <f>IF(C389="","","AYN-"&amp;IFERROR(VLOOKUP(E389,CATEGORY_PREFIX_TABLE,2,FALSE),"OTH")&amp;"-"&amp;TEXT(ROW()-2,"0000"))</f>
        <v/>
      </c>
      <c r="B389" s="17" t="n"/>
      <c r="C389" s="16" t="n"/>
      <c r="D389" s="16" t="n"/>
      <c r="E389" s="16" t="n"/>
      <c r="F389" s="16" t="n"/>
      <c r="G389" s="16" t="n"/>
      <c r="H389" s="16" t="n"/>
      <c r="I389" s="16" t="n"/>
      <c r="J389" s="16" t="n"/>
      <c r="K389" s="18">
        <f>IF(I389="","",IF(J389="BDT",I389,IF(J389="USD",I389*USD_BDT,IF(J389="RMB",I389*RMB_BDT,""))))</f>
        <v/>
      </c>
      <c r="L389" s="18" t="n"/>
      <c r="M389" s="19" t="n"/>
      <c r="N389" s="18" t="n"/>
      <c r="O389" s="18">
        <f>IF(K389="","",K389+IFERROR(L389,0)+(K389*IF(M389="",CUSTOMS_PCT,M389))+IF(N389="",MISC_FEE,N389))</f>
        <v/>
      </c>
      <c r="P389" s="18">
        <f>IF(O389="","",ROUND(O389*(1+MARKUP_PCT),-1)-1)</f>
        <v/>
      </c>
      <c r="Q389" s="18">
        <f>IF(P389="","",P389-O389)</f>
        <v/>
      </c>
      <c r="R389" s="19">
        <f>IF(OR(P389="",P389=0),"",Q389/P389)</f>
        <v/>
      </c>
      <c r="S389" s="16" t="n"/>
      <c r="T389" s="16" t="n"/>
      <c r="U389" s="16" t="n"/>
      <c r="V389" s="16" t="n"/>
      <c r="W389" s="16" t="n"/>
      <c r="X389" s="16" t="n"/>
      <c r="Y389" s="16" t="n"/>
      <c r="Z389" s="16" t="n"/>
      <c r="AA389" s="16" t="n"/>
      <c r="AB389" s="16" t="n"/>
      <c r="AC389" s="20">
        <f>IF(COUNT(S389:AB389)&lt;10,"",(S389*W_FEMININE+T389*W_TREND+U389*W_AESTHETIC+V389*W_STYLE+W389*W_LIGHT+X389*W_REELS+Y389*W_GIFT+Z389*W_PRICEFIT+AA389*W_DEMAND+AB389*W_QUALITY)/5*100)</f>
        <v/>
      </c>
      <c r="AD389" s="16">
        <f>IF(P389="","",IF(P389&gt;HARD_REJECT_PRICE,"Reject",IF(P389&gt;MAX_PRICE,"Price Review",IF(AC389="","",IF(AND(AC389&gt;=BUY_THRESHOLD,OR(AB389&lt;=2,U389&lt;=2)),"Maybe",IF(AC389&gt;=BUY_THRESHOLD,"Buy",IF(AC389&gt;=MAYBE_THRESHOLD,"Maybe","Reject")))))))</f>
        <v/>
      </c>
      <c r="AE389" s="16" t="n"/>
      <c r="AF389" s="16" t="n"/>
      <c r="AG389" s="16" t="n"/>
      <c r="AH389" s="16" t="n"/>
      <c r="AI389" s="17" t="n"/>
      <c r="AJ389">
        <f>IF(AC389="",-9999-ROW()*0.0000001,AC389-ROW()*0.0000001)</f>
        <v/>
      </c>
      <c r="AK389">
        <f>IF(OR(AC389="",P389="",P389&gt;MAX_PRICE),-9999-ROW()*0.0000001,AC389-ROW()*0.0000001)</f>
        <v/>
      </c>
      <c r="AL389">
        <f>IF(AC389="",-9999-ROW()*0.0000001,X389*1000+AC389-ROW()*0.0000001)</f>
        <v/>
      </c>
      <c r="AM389">
        <f>IF(AC389="",-9999-ROW()*0.0000001,Y389*1000+AC389-ROW()*0.0000001)</f>
        <v/>
      </c>
      <c r="AN389">
        <f>IF(AND(OR(AD389="Maybe",AD389="Price Review"),AG389&lt;&gt;"Approved",AG389&lt;&gt;"Rejected"),IF(AC389="",0,AC389)-ROW()*0.0000001,-9999-ROW()*0.0000001)</f>
        <v/>
      </c>
      <c r="AO389" s="21" t="n"/>
      <c r="AP389" s="21" t="n"/>
      <c r="AQ389" s="22" t="n"/>
      <c r="AR389" s="22" t="n"/>
      <c r="AS389" s="16" t="n"/>
      <c r="AT389" s="22" t="n"/>
      <c r="AU389" s="22" t="n"/>
      <c r="AV389" s="22" t="n"/>
      <c r="AW389" s="18">
        <f>IF(OR(O389="",AV389=""),"",O389*AV389)</f>
        <v/>
      </c>
      <c r="AX389" s="16" t="n"/>
      <c r="AY389" s="16" t="n"/>
      <c r="AZ389" s="16" t="n"/>
      <c r="BA389" s="16" t="n"/>
      <c r="BB389" s="16" t="n"/>
      <c r="BC389" s="18" t="n"/>
      <c r="BD389" s="16" t="n"/>
      <c r="BE389" s="16">
        <f>IF(C389="","",IF(AND(ISNUMBER(P389),P389&gt;MAX_PRICE),"Price too high",IF(AND(ISNUMBER(AB389),AB389&lt;=2),"Quality risk",IF(AND(ISNUMBER(U389),U389&lt;=2),"Aesthetic mismatch",IF(AY389="High","Too fragile",IF(AND(ISNUMBER(R389),R389&lt;LOW_PROFIT_PCT),"Low profit",IF(AND(ISNUMBER(AT389),AT389&gt;MOQ_WARNING),"MOQ too high",IF(OR(AD389="Maybe",AD389="Price Review"),"Needs partner review",IF(AD389="Buy","Good candidate","")))))))))</f>
        <v/>
      </c>
      <c r="BF389" s="16" t="n"/>
      <c r="BG389" s="16" t="n"/>
      <c r="BH389" s="16" t="n"/>
      <c r="BI389" s="16" t="n"/>
      <c r="BJ389" s="16" t="n"/>
      <c r="BK389" s="16" t="n"/>
      <c r="BL389" s="16">
        <f>IF(C389="","",IF(AND(BG389="Yes",BH389="Yes",BI389="Yes",BJ389="Yes",BK389="Yes"),"Yes","No"))</f>
        <v/>
      </c>
      <c r="BM389" s="18" t="n"/>
      <c r="BN389" s="18" t="n"/>
      <c r="BO389" s="18">
        <f>IF(OR(BM389="",BN389=""),"",BM389+BN389)</f>
        <v/>
      </c>
      <c r="BP389" s="18" t="n"/>
      <c r="BQ389" s="18">
        <f>IF(OR(BP389="",BO389=""),"",BP389-BO389)</f>
        <v/>
      </c>
      <c r="BR389" s="19">
        <f>IF(OR(BP389="",BP389=0,BQ389=""),"",BQ389/BP389)</f>
        <v/>
      </c>
      <c r="BS389" s="17" t="n"/>
      <c r="BT389" s="22" t="n"/>
      <c r="BU389" s="22" t="n"/>
      <c r="BV389" s="16" t="n"/>
      <c r="BW389" s="16" t="n"/>
      <c r="BX389" s="22">
        <f>IF(OR(BT389="",BU389=""),"",BT389-BU389)</f>
        <v/>
      </c>
      <c r="BY389" s="16" t="n"/>
      <c r="BZ389" s="17" t="n"/>
      <c r="CA389" s="16" t="n"/>
      <c r="CB389" s="16" t="n"/>
    </row>
    <row r="390">
      <c r="A390" s="23">
        <f>IF(C390="","","AYN-"&amp;IFERROR(VLOOKUP(E390,CATEGORY_PREFIX_TABLE,2,FALSE),"OTH")&amp;"-"&amp;TEXT(ROW()-2,"0000"))</f>
        <v/>
      </c>
      <c r="B390" s="24" t="n"/>
      <c r="C390" s="23" t="n"/>
      <c r="D390" s="23" t="n"/>
      <c r="E390" s="23" t="n"/>
      <c r="F390" s="23" t="n"/>
      <c r="G390" s="23" t="n"/>
      <c r="H390" s="23" t="n"/>
      <c r="I390" s="23" t="n"/>
      <c r="J390" s="23" t="n"/>
      <c r="K390" s="25">
        <f>IF(I390="","",IF(J390="BDT",I390,IF(J390="USD",I390*USD_BDT,IF(J390="RMB",I390*RMB_BDT,""))))</f>
        <v/>
      </c>
      <c r="L390" s="25" t="n"/>
      <c r="M390" s="26" t="n"/>
      <c r="N390" s="25" t="n"/>
      <c r="O390" s="25">
        <f>IF(K390="","",K390+IFERROR(L390,0)+(K390*IF(M390="",CUSTOMS_PCT,M390))+IF(N390="",MISC_FEE,N390))</f>
        <v/>
      </c>
      <c r="P390" s="25">
        <f>IF(O390="","",ROUND(O390*(1+MARKUP_PCT),-1)-1)</f>
        <v/>
      </c>
      <c r="Q390" s="25">
        <f>IF(P390="","",P390-O390)</f>
        <v/>
      </c>
      <c r="R390" s="26">
        <f>IF(OR(P390="",P390=0),"",Q390/P390)</f>
        <v/>
      </c>
      <c r="S390" s="23" t="n"/>
      <c r="T390" s="23" t="n"/>
      <c r="U390" s="23" t="n"/>
      <c r="V390" s="23" t="n"/>
      <c r="W390" s="23" t="n"/>
      <c r="X390" s="23" t="n"/>
      <c r="Y390" s="23" t="n"/>
      <c r="Z390" s="23" t="n"/>
      <c r="AA390" s="23" t="n"/>
      <c r="AB390" s="23" t="n"/>
      <c r="AC390" s="27">
        <f>IF(COUNT(S390:AB390)&lt;10,"",(S390*W_FEMININE+T390*W_TREND+U390*W_AESTHETIC+V390*W_STYLE+W390*W_LIGHT+X390*W_REELS+Y390*W_GIFT+Z390*W_PRICEFIT+AA390*W_DEMAND+AB390*W_QUALITY)/5*100)</f>
        <v/>
      </c>
      <c r="AD390" s="23">
        <f>IF(P390="","",IF(P390&gt;HARD_REJECT_PRICE,"Reject",IF(P390&gt;MAX_PRICE,"Price Review",IF(AC390="","",IF(AND(AC390&gt;=BUY_THRESHOLD,OR(AB390&lt;=2,U390&lt;=2)),"Maybe",IF(AC390&gt;=BUY_THRESHOLD,"Buy",IF(AC390&gt;=MAYBE_THRESHOLD,"Maybe","Reject")))))))</f>
        <v/>
      </c>
      <c r="AE390" s="23" t="n"/>
      <c r="AF390" s="23" t="n"/>
      <c r="AG390" s="23" t="n"/>
      <c r="AH390" s="23" t="n"/>
      <c r="AI390" s="24" t="n"/>
      <c r="AJ390">
        <f>IF(AC390="",-9999-ROW()*0.0000001,AC390-ROW()*0.0000001)</f>
        <v/>
      </c>
      <c r="AK390">
        <f>IF(OR(AC390="",P390="",P390&gt;MAX_PRICE),-9999-ROW()*0.0000001,AC390-ROW()*0.0000001)</f>
        <v/>
      </c>
      <c r="AL390">
        <f>IF(AC390="",-9999-ROW()*0.0000001,X390*1000+AC390-ROW()*0.0000001)</f>
        <v/>
      </c>
      <c r="AM390">
        <f>IF(AC390="",-9999-ROW()*0.0000001,Y390*1000+AC390-ROW()*0.0000001)</f>
        <v/>
      </c>
      <c r="AN390">
        <f>IF(AND(OR(AD390="Maybe",AD390="Price Review"),AG390&lt;&gt;"Approved",AG390&lt;&gt;"Rejected"),IF(AC390="",0,AC390)-ROW()*0.0000001,-9999-ROW()*0.0000001)</f>
        <v/>
      </c>
      <c r="AO390" s="28" t="n"/>
      <c r="AP390" s="28" t="n"/>
      <c r="AQ390" s="29" t="n"/>
      <c r="AR390" s="29" t="n"/>
      <c r="AS390" s="23" t="n"/>
      <c r="AT390" s="29" t="n"/>
      <c r="AU390" s="29" t="n"/>
      <c r="AV390" s="29" t="n"/>
      <c r="AW390" s="25">
        <f>IF(OR(O390="",AV390=""),"",O390*AV390)</f>
        <v/>
      </c>
      <c r="AX390" s="23" t="n"/>
      <c r="AY390" s="23" t="n"/>
      <c r="AZ390" s="23" t="n"/>
      <c r="BA390" s="23" t="n"/>
      <c r="BB390" s="23" t="n"/>
      <c r="BC390" s="25" t="n"/>
      <c r="BD390" s="23" t="n"/>
      <c r="BE390" s="23">
        <f>IF(C390="","",IF(AND(ISNUMBER(P390),P390&gt;MAX_PRICE),"Price too high",IF(AND(ISNUMBER(AB390),AB390&lt;=2),"Quality risk",IF(AND(ISNUMBER(U390),U390&lt;=2),"Aesthetic mismatch",IF(AY390="High","Too fragile",IF(AND(ISNUMBER(R390),R390&lt;LOW_PROFIT_PCT),"Low profit",IF(AND(ISNUMBER(AT390),AT390&gt;MOQ_WARNING),"MOQ too high",IF(OR(AD390="Maybe",AD390="Price Review"),"Needs partner review",IF(AD390="Buy","Good candidate","")))))))))</f>
        <v/>
      </c>
      <c r="BF390" s="23" t="n"/>
      <c r="BG390" s="23" t="n"/>
      <c r="BH390" s="23" t="n"/>
      <c r="BI390" s="23" t="n"/>
      <c r="BJ390" s="23" t="n"/>
      <c r="BK390" s="23" t="n"/>
      <c r="BL390" s="23">
        <f>IF(C390="","",IF(AND(BG390="Yes",BH390="Yes",BI390="Yes",BJ390="Yes",BK390="Yes"),"Yes","No"))</f>
        <v/>
      </c>
      <c r="BM390" s="25" t="n"/>
      <c r="BN390" s="25" t="n"/>
      <c r="BO390" s="25">
        <f>IF(OR(BM390="",BN390=""),"",BM390+BN390)</f>
        <v/>
      </c>
      <c r="BP390" s="25" t="n"/>
      <c r="BQ390" s="25">
        <f>IF(OR(BP390="",BO390=""),"",BP390-BO390)</f>
        <v/>
      </c>
      <c r="BR390" s="26">
        <f>IF(OR(BP390="",BP390=0,BQ390=""),"",BQ390/BP390)</f>
        <v/>
      </c>
      <c r="BS390" s="24" t="n"/>
      <c r="BT390" s="29" t="n"/>
      <c r="BU390" s="29" t="n"/>
      <c r="BV390" s="23" t="n"/>
      <c r="BW390" s="23" t="n"/>
      <c r="BX390" s="29">
        <f>IF(OR(BT390="",BU390=""),"",BT390-BU390)</f>
        <v/>
      </c>
      <c r="BY390" s="23" t="n"/>
      <c r="BZ390" s="24" t="n"/>
      <c r="CA390" s="23" t="n"/>
      <c r="CB390" s="23" t="n"/>
    </row>
    <row r="391">
      <c r="A391" s="16">
        <f>IF(C391="","","AYN-"&amp;IFERROR(VLOOKUP(E391,CATEGORY_PREFIX_TABLE,2,FALSE),"OTH")&amp;"-"&amp;TEXT(ROW()-2,"0000"))</f>
        <v/>
      </c>
      <c r="B391" s="17" t="n"/>
      <c r="C391" s="16" t="n"/>
      <c r="D391" s="16" t="n"/>
      <c r="E391" s="16" t="n"/>
      <c r="F391" s="16" t="n"/>
      <c r="G391" s="16" t="n"/>
      <c r="H391" s="16" t="n"/>
      <c r="I391" s="16" t="n"/>
      <c r="J391" s="16" t="n"/>
      <c r="K391" s="18">
        <f>IF(I391="","",IF(J391="BDT",I391,IF(J391="USD",I391*USD_BDT,IF(J391="RMB",I391*RMB_BDT,""))))</f>
        <v/>
      </c>
      <c r="L391" s="18" t="n"/>
      <c r="M391" s="19" t="n"/>
      <c r="N391" s="18" t="n"/>
      <c r="O391" s="18">
        <f>IF(K391="","",K391+IFERROR(L391,0)+(K391*IF(M391="",CUSTOMS_PCT,M391))+IF(N391="",MISC_FEE,N391))</f>
        <v/>
      </c>
      <c r="P391" s="18">
        <f>IF(O391="","",ROUND(O391*(1+MARKUP_PCT),-1)-1)</f>
        <v/>
      </c>
      <c r="Q391" s="18">
        <f>IF(P391="","",P391-O391)</f>
        <v/>
      </c>
      <c r="R391" s="19">
        <f>IF(OR(P391="",P391=0),"",Q391/P391)</f>
        <v/>
      </c>
      <c r="S391" s="16" t="n"/>
      <c r="T391" s="16" t="n"/>
      <c r="U391" s="16" t="n"/>
      <c r="V391" s="16" t="n"/>
      <c r="W391" s="16" t="n"/>
      <c r="X391" s="16" t="n"/>
      <c r="Y391" s="16" t="n"/>
      <c r="Z391" s="16" t="n"/>
      <c r="AA391" s="16" t="n"/>
      <c r="AB391" s="16" t="n"/>
      <c r="AC391" s="20">
        <f>IF(COUNT(S391:AB391)&lt;10,"",(S391*W_FEMININE+T391*W_TREND+U391*W_AESTHETIC+V391*W_STYLE+W391*W_LIGHT+X391*W_REELS+Y391*W_GIFT+Z391*W_PRICEFIT+AA391*W_DEMAND+AB391*W_QUALITY)/5*100)</f>
        <v/>
      </c>
      <c r="AD391" s="16">
        <f>IF(P391="","",IF(P391&gt;HARD_REJECT_PRICE,"Reject",IF(P391&gt;MAX_PRICE,"Price Review",IF(AC391="","",IF(AND(AC391&gt;=BUY_THRESHOLD,OR(AB391&lt;=2,U391&lt;=2)),"Maybe",IF(AC391&gt;=BUY_THRESHOLD,"Buy",IF(AC391&gt;=MAYBE_THRESHOLD,"Maybe","Reject")))))))</f>
        <v/>
      </c>
      <c r="AE391" s="16" t="n"/>
      <c r="AF391" s="16" t="n"/>
      <c r="AG391" s="16" t="n"/>
      <c r="AH391" s="16" t="n"/>
      <c r="AI391" s="17" t="n"/>
      <c r="AJ391">
        <f>IF(AC391="",-9999-ROW()*0.0000001,AC391-ROW()*0.0000001)</f>
        <v/>
      </c>
      <c r="AK391">
        <f>IF(OR(AC391="",P391="",P391&gt;MAX_PRICE),-9999-ROW()*0.0000001,AC391-ROW()*0.0000001)</f>
        <v/>
      </c>
      <c r="AL391">
        <f>IF(AC391="",-9999-ROW()*0.0000001,X391*1000+AC391-ROW()*0.0000001)</f>
        <v/>
      </c>
      <c r="AM391">
        <f>IF(AC391="",-9999-ROW()*0.0000001,Y391*1000+AC391-ROW()*0.0000001)</f>
        <v/>
      </c>
      <c r="AN391">
        <f>IF(AND(OR(AD391="Maybe",AD391="Price Review"),AG391&lt;&gt;"Approved",AG391&lt;&gt;"Rejected"),IF(AC391="",0,AC391)-ROW()*0.0000001,-9999-ROW()*0.0000001)</f>
        <v/>
      </c>
      <c r="AO391" s="21" t="n"/>
      <c r="AP391" s="21" t="n"/>
      <c r="AQ391" s="22" t="n"/>
      <c r="AR391" s="22" t="n"/>
      <c r="AS391" s="16" t="n"/>
      <c r="AT391" s="22" t="n"/>
      <c r="AU391" s="22" t="n"/>
      <c r="AV391" s="22" t="n"/>
      <c r="AW391" s="18">
        <f>IF(OR(O391="",AV391=""),"",O391*AV391)</f>
        <v/>
      </c>
      <c r="AX391" s="16" t="n"/>
      <c r="AY391" s="16" t="n"/>
      <c r="AZ391" s="16" t="n"/>
      <c r="BA391" s="16" t="n"/>
      <c r="BB391" s="16" t="n"/>
      <c r="BC391" s="18" t="n"/>
      <c r="BD391" s="16" t="n"/>
      <c r="BE391" s="16">
        <f>IF(C391="","",IF(AND(ISNUMBER(P391),P391&gt;MAX_PRICE),"Price too high",IF(AND(ISNUMBER(AB391),AB391&lt;=2),"Quality risk",IF(AND(ISNUMBER(U391),U391&lt;=2),"Aesthetic mismatch",IF(AY391="High","Too fragile",IF(AND(ISNUMBER(R391),R391&lt;LOW_PROFIT_PCT),"Low profit",IF(AND(ISNUMBER(AT391),AT391&gt;MOQ_WARNING),"MOQ too high",IF(OR(AD391="Maybe",AD391="Price Review"),"Needs partner review",IF(AD391="Buy","Good candidate","")))))))))</f>
        <v/>
      </c>
      <c r="BF391" s="16" t="n"/>
      <c r="BG391" s="16" t="n"/>
      <c r="BH391" s="16" t="n"/>
      <c r="BI391" s="16" t="n"/>
      <c r="BJ391" s="16" t="n"/>
      <c r="BK391" s="16" t="n"/>
      <c r="BL391" s="16">
        <f>IF(C391="","",IF(AND(BG391="Yes",BH391="Yes",BI391="Yes",BJ391="Yes",BK391="Yes"),"Yes","No"))</f>
        <v/>
      </c>
      <c r="BM391" s="18" t="n"/>
      <c r="BN391" s="18" t="n"/>
      <c r="BO391" s="18">
        <f>IF(OR(BM391="",BN391=""),"",BM391+BN391)</f>
        <v/>
      </c>
      <c r="BP391" s="18" t="n"/>
      <c r="BQ391" s="18">
        <f>IF(OR(BP391="",BO391=""),"",BP391-BO391)</f>
        <v/>
      </c>
      <c r="BR391" s="19">
        <f>IF(OR(BP391="",BP391=0,BQ391=""),"",BQ391/BP391)</f>
        <v/>
      </c>
      <c r="BS391" s="17" t="n"/>
      <c r="BT391" s="22" t="n"/>
      <c r="BU391" s="22" t="n"/>
      <c r="BV391" s="16" t="n"/>
      <c r="BW391" s="16" t="n"/>
      <c r="BX391" s="22">
        <f>IF(OR(BT391="",BU391=""),"",BT391-BU391)</f>
        <v/>
      </c>
      <c r="BY391" s="16" t="n"/>
      <c r="BZ391" s="17" t="n"/>
      <c r="CA391" s="16" t="n"/>
      <c r="CB391" s="16" t="n"/>
    </row>
    <row r="392">
      <c r="A392" s="23">
        <f>IF(C392="","","AYN-"&amp;IFERROR(VLOOKUP(E392,CATEGORY_PREFIX_TABLE,2,FALSE),"OTH")&amp;"-"&amp;TEXT(ROW()-2,"0000"))</f>
        <v/>
      </c>
      <c r="B392" s="24" t="n"/>
      <c r="C392" s="23" t="n"/>
      <c r="D392" s="23" t="n"/>
      <c r="E392" s="23" t="n"/>
      <c r="F392" s="23" t="n"/>
      <c r="G392" s="23" t="n"/>
      <c r="H392" s="23" t="n"/>
      <c r="I392" s="23" t="n"/>
      <c r="J392" s="23" t="n"/>
      <c r="K392" s="25">
        <f>IF(I392="","",IF(J392="BDT",I392,IF(J392="USD",I392*USD_BDT,IF(J392="RMB",I392*RMB_BDT,""))))</f>
        <v/>
      </c>
      <c r="L392" s="25" t="n"/>
      <c r="M392" s="26" t="n"/>
      <c r="N392" s="25" t="n"/>
      <c r="O392" s="25">
        <f>IF(K392="","",K392+IFERROR(L392,0)+(K392*IF(M392="",CUSTOMS_PCT,M392))+IF(N392="",MISC_FEE,N392))</f>
        <v/>
      </c>
      <c r="P392" s="25">
        <f>IF(O392="","",ROUND(O392*(1+MARKUP_PCT),-1)-1)</f>
        <v/>
      </c>
      <c r="Q392" s="25">
        <f>IF(P392="","",P392-O392)</f>
        <v/>
      </c>
      <c r="R392" s="26">
        <f>IF(OR(P392="",P392=0),"",Q392/P392)</f>
        <v/>
      </c>
      <c r="S392" s="23" t="n"/>
      <c r="T392" s="23" t="n"/>
      <c r="U392" s="23" t="n"/>
      <c r="V392" s="23" t="n"/>
      <c r="W392" s="23" t="n"/>
      <c r="X392" s="23" t="n"/>
      <c r="Y392" s="23" t="n"/>
      <c r="Z392" s="23" t="n"/>
      <c r="AA392" s="23" t="n"/>
      <c r="AB392" s="23" t="n"/>
      <c r="AC392" s="27">
        <f>IF(COUNT(S392:AB392)&lt;10,"",(S392*W_FEMININE+T392*W_TREND+U392*W_AESTHETIC+V392*W_STYLE+W392*W_LIGHT+X392*W_REELS+Y392*W_GIFT+Z392*W_PRICEFIT+AA392*W_DEMAND+AB392*W_QUALITY)/5*100)</f>
        <v/>
      </c>
      <c r="AD392" s="23">
        <f>IF(P392="","",IF(P392&gt;HARD_REJECT_PRICE,"Reject",IF(P392&gt;MAX_PRICE,"Price Review",IF(AC392="","",IF(AND(AC392&gt;=BUY_THRESHOLD,OR(AB392&lt;=2,U392&lt;=2)),"Maybe",IF(AC392&gt;=BUY_THRESHOLD,"Buy",IF(AC392&gt;=MAYBE_THRESHOLD,"Maybe","Reject")))))))</f>
        <v/>
      </c>
      <c r="AE392" s="23" t="n"/>
      <c r="AF392" s="23" t="n"/>
      <c r="AG392" s="23" t="n"/>
      <c r="AH392" s="23" t="n"/>
      <c r="AI392" s="24" t="n"/>
      <c r="AJ392">
        <f>IF(AC392="",-9999-ROW()*0.0000001,AC392-ROW()*0.0000001)</f>
        <v/>
      </c>
      <c r="AK392">
        <f>IF(OR(AC392="",P392="",P392&gt;MAX_PRICE),-9999-ROW()*0.0000001,AC392-ROW()*0.0000001)</f>
        <v/>
      </c>
      <c r="AL392">
        <f>IF(AC392="",-9999-ROW()*0.0000001,X392*1000+AC392-ROW()*0.0000001)</f>
        <v/>
      </c>
      <c r="AM392">
        <f>IF(AC392="",-9999-ROW()*0.0000001,Y392*1000+AC392-ROW()*0.0000001)</f>
        <v/>
      </c>
      <c r="AN392">
        <f>IF(AND(OR(AD392="Maybe",AD392="Price Review"),AG392&lt;&gt;"Approved",AG392&lt;&gt;"Rejected"),IF(AC392="",0,AC392)-ROW()*0.0000001,-9999-ROW()*0.0000001)</f>
        <v/>
      </c>
      <c r="AO392" s="28" t="n"/>
      <c r="AP392" s="28" t="n"/>
      <c r="AQ392" s="29" t="n"/>
      <c r="AR392" s="29" t="n"/>
      <c r="AS392" s="23" t="n"/>
      <c r="AT392" s="29" t="n"/>
      <c r="AU392" s="29" t="n"/>
      <c r="AV392" s="29" t="n"/>
      <c r="AW392" s="25">
        <f>IF(OR(O392="",AV392=""),"",O392*AV392)</f>
        <v/>
      </c>
      <c r="AX392" s="23" t="n"/>
      <c r="AY392" s="23" t="n"/>
      <c r="AZ392" s="23" t="n"/>
      <c r="BA392" s="23" t="n"/>
      <c r="BB392" s="23" t="n"/>
      <c r="BC392" s="25" t="n"/>
      <c r="BD392" s="23" t="n"/>
      <c r="BE392" s="23">
        <f>IF(C392="","",IF(AND(ISNUMBER(P392),P392&gt;MAX_PRICE),"Price too high",IF(AND(ISNUMBER(AB392),AB392&lt;=2),"Quality risk",IF(AND(ISNUMBER(U392),U392&lt;=2),"Aesthetic mismatch",IF(AY392="High","Too fragile",IF(AND(ISNUMBER(R392),R392&lt;LOW_PROFIT_PCT),"Low profit",IF(AND(ISNUMBER(AT392),AT392&gt;MOQ_WARNING),"MOQ too high",IF(OR(AD392="Maybe",AD392="Price Review"),"Needs partner review",IF(AD392="Buy","Good candidate","")))))))))</f>
        <v/>
      </c>
      <c r="BF392" s="23" t="n"/>
      <c r="BG392" s="23" t="n"/>
      <c r="BH392" s="23" t="n"/>
      <c r="BI392" s="23" t="n"/>
      <c r="BJ392" s="23" t="n"/>
      <c r="BK392" s="23" t="n"/>
      <c r="BL392" s="23">
        <f>IF(C392="","",IF(AND(BG392="Yes",BH392="Yes",BI392="Yes",BJ392="Yes",BK392="Yes"),"Yes","No"))</f>
        <v/>
      </c>
      <c r="BM392" s="25" t="n"/>
      <c r="BN392" s="25" t="n"/>
      <c r="BO392" s="25">
        <f>IF(OR(BM392="",BN392=""),"",BM392+BN392)</f>
        <v/>
      </c>
      <c r="BP392" s="25" t="n"/>
      <c r="BQ392" s="25">
        <f>IF(OR(BP392="",BO392=""),"",BP392-BO392)</f>
        <v/>
      </c>
      <c r="BR392" s="26">
        <f>IF(OR(BP392="",BP392=0,BQ392=""),"",BQ392/BP392)</f>
        <v/>
      </c>
      <c r="BS392" s="24" t="n"/>
      <c r="BT392" s="29" t="n"/>
      <c r="BU392" s="29" t="n"/>
      <c r="BV392" s="23" t="n"/>
      <c r="BW392" s="23" t="n"/>
      <c r="BX392" s="29">
        <f>IF(OR(BT392="",BU392=""),"",BT392-BU392)</f>
        <v/>
      </c>
      <c r="BY392" s="23" t="n"/>
      <c r="BZ392" s="24" t="n"/>
      <c r="CA392" s="23" t="n"/>
      <c r="CB392" s="23" t="n"/>
    </row>
    <row r="393">
      <c r="A393" s="16">
        <f>IF(C393="","","AYN-"&amp;IFERROR(VLOOKUP(E393,CATEGORY_PREFIX_TABLE,2,FALSE),"OTH")&amp;"-"&amp;TEXT(ROW()-2,"0000"))</f>
        <v/>
      </c>
      <c r="B393" s="17" t="n"/>
      <c r="C393" s="16" t="n"/>
      <c r="D393" s="16" t="n"/>
      <c r="E393" s="16" t="n"/>
      <c r="F393" s="16" t="n"/>
      <c r="G393" s="16" t="n"/>
      <c r="H393" s="16" t="n"/>
      <c r="I393" s="16" t="n"/>
      <c r="J393" s="16" t="n"/>
      <c r="K393" s="18">
        <f>IF(I393="","",IF(J393="BDT",I393,IF(J393="USD",I393*USD_BDT,IF(J393="RMB",I393*RMB_BDT,""))))</f>
        <v/>
      </c>
      <c r="L393" s="18" t="n"/>
      <c r="M393" s="19" t="n"/>
      <c r="N393" s="18" t="n"/>
      <c r="O393" s="18">
        <f>IF(K393="","",K393+IFERROR(L393,0)+(K393*IF(M393="",CUSTOMS_PCT,M393))+IF(N393="",MISC_FEE,N393))</f>
        <v/>
      </c>
      <c r="P393" s="18">
        <f>IF(O393="","",ROUND(O393*(1+MARKUP_PCT),-1)-1)</f>
        <v/>
      </c>
      <c r="Q393" s="18">
        <f>IF(P393="","",P393-O393)</f>
        <v/>
      </c>
      <c r="R393" s="19">
        <f>IF(OR(P393="",P393=0),"",Q393/P393)</f>
        <v/>
      </c>
      <c r="S393" s="16" t="n"/>
      <c r="T393" s="16" t="n"/>
      <c r="U393" s="16" t="n"/>
      <c r="V393" s="16" t="n"/>
      <c r="W393" s="16" t="n"/>
      <c r="X393" s="16" t="n"/>
      <c r="Y393" s="16" t="n"/>
      <c r="Z393" s="16" t="n"/>
      <c r="AA393" s="16" t="n"/>
      <c r="AB393" s="16" t="n"/>
      <c r="AC393" s="20">
        <f>IF(COUNT(S393:AB393)&lt;10,"",(S393*W_FEMININE+T393*W_TREND+U393*W_AESTHETIC+V393*W_STYLE+W393*W_LIGHT+X393*W_REELS+Y393*W_GIFT+Z393*W_PRICEFIT+AA393*W_DEMAND+AB393*W_QUALITY)/5*100)</f>
        <v/>
      </c>
      <c r="AD393" s="16">
        <f>IF(P393="","",IF(P393&gt;HARD_REJECT_PRICE,"Reject",IF(P393&gt;MAX_PRICE,"Price Review",IF(AC393="","",IF(AND(AC393&gt;=BUY_THRESHOLD,OR(AB393&lt;=2,U393&lt;=2)),"Maybe",IF(AC393&gt;=BUY_THRESHOLD,"Buy",IF(AC393&gt;=MAYBE_THRESHOLD,"Maybe","Reject")))))))</f>
        <v/>
      </c>
      <c r="AE393" s="16" t="n"/>
      <c r="AF393" s="16" t="n"/>
      <c r="AG393" s="16" t="n"/>
      <c r="AH393" s="16" t="n"/>
      <c r="AI393" s="17" t="n"/>
      <c r="AJ393">
        <f>IF(AC393="",-9999-ROW()*0.0000001,AC393-ROW()*0.0000001)</f>
        <v/>
      </c>
      <c r="AK393">
        <f>IF(OR(AC393="",P393="",P393&gt;MAX_PRICE),-9999-ROW()*0.0000001,AC393-ROW()*0.0000001)</f>
        <v/>
      </c>
      <c r="AL393">
        <f>IF(AC393="",-9999-ROW()*0.0000001,X393*1000+AC393-ROW()*0.0000001)</f>
        <v/>
      </c>
      <c r="AM393">
        <f>IF(AC393="",-9999-ROW()*0.0000001,Y393*1000+AC393-ROW()*0.0000001)</f>
        <v/>
      </c>
      <c r="AN393">
        <f>IF(AND(OR(AD393="Maybe",AD393="Price Review"),AG393&lt;&gt;"Approved",AG393&lt;&gt;"Rejected"),IF(AC393="",0,AC393)-ROW()*0.0000001,-9999-ROW()*0.0000001)</f>
        <v/>
      </c>
      <c r="AO393" s="21" t="n"/>
      <c r="AP393" s="21" t="n"/>
      <c r="AQ393" s="22" t="n"/>
      <c r="AR393" s="22" t="n"/>
      <c r="AS393" s="16" t="n"/>
      <c r="AT393" s="22" t="n"/>
      <c r="AU393" s="22" t="n"/>
      <c r="AV393" s="22" t="n"/>
      <c r="AW393" s="18">
        <f>IF(OR(O393="",AV393=""),"",O393*AV393)</f>
        <v/>
      </c>
      <c r="AX393" s="16" t="n"/>
      <c r="AY393" s="16" t="n"/>
      <c r="AZ393" s="16" t="n"/>
      <c r="BA393" s="16" t="n"/>
      <c r="BB393" s="16" t="n"/>
      <c r="BC393" s="18" t="n"/>
      <c r="BD393" s="16" t="n"/>
      <c r="BE393" s="16">
        <f>IF(C393="","",IF(AND(ISNUMBER(P393),P393&gt;MAX_PRICE),"Price too high",IF(AND(ISNUMBER(AB393),AB393&lt;=2),"Quality risk",IF(AND(ISNUMBER(U393),U393&lt;=2),"Aesthetic mismatch",IF(AY393="High","Too fragile",IF(AND(ISNUMBER(R393),R393&lt;LOW_PROFIT_PCT),"Low profit",IF(AND(ISNUMBER(AT393),AT393&gt;MOQ_WARNING),"MOQ too high",IF(OR(AD393="Maybe",AD393="Price Review"),"Needs partner review",IF(AD393="Buy","Good candidate","")))))))))</f>
        <v/>
      </c>
      <c r="BF393" s="16" t="n"/>
      <c r="BG393" s="16" t="n"/>
      <c r="BH393" s="16" t="n"/>
      <c r="BI393" s="16" t="n"/>
      <c r="BJ393" s="16" t="n"/>
      <c r="BK393" s="16" t="n"/>
      <c r="BL393" s="16">
        <f>IF(C393="","",IF(AND(BG393="Yes",BH393="Yes",BI393="Yes",BJ393="Yes",BK393="Yes"),"Yes","No"))</f>
        <v/>
      </c>
      <c r="BM393" s="18" t="n"/>
      <c r="BN393" s="18" t="n"/>
      <c r="BO393" s="18">
        <f>IF(OR(BM393="",BN393=""),"",BM393+BN393)</f>
        <v/>
      </c>
      <c r="BP393" s="18" t="n"/>
      <c r="BQ393" s="18">
        <f>IF(OR(BP393="",BO393=""),"",BP393-BO393)</f>
        <v/>
      </c>
      <c r="BR393" s="19">
        <f>IF(OR(BP393="",BP393=0,BQ393=""),"",BQ393/BP393)</f>
        <v/>
      </c>
      <c r="BS393" s="17" t="n"/>
      <c r="BT393" s="22" t="n"/>
      <c r="BU393" s="22" t="n"/>
      <c r="BV393" s="16" t="n"/>
      <c r="BW393" s="16" t="n"/>
      <c r="BX393" s="22">
        <f>IF(OR(BT393="",BU393=""),"",BT393-BU393)</f>
        <v/>
      </c>
      <c r="BY393" s="16" t="n"/>
      <c r="BZ393" s="17" t="n"/>
      <c r="CA393" s="16" t="n"/>
      <c r="CB393" s="16" t="n"/>
    </row>
    <row r="394">
      <c r="A394" s="23">
        <f>IF(C394="","","AYN-"&amp;IFERROR(VLOOKUP(E394,CATEGORY_PREFIX_TABLE,2,FALSE),"OTH")&amp;"-"&amp;TEXT(ROW()-2,"0000"))</f>
        <v/>
      </c>
      <c r="B394" s="24" t="n"/>
      <c r="C394" s="23" t="n"/>
      <c r="D394" s="23" t="n"/>
      <c r="E394" s="23" t="n"/>
      <c r="F394" s="23" t="n"/>
      <c r="G394" s="23" t="n"/>
      <c r="H394" s="23" t="n"/>
      <c r="I394" s="23" t="n"/>
      <c r="J394" s="23" t="n"/>
      <c r="K394" s="25">
        <f>IF(I394="","",IF(J394="BDT",I394,IF(J394="USD",I394*USD_BDT,IF(J394="RMB",I394*RMB_BDT,""))))</f>
        <v/>
      </c>
      <c r="L394" s="25" t="n"/>
      <c r="M394" s="26" t="n"/>
      <c r="N394" s="25" t="n"/>
      <c r="O394" s="25">
        <f>IF(K394="","",K394+IFERROR(L394,0)+(K394*IF(M394="",CUSTOMS_PCT,M394))+IF(N394="",MISC_FEE,N394))</f>
        <v/>
      </c>
      <c r="P394" s="25">
        <f>IF(O394="","",ROUND(O394*(1+MARKUP_PCT),-1)-1)</f>
        <v/>
      </c>
      <c r="Q394" s="25">
        <f>IF(P394="","",P394-O394)</f>
        <v/>
      </c>
      <c r="R394" s="26">
        <f>IF(OR(P394="",P394=0),"",Q394/P394)</f>
        <v/>
      </c>
      <c r="S394" s="23" t="n"/>
      <c r="T394" s="23" t="n"/>
      <c r="U394" s="23" t="n"/>
      <c r="V394" s="23" t="n"/>
      <c r="W394" s="23" t="n"/>
      <c r="X394" s="23" t="n"/>
      <c r="Y394" s="23" t="n"/>
      <c r="Z394" s="23" t="n"/>
      <c r="AA394" s="23" t="n"/>
      <c r="AB394" s="23" t="n"/>
      <c r="AC394" s="27">
        <f>IF(COUNT(S394:AB394)&lt;10,"",(S394*W_FEMININE+T394*W_TREND+U394*W_AESTHETIC+V394*W_STYLE+W394*W_LIGHT+X394*W_REELS+Y394*W_GIFT+Z394*W_PRICEFIT+AA394*W_DEMAND+AB394*W_QUALITY)/5*100)</f>
        <v/>
      </c>
      <c r="AD394" s="23">
        <f>IF(P394="","",IF(P394&gt;HARD_REJECT_PRICE,"Reject",IF(P394&gt;MAX_PRICE,"Price Review",IF(AC394="","",IF(AND(AC394&gt;=BUY_THRESHOLD,OR(AB394&lt;=2,U394&lt;=2)),"Maybe",IF(AC394&gt;=BUY_THRESHOLD,"Buy",IF(AC394&gt;=MAYBE_THRESHOLD,"Maybe","Reject")))))))</f>
        <v/>
      </c>
      <c r="AE394" s="23" t="n"/>
      <c r="AF394" s="23" t="n"/>
      <c r="AG394" s="23" t="n"/>
      <c r="AH394" s="23" t="n"/>
      <c r="AI394" s="24" t="n"/>
      <c r="AJ394">
        <f>IF(AC394="",-9999-ROW()*0.0000001,AC394-ROW()*0.0000001)</f>
        <v/>
      </c>
      <c r="AK394">
        <f>IF(OR(AC394="",P394="",P394&gt;MAX_PRICE),-9999-ROW()*0.0000001,AC394-ROW()*0.0000001)</f>
        <v/>
      </c>
      <c r="AL394">
        <f>IF(AC394="",-9999-ROW()*0.0000001,X394*1000+AC394-ROW()*0.0000001)</f>
        <v/>
      </c>
      <c r="AM394">
        <f>IF(AC394="",-9999-ROW()*0.0000001,Y394*1000+AC394-ROW()*0.0000001)</f>
        <v/>
      </c>
      <c r="AN394">
        <f>IF(AND(OR(AD394="Maybe",AD394="Price Review"),AG394&lt;&gt;"Approved",AG394&lt;&gt;"Rejected"),IF(AC394="",0,AC394)-ROW()*0.0000001,-9999-ROW()*0.0000001)</f>
        <v/>
      </c>
      <c r="AO394" s="28" t="n"/>
      <c r="AP394" s="28" t="n"/>
      <c r="AQ394" s="29" t="n"/>
      <c r="AR394" s="29" t="n"/>
      <c r="AS394" s="23" t="n"/>
      <c r="AT394" s="29" t="n"/>
      <c r="AU394" s="29" t="n"/>
      <c r="AV394" s="29" t="n"/>
      <c r="AW394" s="25">
        <f>IF(OR(O394="",AV394=""),"",O394*AV394)</f>
        <v/>
      </c>
      <c r="AX394" s="23" t="n"/>
      <c r="AY394" s="23" t="n"/>
      <c r="AZ394" s="23" t="n"/>
      <c r="BA394" s="23" t="n"/>
      <c r="BB394" s="23" t="n"/>
      <c r="BC394" s="25" t="n"/>
      <c r="BD394" s="23" t="n"/>
      <c r="BE394" s="23">
        <f>IF(C394="","",IF(AND(ISNUMBER(P394),P394&gt;MAX_PRICE),"Price too high",IF(AND(ISNUMBER(AB394),AB394&lt;=2),"Quality risk",IF(AND(ISNUMBER(U394),U394&lt;=2),"Aesthetic mismatch",IF(AY394="High","Too fragile",IF(AND(ISNUMBER(R394),R394&lt;LOW_PROFIT_PCT),"Low profit",IF(AND(ISNUMBER(AT394),AT394&gt;MOQ_WARNING),"MOQ too high",IF(OR(AD394="Maybe",AD394="Price Review"),"Needs partner review",IF(AD394="Buy","Good candidate","")))))))))</f>
        <v/>
      </c>
      <c r="BF394" s="23" t="n"/>
      <c r="BG394" s="23" t="n"/>
      <c r="BH394" s="23" t="n"/>
      <c r="BI394" s="23" t="n"/>
      <c r="BJ394" s="23" t="n"/>
      <c r="BK394" s="23" t="n"/>
      <c r="BL394" s="23">
        <f>IF(C394="","",IF(AND(BG394="Yes",BH394="Yes",BI394="Yes",BJ394="Yes",BK394="Yes"),"Yes","No"))</f>
        <v/>
      </c>
      <c r="BM394" s="25" t="n"/>
      <c r="BN394" s="25" t="n"/>
      <c r="BO394" s="25">
        <f>IF(OR(BM394="",BN394=""),"",BM394+BN394)</f>
        <v/>
      </c>
      <c r="BP394" s="25" t="n"/>
      <c r="BQ394" s="25">
        <f>IF(OR(BP394="",BO394=""),"",BP394-BO394)</f>
        <v/>
      </c>
      <c r="BR394" s="26">
        <f>IF(OR(BP394="",BP394=0,BQ394=""),"",BQ394/BP394)</f>
        <v/>
      </c>
      <c r="BS394" s="24" t="n"/>
      <c r="BT394" s="29" t="n"/>
      <c r="BU394" s="29" t="n"/>
      <c r="BV394" s="23" t="n"/>
      <c r="BW394" s="23" t="n"/>
      <c r="BX394" s="29">
        <f>IF(OR(BT394="",BU394=""),"",BT394-BU394)</f>
        <v/>
      </c>
      <c r="BY394" s="23" t="n"/>
      <c r="BZ394" s="24" t="n"/>
      <c r="CA394" s="23" t="n"/>
      <c r="CB394" s="23" t="n"/>
    </row>
    <row r="395">
      <c r="A395" s="16">
        <f>IF(C395="","","AYN-"&amp;IFERROR(VLOOKUP(E395,CATEGORY_PREFIX_TABLE,2,FALSE),"OTH")&amp;"-"&amp;TEXT(ROW()-2,"0000"))</f>
        <v/>
      </c>
      <c r="B395" s="17" t="n"/>
      <c r="C395" s="16" t="n"/>
      <c r="D395" s="16" t="n"/>
      <c r="E395" s="16" t="n"/>
      <c r="F395" s="16" t="n"/>
      <c r="G395" s="16" t="n"/>
      <c r="H395" s="16" t="n"/>
      <c r="I395" s="16" t="n"/>
      <c r="J395" s="16" t="n"/>
      <c r="K395" s="18">
        <f>IF(I395="","",IF(J395="BDT",I395,IF(J395="USD",I395*USD_BDT,IF(J395="RMB",I395*RMB_BDT,""))))</f>
        <v/>
      </c>
      <c r="L395" s="18" t="n"/>
      <c r="M395" s="19" t="n"/>
      <c r="N395" s="18" t="n"/>
      <c r="O395" s="18">
        <f>IF(K395="","",K395+IFERROR(L395,0)+(K395*IF(M395="",CUSTOMS_PCT,M395))+IF(N395="",MISC_FEE,N395))</f>
        <v/>
      </c>
      <c r="P395" s="18">
        <f>IF(O395="","",ROUND(O395*(1+MARKUP_PCT),-1)-1)</f>
        <v/>
      </c>
      <c r="Q395" s="18">
        <f>IF(P395="","",P395-O395)</f>
        <v/>
      </c>
      <c r="R395" s="19">
        <f>IF(OR(P395="",P395=0),"",Q395/P395)</f>
        <v/>
      </c>
      <c r="S395" s="16" t="n"/>
      <c r="T395" s="16" t="n"/>
      <c r="U395" s="16" t="n"/>
      <c r="V395" s="16" t="n"/>
      <c r="W395" s="16" t="n"/>
      <c r="X395" s="16" t="n"/>
      <c r="Y395" s="16" t="n"/>
      <c r="Z395" s="16" t="n"/>
      <c r="AA395" s="16" t="n"/>
      <c r="AB395" s="16" t="n"/>
      <c r="AC395" s="20">
        <f>IF(COUNT(S395:AB395)&lt;10,"",(S395*W_FEMININE+T395*W_TREND+U395*W_AESTHETIC+V395*W_STYLE+W395*W_LIGHT+X395*W_REELS+Y395*W_GIFT+Z395*W_PRICEFIT+AA395*W_DEMAND+AB395*W_QUALITY)/5*100)</f>
        <v/>
      </c>
      <c r="AD395" s="16">
        <f>IF(P395="","",IF(P395&gt;HARD_REJECT_PRICE,"Reject",IF(P395&gt;MAX_PRICE,"Price Review",IF(AC395="","",IF(AND(AC395&gt;=BUY_THRESHOLD,OR(AB395&lt;=2,U395&lt;=2)),"Maybe",IF(AC395&gt;=BUY_THRESHOLD,"Buy",IF(AC395&gt;=MAYBE_THRESHOLD,"Maybe","Reject")))))))</f>
        <v/>
      </c>
      <c r="AE395" s="16" t="n"/>
      <c r="AF395" s="16" t="n"/>
      <c r="AG395" s="16" t="n"/>
      <c r="AH395" s="16" t="n"/>
      <c r="AI395" s="17" t="n"/>
      <c r="AJ395">
        <f>IF(AC395="",-9999-ROW()*0.0000001,AC395-ROW()*0.0000001)</f>
        <v/>
      </c>
      <c r="AK395">
        <f>IF(OR(AC395="",P395="",P395&gt;MAX_PRICE),-9999-ROW()*0.0000001,AC395-ROW()*0.0000001)</f>
        <v/>
      </c>
      <c r="AL395">
        <f>IF(AC395="",-9999-ROW()*0.0000001,X395*1000+AC395-ROW()*0.0000001)</f>
        <v/>
      </c>
      <c r="AM395">
        <f>IF(AC395="",-9999-ROW()*0.0000001,Y395*1000+AC395-ROW()*0.0000001)</f>
        <v/>
      </c>
      <c r="AN395">
        <f>IF(AND(OR(AD395="Maybe",AD395="Price Review"),AG395&lt;&gt;"Approved",AG395&lt;&gt;"Rejected"),IF(AC395="",0,AC395)-ROW()*0.0000001,-9999-ROW()*0.0000001)</f>
        <v/>
      </c>
      <c r="AO395" s="21" t="n"/>
      <c r="AP395" s="21" t="n"/>
      <c r="AQ395" s="22" t="n"/>
      <c r="AR395" s="22" t="n"/>
      <c r="AS395" s="16" t="n"/>
      <c r="AT395" s="22" t="n"/>
      <c r="AU395" s="22" t="n"/>
      <c r="AV395" s="22" t="n"/>
      <c r="AW395" s="18">
        <f>IF(OR(O395="",AV395=""),"",O395*AV395)</f>
        <v/>
      </c>
      <c r="AX395" s="16" t="n"/>
      <c r="AY395" s="16" t="n"/>
      <c r="AZ395" s="16" t="n"/>
      <c r="BA395" s="16" t="n"/>
      <c r="BB395" s="16" t="n"/>
      <c r="BC395" s="18" t="n"/>
      <c r="BD395" s="16" t="n"/>
      <c r="BE395" s="16">
        <f>IF(C395="","",IF(AND(ISNUMBER(P395),P395&gt;MAX_PRICE),"Price too high",IF(AND(ISNUMBER(AB395),AB395&lt;=2),"Quality risk",IF(AND(ISNUMBER(U395),U395&lt;=2),"Aesthetic mismatch",IF(AY395="High","Too fragile",IF(AND(ISNUMBER(R395),R395&lt;LOW_PROFIT_PCT),"Low profit",IF(AND(ISNUMBER(AT395),AT395&gt;MOQ_WARNING),"MOQ too high",IF(OR(AD395="Maybe",AD395="Price Review"),"Needs partner review",IF(AD395="Buy","Good candidate","")))))))))</f>
        <v/>
      </c>
      <c r="BF395" s="16" t="n"/>
      <c r="BG395" s="16" t="n"/>
      <c r="BH395" s="16" t="n"/>
      <c r="BI395" s="16" t="n"/>
      <c r="BJ395" s="16" t="n"/>
      <c r="BK395" s="16" t="n"/>
      <c r="BL395" s="16">
        <f>IF(C395="","",IF(AND(BG395="Yes",BH395="Yes",BI395="Yes",BJ395="Yes",BK395="Yes"),"Yes","No"))</f>
        <v/>
      </c>
      <c r="BM395" s="18" t="n"/>
      <c r="BN395" s="18" t="n"/>
      <c r="BO395" s="18">
        <f>IF(OR(BM395="",BN395=""),"",BM395+BN395)</f>
        <v/>
      </c>
      <c r="BP395" s="18" t="n"/>
      <c r="BQ395" s="18">
        <f>IF(OR(BP395="",BO395=""),"",BP395-BO395)</f>
        <v/>
      </c>
      <c r="BR395" s="19">
        <f>IF(OR(BP395="",BP395=0,BQ395=""),"",BQ395/BP395)</f>
        <v/>
      </c>
      <c r="BS395" s="17" t="n"/>
      <c r="BT395" s="22" t="n"/>
      <c r="BU395" s="22" t="n"/>
      <c r="BV395" s="16" t="n"/>
      <c r="BW395" s="16" t="n"/>
      <c r="BX395" s="22">
        <f>IF(OR(BT395="",BU395=""),"",BT395-BU395)</f>
        <v/>
      </c>
      <c r="BY395" s="16" t="n"/>
      <c r="BZ395" s="17" t="n"/>
      <c r="CA395" s="16" t="n"/>
      <c r="CB395" s="16" t="n"/>
    </row>
    <row r="396">
      <c r="A396" s="23">
        <f>IF(C396="","","AYN-"&amp;IFERROR(VLOOKUP(E396,CATEGORY_PREFIX_TABLE,2,FALSE),"OTH")&amp;"-"&amp;TEXT(ROW()-2,"0000"))</f>
        <v/>
      </c>
      <c r="B396" s="24" t="n"/>
      <c r="C396" s="23" t="n"/>
      <c r="D396" s="23" t="n"/>
      <c r="E396" s="23" t="n"/>
      <c r="F396" s="23" t="n"/>
      <c r="G396" s="23" t="n"/>
      <c r="H396" s="23" t="n"/>
      <c r="I396" s="23" t="n"/>
      <c r="J396" s="23" t="n"/>
      <c r="K396" s="25">
        <f>IF(I396="","",IF(J396="BDT",I396,IF(J396="USD",I396*USD_BDT,IF(J396="RMB",I396*RMB_BDT,""))))</f>
        <v/>
      </c>
      <c r="L396" s="25" t="n"/>
      <c r="M396" s="26" t="n"/>
      <c r="N396" s="25" t="n"/>
      <c r="O396" s="25">
        <f>IF(K396="","",K396+IFERROR(L396,0)+(K396*IF(M396="",CUSTOMS_PCT,M396))+IF(N396="",MISC_FEE,N396))</f>
        <v/>
      </c>
      <c r="P396" s="25">
        <f>IF(O396="","",ROUND(O396*(1+MARKUP_PCT),-1)-1)</f>
        <v/>
      </c>
      <c r="Q396" s="25">
        <f>IF(P396="","",P396-O396)</f>
        <v/>
      </c>
      <c r="R396" s="26">
        <f>IF(OR(P396="",P396=0),"",Q396/P396)</f>
        <v/>
      </c>
      <c r="S396" s="23" t="n"/>
      <c r="T396" s="23" t="n"/>
      <c r="U396" s="23" t="n"/>
      <c r="V396" s="23" t="n"/>
      <c r="W396" s="23" t="n"/>
      <c r="X396" s="23" t="n"/>
      <c r="Y396" s="23" t="n"/>
      <c r="Z396" s="23" t="n"/>
      <c r="AA396" s="23" t="n"/>
      <c r="AB396" s="23" t="n"/>
      <c r="AC396" s="27">
        <f>IF(COUNT(S396:AB396)&lt;10,"",(S396*W_FEMININE+T396*W_TREND+U396*W_AESTHETIC+V396*W_STYLE+W396*W_LIGHT+X396*W_REELS+Y396*W_GIFT+Z396*W_PRICEFIT+AA396*W_DEMAND+AB396*W_QUALITY)/5*100)</f>
        <v/>
      </c>
      <c r="AD396" s="23">
        <f>IF(P396="","",IF(P396&gt;HARD_REJECT_PRICE,"Reject",IF(P396&gt;MAX_PRICE,"Price Review",IF(AC396="","",IF(AND(AC396&gt;=BUY_THRESHOLD,OR(AB396&lt;=2,U396&lt;=2)),"Maybe",IF(AC396&gt;=BUY_THRESHOLD,"Buy",IF(AC396&gt;=MAYBE_THRESHOLD,"Maybe","Reject")))))))</f>
        <v/>
      </c>
      <c r="AE396" s="23" t="n"/>
      <c r="AF396" s="23" t="n"/>
      <c r="AG396" s="23" t="n"/>
      <c r="AH396" s="23" t="n"/>
      <c r="AI396" s="24" t="n"/>
      <c r="AJ396">
        <f>IF(AC396="",-9999-ROW()*0.0000001,AC396-ROW()*0.0000001)</f>
        <v/>
      </c>
      <c r="AK396">
        <f>IF(OR(AC396="",P396="",P396&gt;MAX_PRICE),-9999-ROW()*0.0000001,AC396-ROW()*0.0000001)</f>
        <v/>
      </c>
      <c r="AL396">
        <f>IF(AC396="",-9999-ROW()*0.0000001,X396*1000+AC396-ROW()*0.0000001)</f>
        <v/>
      </c>
      <c r="AM396">
        <f>IF(AC396="",-9999-ROW()*0.0000001,Y396*1000+AC396-ROW()*0.0000001)</f>
        <v/>
      </c>
      <c r="AN396">
        <f>IF(AND(OR(AD396="Maybe",AD396="Price Review"),AG396&lt;&gt;"Approved",AG396&lt;&gt;"Rejected"),IF(AC396="",0,AC396)-ROW()*0.0000001,-9999-ROW()*0.0000001)</f>
        <v/>
      </c>
      <c r="AO396" s="28" t="n"/>
      <c r="AP396" s="28" t="n"/>
      <c r="AQ396" s="29" t="n"/>
      <c r="AR396" s="29" t="n"/>
      <c r="AS396" s="23" t="n"/>
      <c r="AT396" s="29" t="n"/>
      <c r="AU396" s="29" t="n"/>
      <c r="AV396" s="29" t="n"/>
      <c r="AW396" s="25">
        <f>IF(OR(O396="",AV396=""),"",O396*AV396)</f>
        <v/>
      </c>
      <c r="AX396" s="23" t="n"/>
      <c r="AY396" s="23" t="n"/>
      <c r="AZ396" s="23" t="n"/>
      <c r="BA396" s="23" t="n"/>
      <c r="BB396" s="23" t="n"/>
      <c r="BC396" s="25" t="n"/>
      <c r="BD396" s="23" t="n"/>
      <c r="BE396" s="23">
        <f>IF(C396="","",IF(AND(ISNUMBER(P396),P396&gt;MAX_PRICE),"Price too high",IF(AND(ISNUMBER(AB396),AB396&lt;=2),"Quality risk",IF(AND(ISNUMBER(U396),U396&lt;=2),"Aesthetic mismatch",IF(AY396="High","Too fragile",IF(AND(ISNUMBER(R396),R396&lt;LOW_PROFIT_PCT),"Low profit",IF(AND(ISNUMBER(AT396),AT396&gt;MOQ_WARNING),"MOQ too high",IF(OR(AD396="Maybe",AD396="Price Review"),"Needs partner review",IF(AD396="Buy","Good candidate","")))))))))</f>
        <v/>
      </c>
      <c r="BF396" s="23" t="n"/>
      <c r="BG396" s="23" t="n"/>
      <c r="BH396" s="23" t="n"/>
      <c r="BI396" s="23" t="n"/>
      <c r="BJ396" s="23" t="n"/>
      <c r="BK396" s="23" t="n"/>
      <c r="BL396" s="23">
        <f>IF(C396="","",IF(AND(BG396="Yes",BH396="Yes",BI396="Yes",BJ396="Yes",BK396="Yes"),"Yes","No"))</f>
        <v/>
      </c>
      <c r="BM396" s="25" t="n"/>
      <c r="BN396" s="25" t="n"/>
      <c r="BO396" s="25">
        <f>IF(OR(BM396="",BN396=""),"",BM396+BN396)</f>
        <v/>
      </c>
      <c r="BP396" s="25" t="n"/>
      <c r="BQ396" s="25">
        <f>IF(OR(BP396="",BO396=""),"",BP396-BO396)</f>
        <v/>
      </c>
      <c r="BR396" s="26">
        <f>IF(OR(BP396="",BP396=0,BQ396=""),"",BQ396/BP396)</f>
        <v/>
      </c>
      <c r="BS396" s="24" t="n"/>
      <c r="BT396" s="29" t="n"/>
      <c r="BU396" s="29" t="n"/>
      <c r="BV396" s="23" t="n"/>
      <c r="BW396" s="23" t="n"/>
      <c r="BX396" s="29">
        <f>IF(OR(BT396="",BU396=""),"",BT396-BU396)</f>
        <v/>
      </c>
      <c r="BY396" s="23" t="n"/>
      <c r="BZ396" s="24" t="n"/>
      <c r="CA396" s="23" t="n"/>
      <c r="CB396" s="23" t="n"/>
    </row>
    <row r="397">
      <c r="A397" s="16">
        <f>IF(C397="","","AYN-"&amp;IFERROR(VLOOKUP(E397,CATEGORY_PREFIX_TABLE,2,FALSE),"OTH")&amp;"-"&amp;TEXT(ROW()-2,"0000"))</f>
        <v/>
      </c>
      <c r="B397" s="17" t="n"/>
      <c r="C397" s="16" t="n"/>
      <c r="D397" s="16" t="n"/>
      <c r="E397" s="16" t="n"/>
      <c r="F397" s="16" t="n"/>
      <c r="G397" s="16" t="n"/>
      <c r="H397" s="16" t="n"/>
      <c r="I397" s="16" t="n"/>
      <c r="J397" s="16" t="n"/>
      <c r="K397" s="18">
        <f>IF(I397="","",IF(J397="BDT",I397,IF(J397="USD",I397*USD_BDT,IF(J397="RMB",I397*RMB_BDT,""))))</f>
        <v/>
      </c>
      <c r="L397" s="18" t="n"/>
      <c r="M397" s="19" t="n"/>
      <c r="N397" s="18" t="n"/>
      <c r="O397" s="18">
        <f>IF(K397="","",K397+IFERROR(L397,0)+(K397*IF(M397="",CUSTOMS_PCT,M397))+IF(N397="",MISC_FEE,N397))</f>
        <v/>
      </c>
      <c r="P397" s="18">
        <f>IF(O397="","",ROUND(O397*(1+MARKUP_PCT),-1)-1)</f>
        <v/>
      </c>
      <c r="Q397" s="18">
        <f>IF(P397="","",P397-O397)</f>
        <v/>
      </c>
      <c r="R397" s="19">
        <f>IF(OR(P397="",P397=0),"",Q397/P397)</f>
        <v/>
      </c>
      <c r="S397" s="16" t="n"/>
      <c r="T397" s="16" t="n"/>
      <c r="U397" s="16" t="n"/>
      <c r="V397" s="16" t="n"/>
      <c r="W397" s="16" t="n"/>
      <c r="X397" s="16" t="n"/>
      <c r="Y397" s="16" t="n"/>
      <c r="Z397" s="16" t="n"/>
      <c r="AA397" s="16" t="n"/>
      <c r="AB397" s="16" t="n"/>
      <c r="AC397" s="20">
        <f>IF(COUNT(S397:AB397)&lt;10,"",(S397*W_FEMININE+T397*W_TREND+U397*W_AESTHETIC+V397*W_STYLE+W397*W_LIGHT+X397*W_REELS+Y397*W_GIFT+Z397*W_PRICEFIT+AA397*W_DEMAND+AB397*W_QUALITY)/5*100)</f>
        <v/>
      </c>
      <c r="AD397" s="16">
        <f>IF(P397="","",IF(P397&gt;HARD_REJECT_PRICE,"Reject",IF(P397&gt;MAX_PRICE,"Price Review",IF(AC397="","",IF(AND(AC397&gt;=BUY_THRESHOLD,OR(AB397&lt;=2,U397&lt;=2)),"Maybe",IF(AC397&gt;=BUY_THRESHOLD,"Buy",IF(AC397&gt;=MAYBE_THRESHOLD,"Maybe","Reject")))))))</f>
        <v/>
      </c>
      <c r="AE397" s="16" t="n"/>
      <c r="AF397" s="16" t="n"/>
      <c r="AG397" s="16" t="n"/>
      <c r="AH397" s="16" t="n"/>
      <c r="AI397" s="17" t="n"/>
      <c r="AJ397">
        <f>IF(AC397="",-9999-ROW()*0.0000001,AC397-ROW()*0.0000001)</f>
        <v/>
      </c>
      <c r="AK397">
        <f>IF(OR(AC397="",P397="",P397&gt;MAX_PRICE),-9999-ROW()*0.0000001,AC397-ROW()*0.0000001)</f>
        <v/>
      </c>
      <c r="AL397">
        <f>IF(AC397="",-9999-ROW()*0.0000001,X397*1000+AC397-ROW()*0.0000001)</f>
        <v/>
      </c>
      <c r="AM397">
        <f>IF(AC397="",-9999-ROW()*0.0000001,Y397*1000+AC397-ROW()*0.0000001)</f>
        <v/>
      </c>
      <c r="AN397">
        <f>IF(AND(OR(AD397="Maybe",AD397="Price Review"),AG397&lt;&gt;"Approved",AG397&lt;&gt;"Rejected"),IF(AC397="",0,AC397)-ROW()*0.0000001,-9999-ROW()*0.0000001)</f>
        <v/>
      </c>
      <c r="AO397" s="21" t="n"/>
      <c r="AP397" s="21" t="n"/>
      <c r="AQ397" s="22" t="n"/>
      <c r="AR397" s="22" t="n"/>
      <c r="AS397" s="16" t="n"/>
      <c r="AT397" s="22" t="n"/>
      <c r="AU397" s="22" t="n"/>
      <c r="AV397" s="22" t="n"/>
      <c r="AW397" s="18">
        <f>IF(OR(O397="",AV397=""),"",O397*AV397)</f>
        <v/>
      </c>
      <c r="AX397" s="16" t="n"/>
      <c r="AY397" s="16" t="n"/>
      <c r="AZ397" s="16" t="n"/>
      <c r="BA397" s="16" t="n"/>
      <c r="BB397" s="16" t="n"/>
      <c r="BC397" s="18" t="n"/>
      <c r="BD397" s="16" t="n"/>
      <c r="BE397" s="16">
        <f>IF(C397="","",IF(AND(ISNUMBER(P397),P397&gt;MAX_PRICE),"Price too high",IF(AND(ISNUMBER(AB397),AB397&lt;=2),"Quality risk",IF(AND(ISNUMBER(U397),U397&lt;=2),"Aesthetic mismatch",IF(AY397="High","Too fragile",IF(AND(ISNUMBER(R397),R397&lt;LOW_PROFIT_PCT),"Low profit",IF(AND(ISNUMBER(AT397),AT397&gt;MOQ_WARNING),"MOQ too high",IF(OR(AD397="Maybe",AD397="Price Review"),"Needs partner review",IF(AD397="Buy","Good candidate","")))))))))</f>
        <v/>
      </c>
      <c r="BF397" s="16" t="n"/>
      <c r="BG397" s="16" t="n"/>
      <c r="BH397" s="16" t="n"/>
      <c r="BI397" s="16" t="n"/>
      <c r="BJ397" s="16" t="n"/>
      <c r="BK397" s="16" t="n"/>
      <c r="BL397" s="16">
        <f>IF(C397="","",IF(AND(BG397="Yes",BH397="Yes",BI397="Yes",BJ397="Yes",BK397="Yes"),"Yes","No"))</f>
        <v/>
      </c>
      <c r="BM397" s="18" t="n"/>
      <c r="BN397" s="18" t="n"/>
      <c r="BO397" s="18">
        <f>IF(OR(BM397="",BN397=""),"",BM397+BN397)</f>
        <v/>
      </c>
      <c r="BP397" s="18" t="n"/>
      <c r="BQ397" s="18">
        <f>IF(OR(BP397="",BO397=""),"",BP397-BO397)</f>
        <v/>
      </c>
      <c r="BR397" s="19">
        <f>IF(OR(BP397="",BP397=0,BQ397=""),"",BQ397/BP397)</f>
        <v/>
      </c>
      <c r="BS397" s="17" t="n"/>
      <c r="BT397" s="22" t="n"/>
      <c r="BU397" s="22" t="n"/>
      <c r="BV397" s="16" t="n"/>
      <c r="BW397" s="16" t="n"/>
      <c r="BX397" s="22">
        <f>IF(OR(BT397="",BU397=""),"",BT397-BU397)</f>
        <v/>
      </c>
      <c r="BY397" s="16" t="n"/>
      <c r="BZ397" s="17" t="n"/>
      <c r="CA397" s="16" t="n"/>
      <c r="CB397" s="16" t="n"/>
    </row>
    <row r="398">
      <c r="A398" s="23">
        <f>IF(C398="","","AYN-"&amp;IFERROR(VLOOKUP(E398,CATEGORY_PREFIX_TABLE,2,FALSE),"OTH")&amp;"-"&amp;TEXT(ROW()-2,"0000"))</f>
        <v/>
      </c>
      <c r="B398" s="24" t="n"/>
      <c r="C398" s="23" t="n"/>
      <c r="D398" s="23" t="n"/>
      <c r="E398" s="23" t="n"/>
      <c r="F398" s="23" t="n"/>
      <c r="G398" s="23" t="n"/>
      <c r="H398" s="23" t="n"/>
      <c r="I398" s="23" t="n"/>
      <c r="J398" s="23" t="n"/>
      <c r="K398" s="25">
        <f>IF(I398="","",IF(J398="BDT",I398,IF(J398="USD",I398*USD_BDT,IF(J398="RMB",I398*RMB_BDT,""))))</f>
        <v/>
      </c>
      <c r="L398" s="25" t="n"/>
      <c r="M398" s="26" t="n"/>
      <c r="N398" s="25" t="n"/>
      <c r="O398" s="25">
        <f>IF(K398="","",K398+IFERROR(L398,0)+(K398*IF(M398="",CUSTOMS_PCT,M398))+IF(N398="",MISC_FEE,N398))</f>
        <v/>
      </c>
      <c r="P398" s="25">
        <f>IF(O398="","",ROUND(O398*(1+MARKUP_PCT),-1)-1)</f>
        <v/>
      </c>
      <c r="Q398" s="25">
        <f>IF(P398="","",P398-O398)</f>
        <v/>
      </c>
      <c r="R398" s="26">
        <f>IF(OR(P398="",P398=0),"",Q398/P398)</f>
        <v/>
      </c>
      <c r="S398" s="23" t="n"/>
      <c r="T398" s="23" t="n"/>
      <c r="U398" s="23" t="n"/>
      <c r="V398" s="23" t="n"/>
      <c r="W398" s="23" t="n"/>
      <c r="X398" s="23" t="n"/>
      <c r="Y398" s="23" t="n"/>
      <c r="Z398" s="23" t="n"/>
      <c r="AA398" s="23" t="n"/>
      <c r="AB398" s="23" t="n"/>
      <c r="AC398" s="27">
        <f>IF(COUNT(S398:AB398)&lt;10,"",(S398*W_FEMININE+T398*W_TREND+U398*W_AESTHETIC+V398*W_STYLE+W398*W_LIGHT+X398*W_REELS+Y398*W_GIFT+Z398*W_PRICEFIT+AA398*W_DEMAND+AB398*W_QUALITY)/5*100)</f>
        <v/>
      </c>
      <c r="AD398" s="23">
        <f>IF(P398="","",IF(P398&gt;HARD_REJECT_PRICE,"Reject",IF(P398&gt;MAX_PRICE,"Price Review",IF(AC398="","",IF(AND(AC398&gt;=BUY_THRESHOLD,OR(AB398&lt;=2,U398&lt;=2)),"Maybe",IF(AC398&gt;=BUY_THRESHOLD,"Buy",IF(AC398&gt;=MAYBE_THRESHOLD,"Maybe","Reject")))))))</f>
        <v/>
      </c>
      <c r="AE398" s="23" t="n"/>
      <c r="AF398" s="23" t="n"/>
      <c r="AG398" s="23" t="n"/>
      <c r="AH398" s="23" t="n"/>
      <c r="AI398" s="24" t="n"/>
      <c r="AJ398">
        <f>IF(AC398="",-9999-ROW()*0.0000001,AC398-ROW()*0.0000001)</f>
        <v/>
      </c>
      <c r="AK398">
        <f>IF(OR(AC398="",P398="",P398&gt;MAX_PRICE),-9999-ROW()*0.0000001,AC398-ROW()*0.0000001)</f>
        <v/>
      </c>
      <c r="AL398">
        <f>IF(AC398="",-9999-ROW()*0.0000001,X398*1000+AC398-ROW()*0.0000001)</f>
        <v/>
      </c>
      <c r="AM398">
        <f>IF(AC398="",-9999-ROW()*0.0000001,Y398*1000+AC398-ROW()*0.0000001)</f>
        <v/>
      </c>
      <c r="AN398">
        <f>IF(AND(OR(AD398="Maybe",AD398="Price Review"),AG398&lt;&gt;"Approved",AG398&lt;&gt;"Rejected"),IF(AC398="",0,AC398)-ROW()*0.0000001,-9999-ROW()*0.0000001)</f>
        <v/>
      </c>
      <c r="AO398" s="28" t="n"/>
      <c r="AP398" s="28" t="n"/>
      <c r="AQ398" s="29" t="n"/>
      <c r="AR398" s="29" t="n"/>
      <c r="AS398" s="23" t="n"/>
      <c r="AT398" s="29" t="n"/>
      <c r="AU398" s="29" t="n"/>
      <c r="AV398" s="29" t="n"/>
      <c r="AW398" s="25">
        <f>IF(OR(O398="",AV398=""),"",O398*AV398)</f>
        <v/>
      </c>
      <c r="AX398" s="23" t="n"/>
      <c r="AY398" s="23" t="n"/>
      <c r="AZ398" s="23" t="n"/>
      <c r="BA398" s="23" t="n"/>
      <c r="BB398" s="23" t="n"/>
      <c r="BC398" s="25" t="n"/>
      <c r="BD398" s="23" t="n"/>
      <c r="BE398" s="23">
        <f>IF(C398="","",IF(AND(ISNUMBER(P398),P398&gt;MAX_PRICE),"Price too high",IF(AND(ISNUMBER(AB398),AB398&lt;=2),"Quality risk",IF(AND(ISNUMBER(U398),U398&lt;=2),"Aesthetic mismatch",IF(AY398="High","Too fragile",IF(AND(ISNUMBER(R398),R398&lt;LOW_PROFIT_PCT),"Low profit",IF(AND(ISNUMBER(AT398),AT398&gt;MOQ_WARNING),"MOQ too high",IF(OR(AD398="Maybe",AD398="Price Review"),"Needs partner review",IF(AD398="Buy","Good candidate","")))))))))</f>
        <v/>
      </c>
      <c r="BF398" s="23" t="n"/>
      <c r="BG398" s="23" t="n"/>
      <c r="BH398" s="23" t="n"/>
      <c r="BI398" s="23" t="n"/>
      <c r="BJ398" s="23" t="n"/>
      <c r="BK398" s="23" t="n"/>
      <c r="BL398" s="23">
        <f>IF(C398="","",IF(AND(BG398="Yes",BH398="Yes",BI398="Yes",BJ398="Yes",BK398="Yes"),"Yes","No"))</f>
        <v/>
      </c>
      <c r="BM398" s="25" t="n"/>
      <c r="BN398" s="25" t="n"/>
      <c r="BO398" s="25">
        <f>IF(OR(BM398="",BN398=""),"",BM398+BN398)</f>
        <v/>
      </c>
      <c r="BP398" s="25" t="n"/>
      <c r="BQ398" s="25">
        <f>IF(OR(BP398="",BO398=""),"",BP398-BO398)</f>
        <v/>
      </c>
      <c r="BR398" s="26">
        <f>IF(OR(BP398="",BP398=0,BQ398=""),"",BQ398/BP398)</f>
        <v/>
      </c>
      <c r="BS398" s="24" t="n"/>
      <c r="BT398" s="29" t="n"/>
      <c r="BU398" s="29" t="n"/>
      <c r="BV398" s="23" t="n"/>
      <c r="BW398" s="23" t="n"/>
      <c r="BX398" s="29">
        <f>IF(OR(BT398="",BU398=""),"",BT398-BU398)</f>
        <v/>
      </c>
      <c r="BY398" s="23" t="n"/>
      <c r="BZ398" s="24" t="n"/>
      <c r="CA398" s="23" t="n"/>
      <c r="CB398" s="23" t="n"/>
    </row>
    <row r="399">
      <c r="A399" s="16">
        <f>IF(C399="","","AYN-"&amp;IFERROR(VLOOKUP(E399,CATEGORY_PREFIX_TABLE,2,FALSE),"OTH")&amp;"-"&amp;TEXT(ROW()-2,"0000"))</f>
        <v/>
      </c>
      <c r="B399" s="17" t="n"/>
      <c r="C399" s="16" t="n"/>
      <c r="D399" s="16" t="n"/>
      <c r="E399" s="16" t="n"/>
      <c r="F399" s="16" t="n"/>
      <c r="G399" s="16" t="n"/>
      <c r="H399" s="16" t="n"/>
      <c r="I399" s="16" t="n"/>
      <c r="J399" s="16" t="n"/>
      <c r="K399" s="18">
        <f>IF(I399="","",IF(J399="BDT",I399,IF(J399="USD",I399*USD_BDT,IF(J399="RMB",I399*RMB_BDT,""))))</f>
        <v/>
      </c>
      <c r="L399" s="18" t="n"/>
      <c r="M399" s="19" t="n"/>
      <c r="N399" s="18" t="n"/>
      <c r="O399" s="18">
        <f>IF(K399="","",K399+IFERROR(L399,0)+(K399*IF(M399="",CUSTOMS_PCT,M399))+IF(N399="",MISC_FEE,N399))</f>
        <v/>
      </c>
      <c r="P399" s="18">
        <f>IF(O399="","",ROUND(O399*(1+MARKUP_PCT),-1)-1)</f>
        <v/>
      </c>
      <c r="Q399" s="18">
        <f>IF(P399="","",P399-O399)</f>
        <v/>
      </c>
      <c r="R399" s="19">
        <f>IF(OR(P399="",P399=0),"",Q399/P399)</f>
        <v/>
      </c>
      <c r="S399" s="16" t="n"/>
      <c r="T399" s="16" t="n"/>
      <c r="U399" s="16" t="n"/>
      <c r="V399" s="16" t="n"/>
      <c r="W399" s="16" t="n"/>
      <c r="X399" s="16" t="n"/>
      <c r="Y399" s="16" t="n"/>
      <c r="Z399" s="16" t="n"/>
      <c r="AA399" s="16" t="n"/>
      <c r="AB399" s="16" t="n"/>
      <c r="AC399" s="20">
        <f>IF(COUNT(S399:AB399)&lt;10,"",(S399*W_FEMININE+T399*W_TREND+U399*W_AESTHETIC+V399*W_STYLE+W399*W_LIGHT+X399*W_REELS+Y399*W_GIFT+Z399*W_PRICEFIT+AA399*W_DEMAND+AB399*W_QUALITY)/5*100)</f>
        <v/>
      </c>
      <c r="AD399" s="16">
        <f>IF(P399="","",IF(P399&gt;HARD_REJECT_PRICE,"Reject",IF(P399&gt;MAX_PRICE,"Price Review",IF(AC399="","",IF(AND(AC399&gt;=BUY_THRESHOLD,OR(AB399&lt;=2,U399&lt;=2)),"Maybe",IF(AC399&gt;=BUY_THRESHOLD,"Buy",IF(AC399&gt;=MAYBE_THRESHOLD,"Maybe","Reject")))))))</f>
        <v/>
      </c>
      <c r="AE399" s="16" t="n"/>
      <c r="AF399" s="16" t="n"/>
      <c r="AG399" s="16" t="n"/>
      <c r="AH399" s="16" t="n"/>
      <c r="AI399" s="17" t="n"/>
      <c r="AJ399">
        <f>IF(AC399="",-9999-ROW()*0.0000001,AC399-ROW()*0.0000001)</f>
        <v/>
      </c>
      <c r="AK399">
        <f>IF(OR(AC399="",P399="",P399&gt;MAX_PRICE),-9999-ROW()*0.0000001,AC399-ROW()*0.0000001)</f>
        <v/>
      </c>
      <c r="AL399">
        <f>IF(AC399="",-9999-ROW()*0.0000001,X399*1000+AC399-ROW()*0.0000001)</f>
        <v/>
      </c>
      <c r="AM399">
        <f>IF(AC399="",-9999-ROW()*0.0000001,Y399*1000+AC399-ROW()*0.0000001)</f>
        <v/>
      </c>
      <c r="AN399">
        <f>IF(AND(OR(AD399="Maybe",AD399="Price Review"),AG399&lt;&gt;"Approved",AG399&lt;&gt;"Rejected"),IF(AC399="",0,AC399)-ROW()*0.0000001,-9999-ROW()*0.0000001)</f>
        <v/>
      </c>
      <c r="AO399" s="21" t="n"/>
      <c r="AP399" s="21" t="n"/>
      <c r="AQ399" s="22" t="n"/>
      <c r="AR399" s="22" t="n"/>
      <c r="AS399" s="16" t="n"/>
      <c r="AT399" s="22" t="n"/>
      <c r="AU399" s="22" t="n"/>
      <c r="AV399" s="22" t="n"/>
      <c r="AW399" s="18">
        <f>IF(OR(O399="",AV399=""),"",O399*AV399)</f>
        <v/>
      </c>
      <c r="AX399" s="16" t="n"/>
      <c r="AY399" s="16" t="n"/>
      <c r="AZ399" s="16" t="n"/>
      <c r="BA399" s="16" t="n"/>
      <c r="BB399" s="16" t="n"/>
      <c r="BC399" s="18" t="n"/>
      <c r="BD399" s="16" t="n"/>
      <c r="BE399" s="16">
        <f>IF(C399="","",IF(AND(ISNUMBER(P399),P399&gt;MAX_PRICE),"Price too high",IF(AND(ISNUMBER(AB399),AB399&lt;=2),"Quality risk",IF(AND(ISNUMBER(U399),U399&lt;=2),"Aesthetic mismatch",IF(AY399="High","Too fragile",IF(AND(ISNUMBER(R399),R399&lt;LOW_PROFIT_PCT),"Low profit",IF(AND(ISNUMBER(AT399),AT399&gt;MOQ_WARNING),"MOQ too high",IF(OR(AD399="Maybe",AD399="Price Review"),"Needs partner review",IF(AD399="Buy","Good candidate","")))))))))</f>
        <v/>
      </c>
      <c r="BF399" s="16" t="n"/>
      <c r="BG399" s="16" t="n"/>
      <c r="BH399" s="16" t="n"/>
      <c r="BI399" s="16" t="n"/>
      <c r="BJ399" s="16" t="n"/>
      <c r="BK399" s="16" t="n"/>
      <c r="BL399" s="16">
        <f>IF(C399="","",IF(AND(BG399="Yes",BH399="Yes",BI399="Yes",BJ399="Yes",BK399="Yes"),"Yes","No"))</f>
        <v/>
      </c>
      <c r="BM399" s="18" t="n"/>
      <c r="BN399" s="18" t="n"/>
      <c r="BO399" s="18">
        <f>IF(OR(BM399="",BN399=""),"",BM399+BN399)</f>
        <v/>
      </c>
      <c r="BP399" s="18" t="n"/>
      <c r="BQ399" s="18">
        <f>IF(OR(BP399="",BO399=""),"",BP399-BO399)</f>
        <v/>
      </c>
      <c r="BR399" s="19">
        <f>IF(OR(BP399="",BP399=0,BQ399=""),"",BQ399/BP399)</f>
        <v/>
      </c>
      <c r="BS399" s="17" t="n"/>
      <c r="BT399" s="22" t="n"/>
      <c r="BU399" s="22" t="n"/>
      <c r="BV399" s="16" t="n"/>
      <c r="BW399" s="16" t="n"/>
      <c r="BX399" s="22">
        <f>IF(OR(BT399="",BU399=""),"",BT399-BU399)</f>
        <v/>
      </c>
      <c r="BY399" s="16" t="n"/>
      <c r="BZ399" s="17" t="n"/>
      <c r="CA399" s="16" t="n"/>
      <c r="CB399" s="16" t="n"/>
    </row>
    <row r="400">
      <c r="A400" s="23">
        <f>IF(C400="","","AYN-"&amp;IFERROR(VLOOKUP(E400,CATEGORY_PREFIX_TABLE,2,FALSE),"OTH")&amp;"-"&amp;TEXT(ROW()-2,"0000"))</f>
        <v/>
      </c>
      <c r="B400" s="24" t="n"/>
      <c r="C400" s="23" t="n"/>
      <c r="D400" s="23" t="n"/>
      <c r="E400" s="23" t="n"/>
      <c r="F400" s="23" t="n"/>
      <c r="G400" s="23" t="n"/>
      <c r="H400" s="23" t="n"/>
      <c r="I400" s="23" t="n"/>
      <c r="J400" s="23" t="n"/>
      <c r="K400" s="25">
        <f>IF(I400="","",IF(J400="BDT",I400,IF(J400="USD",I400*USD_BDT,IF(J400="RMB",I400*RMB_BDT,""))))</f>
        <v/>
      </c>
      <c r="L400" s="25" t="n"/>
      <c r="M400" s="26" t="n"/>
      <c r="N400" s="25" t="n"/>
      <c r="O400" s="25">
        <f>IF(K400="","",K400+IFERROR(L400,0)+(K400*IF(M400="",CUSTOMS_PCT,M400))+IF(N400="",MISC_FEE,N400))</f>
        <v/>
      </c>
      <c r="P400" s="25">
        <f>IF(O400="","",ROUND(O400*(1+MARKUP_PCT),-1)-1)</f>
        <v/>
      </c>
      <c r="Q400" s="25">
        <f>IF(P400="","",P400-O400)</f>
        <v/>
      </c>
      <c r="R400" s="26">
        <f>IF(OR(P400="",P400=0),"",Q400/P400)</f>
        <v/>
      </c>
      <c r="S400" s="23" t="n"/>
      <c r="T400" s="23" t="n"/>
      <c r="U400" s="23" t="n"/>
      <c r="V400" s="23" t="n"/>
      <c r="W400" s="23" t="n"/>
      <c r="X400" s="23" t="n"/>
      <c r="Y400" s="23" t="n"/>
      <c r="Z400" s="23" t="n"/>
      <c r="AA400" s="23" t="n"/>
      <c r="AB400" s="23" t="n"/>
      <c r="AC400" s="27">
        <f>IF(COUNT(S400:AB400)&lt;10,"",(S400*W_FEMININE+T400*W_TREND+U400*W_AESTHETIC+V400*W_STYLE+W400*W_LIGHT+X400*W_REELS+Y400*W_GIFT+Z400*W_PRICEFIT+AA400*W_DEMAND+AB400*W_QUALITY)/5*100)</f>
        <v/>
      </c>
      <c r="AD400" s="23">
        <f>IF(P400="","",IF(P400&gt;HARD_REJECT_PRICE,"Reject",IF(P400&gt;MAX_PRICE,"Price Review",IF(AC400="","",IF(AND(AC400&gt;=BUY_THRESHOLD,OR(AB400&lt;=2,U400&lt;=2)),"Maybe",IF(AC400&gt;=BUY_THRESHOLD,"Buy",IF(AC400&gt;=MAYBE_THRESHOLD,"Maybe","Reject")))))))</f>
        <v/>
      </c>
      <c r="AE400" s="23" t="n"/>
      <c r="AF400" s="23" t="n"/>
      <c r="AG400" s="23" t="n"/>
      <c r="AH400" s="23" t="n"/>
      <c r="AI400" s="24" t="n"/>
      <c r="AJ400">
        <f>IF(AC400="",-9999-ROW()*0.0000001,AC400-ROW()*0.0000001)</f>
        <v/>
      </c>
      <c r="AK400">
        <f>IF(OR(AC400="",P400="",P400&gt;MAX_PRICE),-9999-ROW()*0.0000001,AC400-ROW()*0.0000001)</f>
        <v/>
      </c>
      <c r="AL400">
        <f>IF(AC400="",-9999-ROW()*0.0000001,X400*1000+AC400-ROW()*0.0000001)</f>
        <v/>
      </c>
      <c r="AM400">
        <f>IF(AC400="",-9999-ROW()*0.0000001,Y400*1000+AC400-ROW()*0.0000001)</f>
        <v/>
      </c>
      <c r="AN400">
        <f>IF(AND(OR(AD400="Maybe",AD400="Price Review"),AG400&lt;&gt;"Approved",AG400&lt;&gt;"Rejected"),IF(AC400="",0,AC400)-ROW()*0.0000001,-9999-ROW()*0.0000001)</f>
        <v/>
      </c>
      <c r="AO400" s="28" t="n"/>
      <c r="AP400" s="28" t="n"/>
      <c r="AQ400" s="29" t="n"/>
      <c r="AR400" s="29" t="n"/>
      <c r="AS400" s="23" t="n"/>
      <c r="AT400" s="29" t="n"/>
      <c r="AU400" s="29" t="n"/>
      <c r="AV400" s="29" t="n"/>
      <c r="AW400" s="25">
        <f>IF(OR(O400="",AV400=""),"",O400*AV400)</f>
        <v/>
      </c>
      <c r="AX400" s="23" t="n"/>
      <c r="AY400" s="23" t="n"/>
      <c r="AZ400" s="23" t="n"/>
      <c r="BA400" s="23" t="n"/>
      <c r="BB400" s="23" t="n"/>
      <c r="BC400" s="25" t="n"/>
      <c r="BD400" s="23" t="n"/>
      <c r="BE400" s="23">
        <f>IF(C400="","",IF(AND(ISNUMBER(P400),P400&gt;MAX_PRICE),"Price too high",IF(AND(ISNUMBER(AB400),AB400&lt;=2),"Quality risk",IF(AND(ISNUMBER(U400),U400&lt;=2),"Aesthetic mismatch",IF(AY400="High","Too fragile",IF(AND(ISNUMBER(R400),R400&lt;LOW_PROFIT_PCT),"Low profit",IF(AND(ISNUMBER(AT400),AT400&gt;MOQ_WARNING),"MOQ too high",IF(OR(AD400="Maybe",AD400="Price Review"),"Needs partner review",IF(AD400="Buy","Good candidate","")))))))))</f>
        <v/>
      </c>
      <c r="BF400" s="23" t="n"/>
      <c r="BG400" s="23" t="n"/>
      <c r="BH400" s="23" t="n"/>
      <c r="BI400" s="23" t="n"/>
      <c r="BJ400" s="23" t="n"/>
      <c r="BK400" s="23" t="n"/>
      <c r="BL400" s="23">
        <f>IF(C400="","",IF(AND(BG400="Yes",BH400="Yes",BI400="Yes",BJ400="Yes",BK400="Yes"),"Yes","No"))</f>
        <v/>
      </c>
      <c r="BM400" s="25" t="n"/>
      <c r="BN400" s="25" t="n"/>
      <c r="BO400" s="25">
        <f>IF(OR(BM400="",BN400=""),"",BM400+BN400)</f>
        <v/>
      </c>
      <c r="BP400" s="25" t="n"/>
      <c r="BQ400" s="25">
        <f>IF(OR(BP400="",BO400=""),"",BP400-BO400)</f>
        <v/>
      </c>
      <c r="BR400" s="26">
        <f>IF(OR(BP400="",BP400=0,BQ400=""),"",BQ400/BP400)</f>
        <v/>
      </c>
      <c r="BS400" s="24" t="n"/>
      <c r="BT400" s="29" t="n"/>
      <c r="BU400" s="29" t="n"/>
      <c r="BV400" s="23" t="n"/>
      <c r="BW400" s="23" t="n"/>
      <c r="BX400" s="29">
        <f>IF(OR(BT400="",BU400=""),"",BT400-BU400)</f>
        <v/>
      </c>
      <c r="BY400" s="23" t="n"/>
      <c r="BZ400" s="24" t="n"/>
      <c r="CA400" s="23" t="n"/>
      <c r="CB400" s="23" t="n"/>
    </row>
    <row r="401">
      <c r="A401" s="16">
        <f>IF(C401="","","AYN-"&amp;IFERROR(VLOOKUP(E401,CATEGORY_PREFIX_TABLE,2,FALSE),"OTH")&amp;"-"&amp;TEXT(ROW()-2,"0000"))</f>
        <v/>
      </c>
      <c r="B401" s="17" t="n"/>
      <c r="C401" s="16" t="n"/>
      <c r="D401" s="16" t="n"/>
      <c r="E401" s="16" t="n"/>
      <c r="F401" s="16" t="n"/>
      <c r="G401" s="16" t="n"/>
      <c r="H401" s="16" t="n"/>
      <c r="I401" s="16" t="n"/>
      <c r="J401" s="16" t="n"/>
      <c r="K401" s="18">
        <f>IF(I401="","",IF(J401="BDT",I401,IF(J401="USD",I401*USD_BDT,IF(J401="RMB",I401*RMB_BDT,""))))</f>
        <v/>
      </c>
      <c r="L401" s="18" t="n"/>
      <c r="M401" s="19" t="n"/>
      <c r="N401" s="18" t="n"/>
      <c r="O401" s="18">
        <f>IF(K401="","",K401+IFERROR(L401,0)+(K401*IF(M401="",CUSTOMS_PCT,M401))+IF(N401="",MISC_FEE,N401))</f>
        <v/>
      </c>
      <c r="P401" s="18">
        <f>IF(O401="","",ROUND(O401*(1+MARKUP_PCT),-1)-1)</f>
        <v/>
      </c>
      <c r="Q401" s="18">
        <f>IF(P401="","",P401-O401)</f>
        <v/>
      </c>
      <c r="R401" s="19">
        <f>IF(OR(P401="",P401=0),"",Q401/P401)</f>
        <v/>
      </c>
      <c r="S401" s="16" t="n"/>
      <c r="T401" s="16" t="n"/>
      <c r="U401" s="16" t="n"/>
      <c r="V401" s="16" t="n"/>
      <c r="W401" s="16" t="n"/>
      <c r="X401" s="16" t="n"/>
      <c r="Y401" s="16" t="n"/>
      <c r="Z401" s="16" t="n"/>
      <c r="AA401" s="16" t="n"/>
      <c r="AB401" s="16" t="n"/>
      <c r="AC401" s="20">
        <f>IF(COUNT(S401:AB401)&lt;10,"",(S401*W_FEMININE+T401*W_TREND+U401*W_AESTHETIC+V401*W_STYLE+W401*W_LIGHT+X401*W_REELS+Y401*W_GIFT+Z401*W_PRICEFIT+AA401*W_DEMAND+AB401*W_QUALITY)/5*100)</f>
        <v/>
      </c>
      <c r="AD401" s="16">
        <f>IF(P401="","",IF(P401&gt;HARD_REJECT_PRICE,"Reject",IF(P401&gt;MAX_PRICE,"Price Review",IF(AC401="","",IF(AND(AC401&gt;=BUY_THRESHOLD,OR(AB401&lt;=2,U401&lt;=2)),"Maybe",IF(AC401&gt;=BUY_THRESHOLD,"Buy",IF(AC401&gt;=MAYBE_THRESHOLD,"Maybe","Reject")))))))</f>
        <v/>
      </c>
      <c r="AE401" s="16" t="n"/>
      <c r="AF401" s="16" t="n"/>
      <c r="AG401" s="16" t="n"/>
      <c r="AH401" s="16" t="n"/>
      <c r="AI401" s="17" t="n"/>
      <c r="AJ401">
        <f>IF(AC401="",-9999-ROW()*0.0000001,AC401-ROW()*0.0000001)</f>
        <v/>
      </c>
      <c r="AK401">
        <f>IF(OR(AC401="",P401="",P401&gt;MAX_PRICE),-9999-ROW()*0.0000001,AC401-ROW()*0.0000001)</f>
        <v/>
      </c>
      <c r="AL401">
        <f>IF(AC401="",-9999-ROW()*0.0000001,X401*1000+AC401-ROW()*0.0000001)</f>
        <v/>
      </c>
      <c r="AM401">
        <f>IF(AC401="",-9999-ROW()*0.0000001,Y401*1000+AC401-ROW()*0.0000001)</f>
        <v/>
      </c>
      <c r="AN401">
        <f>IF(AND(OR(AD401="Maybe",AD401="Price Review"),AG401&lt;&gt;"Approved",AG401&lt;&gt;"Rejected"),IF(AC401="",0,AC401)-ROW()*0.0000001,-9999-ROW()*0.0000001)</f>
        <v/>
      </c>
      <c r="AO401" s="21" t="n"/>
      <c r="AP401" s="21" t="n"/>
      <c r="AQ401" s="22" t="n"/>
      <c r="AR401" s="22" t="n"/>
      <c r="AS401" s="16" t="n"/>
      <c r="AT401" s="22" t="n"/>
      <c r="AU401" s="22" t="n"/>
      <c r="AV401" s="22" t="n"/>
      <c r="AW401" s="18">
        <f>IF(OR(O401="",AV401=""),"",O401*AV401)</f>
        <v/>
      </c>
      <c r="AX401" s="16" t="n"/>
      <c r="AY401" s="16" t="n"/>
      <c r="AZ401" s="16" t="n"/>
      <c r="BA401" s="16" t="n"/>
      <c r="BB401" s="16" t="n"/>
      <c r="BC401" s="18" t="n"/>
      <c r="BD401" s="16" t="n"/>
      <c r="BE401" s="16">
        <f>IF(C401="","",IF(AND(ISNUMBER(P401),P401&gt;MAX_PRICE),"Price too high",IF(AND(ISNUMBER(AB401),AB401&lt;=2),"Quality risk",IF(AND(ISNUMBER(U401),U401&lt;=2),"Aesthetic mismatch",IF(AY401="High","Too fragile",IF(AND(ISNUMBER(R401),R401&lt;LOW_PROFIT_PCT),"Low profit",IF(AND(ISNUMBER(AT401),AT401&gt;MOQ_WARNING),"MOQ too high",IF(OR(AD401="Maybe",AD401="Price Review"),"Needs partner review",IF(AD401="Buy","Good candidate","")))))))))</f>
        <v/>
      </c>
      <c r="BF401" s="16" t="n"/>
      <c r="BG401" s="16" t="n"/>
      <c r="BH401" s="16" t="n"/>
      <c r="BI401" s="16" t="n"/>
      <c r="BJ401" s="16" t="n"/>
      <c r="BK401" s="16" t="n"/>
      <c r="BL401" s="16">
        <f>IF(C401="","",IF(AND(BG401="Yes",BH401="Yes",BI401="Yes",BJ401="Yes",BK401="Yes"),"Yes","No"))</f>
        <v/>
      </c>
      <c r="BM401" s="18" t="n"/>
      <c r="BN401" s="18" t="n"/>
      <c r="BO401" s="18">
        <f>IF(OR(BM401="",BN401=""),"",BM401+BN401)</f>
        <v/>
      </c>
      <c r="BP401" s="18" t="n"/>
      <c r="BQ401" s="18">
        <f>IF(OR(BP401="",BO401=""),"",BP401-BO401)</f>
        <v/>
      </c>
      <c r="BR401" s="19">
        <f>IF(OR(BP401="",BP401=0,BQ401=""),"",BQ401/BP401)</f>
        <v/>
      </c>
      <c r="BS401" s="17" t="n"/>
      <c r="BT401" s="22" t="n"/>
      <c r="BU401" s="22" t="n"/>
      <c r="BV401" s="16" t="n"/>
      <c r="BW401" s="16" t="n"/>
      <c r="BX401" s="22">
        <f>IF(OR(BT401="",BU401=""),"",BT401-BU401)</f>
        <v/>
      </c>
      <c r="BY401" s="16" t="n"/>
      <c r="BZ401" s="17" t="n"/>
      <c r="CA401" s="16" t="n"/>
      <c r="CB401" s="16" t="n"/>
    </row>
    <row r="402">
      <c r="A402" s="23">
        <f>IF(C402="","","AYN-"&amp;IFERROR(VLOOKUP(E402,CATEGORY_PREFIX_TABLE,2,FALSE),"OTH")&amp;"-"&amp;TEXT(ROW()-2,"0000"))</f>
        <v/>
      </c>
      <c r="B402" s="24" t="n"/>
      <c r="C402" s="23" t="n"/>
      <c r="D402" s="23" t="n"/>
      <c r="E402" s="23" t="n"/>
      <c r="F402" s="23" t="n"/>
      <c r="G402" s="23" t="n"/>
      <c r="H402" s="23" t="n"/>
      <c r="I402" s="23" t="n"/>
      <c r="J402" s="23" t="n"/>
      <c r="K402" s="25">
        <f>IF(I402="","",IF(J402="BDT",I402,IF(J402="USD",I402*USD_BDT,IF(J402="RMB",I402*RMB_BDT,""))))</f>
        <v/>
      </c>
      <c r="L402" s="25" t="n"/>
      <c r="M402" s="26" t="n"/>
      <c r="N402" s="25" t="n"/>
      <c r="O402" s="25">
        <f>IF(K402="","",K402+IFERROR(L402,0)+(K402*IF(M402="",CUSTOMS_PCT,M402))+IF(N402="",MISC_FEE,N402))</f>
        <v/>
      </c>
      <c r="P402" s="25">
        <f>IF(O402="","",ROUND(O402*(1+MARKUP_PCT),-1)-1)</f>
        <v/>
      </c>
      <c r="Q402" s="25">
        <f>IF(P402="","",P402-O402)</f>
        <v/>
      </c>
      <c r="R402" s="26">
        <f>IF(OR(P402="",P402=0),"",Q402/P402)</f>
        <v/>
      </c>
      <c r="S402" s="23" t="n"/>
      <c r="T402" s="23" t="n"/>
      <c r="U402" s="23" t="n"/>
      <c r="V402" s="23" t="n"/>
      <c r="W402" s="23" t="n"/>
      <c r="X402" s="23" t="n"/>
      <c r="Y402" s="23" t="n"/>
      <c r="Z402" s="23" t="n"/>
      <c r="AA402" s="23" t="n"/>
      <c r="AB402" s="23" t="n"/>
      <c r="AC402" s="27">
        <f>IF(COUNT(S402:AB402)&lt;10,"",(S402*W_FEMININE+T402*W_TREND+U402*W_AESTHETIC+V402*W_STYLE+W402*W_LIGHT+X402*W_REELS+Y402*W_GIFT+Z402*W_PRICEFIT+AA402*W_DEMAND+AB402*W_QUALITY)/5*100)</f>
        <v/>
      </c>
      <c r="AD402" s="23">
        <f>IF(P402="","",IF(P402&gt;HARD_REJECT_PRICE,"Reject",IF(P402&gt;MAX_PRICE,"Price Review",IF(AC402="","",IF(AND(AC402&gt;=BUY_THRESHOLD,OR(AB402&lt;=2,U402&lt;=2)),"Maybe",IF(AC402&gt;=BUY_THRESHOLD,"Buy",IF(AC402&gt;=MAYBE_THRESHOLD,"Maybe","Reject")))))))</f>
        <v/>
      </c>
      <c r="AE402" s="23" t="n"/>
      <c r="AF402" s="23" t="n"/>
      <c r="AG402" s="23" t="n"/>
      <c r="AH402" s="23" t="n"/>
      <c r="AI402" s="24" t="n"/>
      <c r="AJ402">
        <f>IF(AC402="",-9999-ROW()*0.0000001,AC402-ROW()*0.0000001)</f>
        <v/>
      </c>
      <c r="AK402">
        <f>IF(OR(AC402="",P402="",P402&gt;MAX_PRICE),-9999-ROW()*0.0000001,AC402-ROW()*0.0000001)</f>
        <v/>
      </c>
      <c r="AL402">
        <f>IF(AC402="",-9999-ROW()*0.0000001,X402*1000+AC402-ROW()*0.0000001)</f>
        <v/>
      </c>
      <c r="AM402">
        <f>IF(AC402="",-9999-ROW()*0.0000001,Y402*1000+AC402-ROW()*0.0000001)</f>
        <v/>
      </c>
      <c r="AN402">
        <f>IF(AND(OR(AD402="Maybe",AD402="Price Review"),AG402&lt;&gt;"Approved",AG402&lt;&gt;"Rejected"),IF(AC402="",0,AC402)-ROW()*0.0000001,-9999-ROW()*0.0000001)</f>
        <v/>
      </c>
      <c r="AO402" s="28" t="n"/>
      <c r="AP402" s="28" t="n"/>
      <c r="AQ402" s="29" t="n"/>
      <c r="AR402" s="29" t="n"/>
      <c r="AS402" s="23" t="n"/>
      <c r="AT402" s="29" t="n"/>
      <c r="AU402" s="29" t="n"/>
      <c r="AV402" s="29" t="n"/>
      <c r="AW402" s="25">
        <f>IF(OR(O402="",AV402=""),"",O402*AV402)</f>
        <v/>
      </c>
      <c r="AX402" s="23" t="n"/>
      <c r="AY402" s="23" t="n"/>
      <c r="AZ402" s="23" t="n"/>
      <c r="BA402" s="23" t="n"/>
      <c r="BB402" s="23" t="n"/>
      <c r="BC402" s="25" t="n"/>
      <c r="BD402" s="23" t="n"/>
      <c r="BE402" s="23">
        <f>IF(C402="","",IF(AND(ISNUMBER(P402),P402&gt;MAX_PRICE),"Price too high",IF(AND(ISNUMBER(AB402),AB402&lt;=2),"Quality risk",IF(AND(ISNUMBER(U402),U402&lt;=2),"Aesthetic mismatch",IF(AY402="High","Too fragile",IF(AND(ISNUMBER(R402),R402&lt;LOW_PROFIT_PCT),"Low profit",IF(AND(ISNUMBER(AT402),AT402&gt;MOQ_WARNING),"MOQ too high",IF(OR(AD402="Maybe",AD402="Price Review"),"Needs partner review",IF(AD402="Buy","Good candidate","")))))))))</f>
        <v/>
      </c>
      <c r="BF402" s="23" t="n"/>
      <c r="BG402" s="23" t="n"/>
      <c r="BH402" s="23" t="n"/>
      <c r="BI402" s="23" t="n"/>
      <c r="BJ402" s="23" t="n"/>
      <c r="BK402" s="23" t="n"/>
      <c r="BL402" s="23">
        <f>IF(C402="","",IF(AND(BG402="Yes",BH402="Yes",BI402="Yes",BJ402="Yes",BK402="Yes"),"Yes","No"))</f>
        <v/>
      </c>
      <c r="BM402" s="25" t="n"/>
      <c r="BN402" s="25" t="n"/>
      <c r="BO402" s="25">
        <f>IF(OR(BM402="",BN402=""),"",BM402+BN402)</f>
        <v/>
      </c>
      <c r="BP402" s="25" t="n"/>
      <c r="BQ402" s="25">
        <f>IF(OR(BP402="",BO402=""),"",BP402-BO402)</f>
        <v/>
      </c>
      <c r="BR402" s="26">
        <f>IF(OR(BP402="",BP402=0,BQ402=""),"",BQ402/BP402)</f>
        <v/>
      </c>
      <c r="BS402" s="24" t="n"/>
      <c r="BT402" s="29" t="n"/>
      <c r="BU402" s="29" t="n"/>
      <c r="BV402" s="23" t="n"/>
      <c r="BW402" s="23" t="n"/>
      <c r="BX402" s="29">
        <f>IF(OR(BT402="",BU402=""),"",BT402-BU402)</f>
        <v/>
      </c>
      <c r="BY402" s="23" t="n"/>
      <c r="BZ402" s="24" t="n"/>
      <c r="CA402" s="23" t="n"/>
      <c r="CB402" s="23" t="n"/>
    </row>
    <row r="403">
      <c r="A403" s="16">
        <f>IF(C403="","","AYN-"&amp;IFERROR(VLOOKUP(E403,CATEGORY_PREFIX_TABLE,2,FALSE),"OTH")&amp;"-"&amp;TEXT(ROW()-2,"0000"))</f>
        <v/>
      </c>
      <c r="B403" s="17" t="n"/>
      <c r="C403" s="16" t="n"/>
      <c r="D403" s="16" t="n"/>
      <c r="E403" s="16" t="n"/>
      <c r="F403" s="16" t="n"/>
      <c r="G403" s="16" t="n"/>
      <c r="H403" s="16" t="n"/>
      <c r="I403" s="16" t="n"/>
      <c r="J403" s="16" t="n"/>
      <c r="K403" s="18">
        <f>IF(I403="","",IF(J403="BDT",I403,IF(J403="USD",I403*USD_BDT,IF(J403="RMB",I403*RMB_BDT,""))))</f>
        <v/>
      </c>
      <c r="L403" s="18" t="n"/>
      <c r="M403" s="19" t="n"/>
      <c r="N403" s="18" t="n"/>
      <c r="O403" s="18">
        <f>IF(K403="","",K403+IFERROR(L403,0)+(K403*IF(M403="",CUSTOMS_PCT,M403))+IF(N403="",MISC_FEE,N403))</f>
        <v/>
      </c>
      <c r="P403" s="18">
        <f>IF(O403="","",ROUND(O403*(1+MARKUP_PCT),-1)-1)</f>
        <v/>
      </c>
      <c r="Q403" s="18">
        <f>IF(P403="","",P403-O403)</f>
        <v/>
      </c>
      <c r="R403" s="19">
        <f>IF(OR(P403="",P403=0),"",Q403/P403)</f>
        <v/>
      </c>
      <c r="S403" s="16" t="n"/>
      <c r="T403" s="16" t="n"/>
      <c r="U403" s="16" t="n"/>
      <c r="V403" s="16" t="n"/>
      <c r="W403" s="16" t="n"/>
      <c r="X403" s="16" t="n"/>
      <c r="Y403" s="16" t="n"/>
      <c r="Z403" s="16" t="n"/>
      <c r="AA403" s="16" t="n"/>
      <c r="AB403" s="16" t="n"/>
      <c r="AC403" s="20">
        <f>IF(COUNT(S403:AB403)&lt;10,"",(S403*W_FEMININE+T403*W_TREND+U403*W_AESTHETIC+V403*W_STYLE+W403*W_LIGHT+X403*W_REELS+Y403*W_GIFT+Z403*W_PRICEFIT+AA403*W_DEMAND+AB403*W_QUALITY)/5*100)</f>
        <v/>
      </c>
      <c r="AD403" s="16">
        <f>IF(P403="","",IF(P403&gt;HARD_REJECT_PRICE,"Reject",IF(P403&gt;MAX_PRICE,"Price Review",IF(AC403="","",IF(AND(AC403&gt;=BUY_THRESHOLD,OR(AB403&lt;=2,U403&lt;=2)),"Maybe",IF(AC403&gt;=BUY_THRESHOLD,"Buy",IF(AC403&gt;=MAYBE_THRESHOLD,"Maybe","Reject")))))))</f>
        <v/>
      </c>
      <c r="AE403" s="16" t="n"/>
      <c r="AF403" s="16" t="n"/>
      <c r="AG403" s="16" t="n"/>
      <c r="AH403" s="16" t="n"/>
      <c r="AI403" s="17" t="n"/>
      <c r="AJ403">
        <f>IF(AC403="",-9999-ROW()*0.0000001,AC403-ROW()*0.0000001)</f>
        <v/>
      </c>
      <c r="AK403">
        <f>IF(OR(AC403="",P403="",P403&gt;MAX_PRICE),-9999-ROW()*0.0000001,AC403-ROW()*0.0000001)</f>
        <v/>
      </c>
      <c r="AL403">
        <f>IF(AC403="",-9999-ROW()*0.0000001,X403*1000+AC403-ROW()*0.0000001)</f>
        <v/>
      </c>
      <c r="AM403">
        <f>IF(AC403="",-9999-ROW()*0.0000001,Y403*1000+AC403-ROW()*0.0000001)</f>
        <v/>
      </c>
      <c r="AN403">
        <f>IF(AND(OR(AD403="Maybe",AD403="Price Review"),AG403&lt;&gt;"Approved",AG403&lt;&gt;"Rejected"),IF(AC403="",0,AC403)-ROW()*0.0000001,-9999-ROW()*0.0000001)</f>
        <v/>
      </c>
      <c r="AO403" s="21" t="n"/>
      <c r="AP403" s="21" t="n"/>
      <c r="AQ403" s="22" t="n"/>
      <c r="AR403" s="22" t="n"/>
      <c r="AS403" s="16" t="n"/>
      <c r="AT403" s="22" t="n"/>
      <c r="AU403" s="22" t="n"/>
      <c r="AV403" s="22" t="n"/>
      <c r="AW403" s="18">
        <f>IF(OR(O403="",AV403=""),"",O403*AV403)</f>
        <v/>
      </c>
      <c r="AX403" s="16" t="n"/>
      <c r="AY403" s="16" t="n"/>
      <c r="AZ403" s="16" t="n"/>
      <c r="BA403" s="16" t="n"/>
      <c r="BB403" s="16" t="n"/>
      <c r="BC403" s="18" t="n"/>
      <c r="BD403" s="16" t="n"/>
      <c r="BE403" s="16">
        <f>IF(C403="","",IF(AND(ISNUMBER(P403),P403&gt;MAX_PRICE),"Price too high",IF(AND(ISNUMBER(AB403),AB403&lt;=2),"Quality risk",IF(AND(ISNUMBER(U403),U403&lt;=2),"Aesthetic mismatch",IF(AY403="High","Too fragile",IF(AND(ISNUMBER(R403),R403&lt;LOW_PROFIT_PCT),"Low profit",IF(AND(ISNUMBER(AT403),AT403&gt;MOQ_WARNING),"MOQ too high",IF(OR(AD403="Maybe",AD403="Price Review"),"Needs partner review",IF(AD403="Buy","Good candidate","")))))))))</f>
        <v/>
      </c>
      <c r="BF403" s="16" t="n"/>
      <c r="BG403" s="16" t="n"/>
      <c r="BH403" s="16" t="n"/>
      <c r="BI403" s="16" t="n"/>
      <c r="BJ403" s="16" t="n"/>
      <c r="BK403" s="16" t="n"/>
      <c r="BL403" s="16">
        <f>IF(C403="","",IF(AND(BG403="Yes",BH403="Yes",BI403="Yes",BJ403="Yes",BK403="Yes"),"Yes","No"))</f>
        <v/>
      </c>
      <c r="BM403" s="18" t="n"/>
      <c r="BN403" s="18" t="n"/>
      <c r="BO403" s="18">
        <f>IF(OR(BM403="",BN403=""),"",BM403+BN403)</f>
        <v/>
      </c>
      <c r="BP403" s="18" t="n"/>
      <c r="BQ403" s="18">
        <f>IF(OR(BP403="",BO403=""),"",BP403-BO403)</f>
        <v/>
      </c>
      <c r="BR403" s="19">
        <f>IF(OR(BP403="",BP403=0,BQ403=""),"",BQ403/BP403)</f>
        <v/>
      </c>
      <c r="BS403" s="17" t="n"/>
      <c r="BT403" s="22" t="n"/>
      <c r="BU403" s="22" t="n"/>
      <c r="BV403" s="16" t="n"/>
      <c r="BW403" s="16" t="n"/>
      <c r="BX403" s="22">
        <f>IF(OR(BT403="",BU403=""),"",BT403-BU403)</f>
        <v/>
      </c>
      <c r="BY403" s="16" t="n"/>
      <c r="BZ403" s="17" t="n"/>
      <c r="CA403" s="16" t="n"/>
      <c r="CB403" s="16" t="n"/>
    </row>
    <row r="404">
      <c r="A404" s="23">
        <f>IF(C404="","","AYN-"&amp;IFERROR(VLOOKUP(E404,CATEGORY_PREFIX_TABLE,2,FALSE),"OTH")&amp;"-"&amp;TEXT(ROW()-2,"0000"))</f>
        <v/>
      </c>
      <c r="B404" s="24" t="n"/>
      <c r="C404" s="23" t="n"/>
      <c r="D404" s="23" t="n"/>
      <c r="E404" s="23" t="n"/>
      <c r="F404" s="23" t="n"/>
      <c r="G404" s="23" t="n"/>
      <c r="H404" s="23" t="n"/>
      <c r="I404" s="23" t="n"/>
      <c r="J404" s="23" t="n"/>
      <c r="K404" s="25">
        <f>IF(I404="","",IF(J404="BDT",I404,IF(J404="USD",I404*USD_BDT,IF(J404="RMB",I404*RMB_BDT,""))))</f>
        <v/>
      </c>
      <c r="L404" s="25" t="n"/>
      <c r="M404" s="26" t="n"/>
      <c r="N404" s="25" t="n"/>
      <c r="O404" s="25">
        <f>IF(K404="","",K404+IFERROR(L404,0)+(K404*IF(M404="",CUSTOMS_PCT,M404))+IF(N404="",MISC_FEE,N404))</f>
        <v/>
      </c>
      <c r="P404" s="25">
        <f>IF(O404="","",ROUND(O404*(1+MARKUP_PCT),-1)-1)</f>
        <v/>
      </c>
      <c r="Q404" s="25">
        <f>IF(P404="","",P404-O404)</f>
        <v/>
      </c>
      <c r="R404" s="26">
        <f>IF(OR(P404="",P404=0),"",Q404/P404)</f>
        <v/>
      </c>
      <c r="S404" s="23" t="n"/>
      <c r="T404" s="23" t="n"/>
      <c r="U404" s="23" t="n"/>
      <c r="V404" s="23" t="n"/>
      <c r="W404" s="23" t="n"/>
      <c r="X404" s="23" t="n"/>
      <c r="Y404" s="23" t="n"/>
      <c r="Z404" s="23" t="n"/>
      <c r="AA404" s="23" t="n"/>
      <c r="AB404" s="23" t="n"/>
      <c r="AC404" s="27">
        <f>IF(COUNT(S404:AB404)&lt;10,"",(S404*W_FEMININE+T404*W_TREND+U404*W_AESTHETIC+V404*W_STYLE+W404*W_LIGHT+X404*W_REELS+Y404*W_GIFT+Z404*W_PRICEFIT+AA404*W_DEMAND+AB404*W_QUALITY)/5*100)</f>
        <v/>
      </c>
      <c r="AD404" s="23">
        <f>IF(P404="","",IF(P404&gt;HARD_REJECT_PRICE,"Reject",IF(P404&gt;MAX_PRICE,"Price Review",IF(AC404="","",IF(AND(AC404&gt;=BUY_THRESHOLD,OR(AB404&lt;=2,U404&lt;=2)),"Maybe",IF(AC404&gt;=BUY_THRESHOLD,"Buy",IF(AC404&gt;=MAYBE_THRESHOLD,"Maybe","Reject")))))))</f>
        <v/>
      </c>
      <c r="AE404" s="23" t="n"/>
      <c r="AF404" s="23" t="n"/>
      <c r="AG404" s="23" t="n"/>
      <c r="AH404" s="23" t="n"/>
      <c r="AI404" s="24" t="n"/>
      <c r="AJ404">
        <f>IF(AC404="",-9999-ROW()*0.0000001,AC404-ROW()*0.0000001)</f>
        <v/>
      </c>
      <c r="AK404">
        <f>IF(OR(AC404="",P404="",P404&gt;MAX_PRICE),-9999-ROW()*0.0000001,AC404-ROW()*0.0000001)</f>
        <v/>
      </c>
      <c r="AL404">
        <f>IF(AC404="",-9999-ROW()*0.0000001,X404*1000+AC404-ROW()*0.0000001)</f>
        <v/>
      </c>
      <c r="AM404">
        <f>IF(AC404="",-9999-ROW()*0.0000001,Y404*1000+AC404-ROW()*0.0000001)</f>
        <v/>
      </c>
      <c r="AN404">
        <f>IF(AND(OR(AD404="Maybe",AD404="Price Review"),AG404&lt;&gt;"Approved",AG404&lt;&gt;"Rejected"),IF(AC404="",0,AC404)-ROW()*0.0000001,-9999-ROW()*0.0000001)</f>
        <v/>
      </c>
      <c r="AO404" s="28" t="n"/>
      <c r="AP404" s="28" t="n"/>
      <c r="AQ404" s="29" t="n"/>
      <c r="AR404" s="29" t="n"/>
      <c r="AS404" s="23" t="n"/>
      <c r="AT404" s="29" t="n"/>
      <c r="AU404" s="29" t="n"/>
      <c r="AV404" s="29" t="n"/>
      <c r="AW404" s="25">
        <f>IF(OR(O404="",AV404=""),"",O404*AV404)</f>
        <v/>
      </c>
      <c r="AX404" s="23" t="n"/>
      <c r="AY404" s="23" t="n"/>
      <c r="AZ404" s="23" t="n"/>
      <c r="BA404" s="23" t="n"/>
      <c r="BB404" s="23" t="n"/>
      <c r="BC404" s="25" t="n"/>
      <c r="BD404" s="23" t="n"/>
      <c r="BE404" s="23">
        <f>IF(C404="","",IF(AND(ISNUMBER(P404),P404&gt;MAX_PRICE),"Price too high",IF(AND(ISNUMBER(AB404),AB404&lt;=2),"Quality risk",IF(AND(ISNUMBER(U404),U404&lt;=2),"Aesthetic mismatch",IF(AY404="High","Too fragile",IF(AND(ISNUMBER(R404),R404&lt;LOW_PROFIT_PCT),"Low profit",IF(AND(ISNUMBER(AT404),AT404&gt;MOQ_WARNING),"MOQ too high",IF(OR(AD404="Maybe",AD404="Price Review"),"Needs partner review",IF(AD404="Buy","Good candidate","")))))))))</f>
        <v/>
      </c>
      <c r="BF404" s="23" t="n"/>
      <c r="BG404" s="23" t="n"/>
      <c r="BH404" s="23" t="n"/>
      <c r="BI404" s="23" t="n"/>
      <c r="BJ404" s="23" t="n"/>
      <c r="BK404" s="23" t="n"/>
      <c r="BL404" s="23">
        <f>IF(C404="","",IF(AND(BG404="Yes",BH404="Yes",BI404="Yes",BJ404="Yes",BK404="Yes"),"Yes","No"))</f>
        <v/>
      </c>
      <c r="BM404" s="25" t="n"/>
      <c r="BN404" s="25" t="n"/>
      <c r="BO404" s="25">
        <f>IF(OR(BM404="",BN404=""),"",BM404+BN404)</f>
        <v/>
      </c>
      <c r="BP404" s="25" t="n"/>
      <c r="BQ404" s="25">
        <f>IF(OR(BP404="",BO404=""),"",BP404-BO404)</f>
        <v/>
      </c>
      <c r="BR404" s="26">
        <f>IF(OR(BP404="",BP404=0,BQ404=""),"",BQ404/BP404)</f>
        <v/>
      </c>
      <c r="BS404" s="24" t="n"/>
      <c r="BT404" s="29" t="n"/>
      <c r="BU404" s="29" t="n"/>
      <c r="BV404" s="23" t="n"/>
      <c r="BW404" s="23" t="n"/>
      <c r="BX404" s="29">
        <f>IF(OR(BT404="",BU404=""),"",BT404-BU404)</f>
        <v/>
      </c>
      <c r="BY404" s="23" t="n"/>
      <c r="BZ404" s="24" t="n"/>
      <c r="CA404" s="23" t="n"/>
      <c r="CB404" s="23" t="n"/>
    </row>
    <row r="405">
      <c r="A405" s="16">
        <f>IF(C405="","","AYN-"&amp;IFERROR(VLOOKUP(E405,CATEGORY_PREFIX_TABLE,2,FALSE),"OTH")&amp;"-"&amp;TEXT(ROW()-2,"0000"))</f>
        <v/>
      </c>
      <c r="B405" s="17" t="n"/>
      <c r="C405" s="16" t="n"/>
      <c r="D405" s="16" t="n"/>
      <c r="E405" s="16" t="n"/>
      <c r="F405" s="16" t="n"/>
      <c r="G405" s="16" t="n"/>
      <c r="H405" s="16" t="n"/>
      <c r="I405" s="16" t="n"/>
      <c r="J405" s="16" t="n"/>
      <c r="K405" s="18">
        <f>IF(I405="","",IF(J405="BDT",I405,IF(J405="USD",I405*USD_BDT,IF(J405="RMB",I405*RMB_BDT,""))))</f>
        <v/>
      </c>
      <c r="L405" s="18" t="n"/>
      <c r="M405" s="19" t="n"/>
      <c r="N405" s="18" t="n"/>
      <c r="O405" s="18">
        <f>IF(K405="","",K405+IFERROR(L405,0)+(K405*IF(M405="",CUSTOMS_PCT,M405))+IF(N405="",MISC_FEE,N405))</f>
        <v/>
      </c>
      <c r="P405" s="18">
        <f>IF(O405="","",ROUND(O405*(1+MARKUP_PCT),-1)-1)</f>
        <v/>
      </c>
      <c r="Q405" s="18">
        <f>IF(P405="","",P405-O405)</f>
        <v/>
      </c>
      <c r="R405" s="19">
        <f>IF(OR(P405="",P405=0),"",Q405/P405)</f>
        <v/>
      </c>
      <c r="S405" s="16" t="n"/>
      <c r="T405" s="16" t="n"/>
      <c r="U405" s="16" t="n"/>
      <c r="V405" s="16" t="n"/>
      <c r="W405" s="16" t="n"/>
      <c r="X405" s="16" t="n"/>
      <c r="Y405" s="16" t="n"/>
      <c r="Z405" s="16" t="n"/>
      <c r="AA405" s="16" t="n"/>
      <c r="AB405" s="16" t="n"/>
      <c r="AC405" s="20">
        <f>IF(COUNT(S405:AB405)&lt;10,"",(S405*W_FEMININE+T405*W_TREND+U405*W_AESTHETIC+V405*W_STYLE+W405*W_LIGHT+X405*W_REELS+Y405*W_GIFT+Z405*W_PRICEFIT+AA405*W_DEMAND+AB405*W_QUALITY)/5*100)</f>
        <v/>
      </c>
      <c r="AD405" s="16">
        <f>IF(P405="","",IF(P405&gt;HARD_REJECT_PRICE,"Reject",IF(P405&gt;MAX_PRICE,"Price Review",IF(AC405="","",IF(AND(AC405&gt;=BUY_THRESHOLD,OR(AB405&lt;=2,U405&lt;=2)),"Maybe",IF(AC405&gt;=BUY_THRESHOLD,"Buy",IF(AC405&gt;=MAYBE_THRESHOLD,"Maybe","Reject")))))))</f>
        <v/>
      </c>
      <c r="AE405" s="16" t="n"/>
      <c r="AF405" s="16" t="n"/>
      <c r="AG405" s="16" t="n"/>
      <c r="AH405" s="16" t="n"/>
      <c r="AI405" s="17" t="n"/>
      <c r="AJ405">
        <f>IF(AC405="",-9999-ROW()*0.0000001,AC405-ROW()*0.0000001)</f>
        <v/>
      </c>
      <c r="AK405">
        <f>IF(OR(AC405="",P405="",P405&gt;MAX_PRICE),-9999-ROW()*0.0000001,AC405-ROW()*0.0000001)</f>
        <v/>
      </c>
      <c r="AL405">
        <f>IF(AC405="",-9999-ROW()*0.0000001,X405*1000+AC405-ROW()*0.0000001)</f>
        <v/>
      </c>
      <c r="AM405">
        <f>IF(AC405="",-9999-ROW()*0.0000001,Y405*1000+AC405-ROW()*0.0000001)</f>
        <v/>
      </c>
      <c r="AN405">
        <f>IF(AND(OR(AD405="Maybe",AD405="Price Review"),AG405&lt;&gt;"Approved",AG405&lt;&gt;"Rejected"),IF(AC405="",0,AC405)-ROW()*0.0000001,-9999-ROW()*0.0000001)</f>
        <v/>
      </c>
      <c r="AO405" s="21" t="n"/>
      <c r="AP405" s="21" t="n"/>
      <c r="AQ405" s="22" t="n"/>
      <c r="AR405" s="22" t="n"/>
      <c r="AS405" s="16" t="n"/>
      <c r="AT405" s="22" t="n"/>
      <c r="AU405" s="22" t="n"/>
      <c r="AV405" s="22" t="n"/>
      <c r="AW405" s="18">
        <f>IF(OR(O405="",AV405=""),"",O405*AV405)</f>
        <v/>
      </c>
      <c r="AX405" s="16" t="n"/>
      <c r="AY405" s="16" t="n"/>
      <c r="AZ405" s="16" t="n"/>
      <c r="BA405" s="16" t="n"/>
      <c r="BB405" s="16" t="n"/>
      <c r="BC405" s="18" t="n"/>
      <c r="BD405" s="16" t="n"/>
      <c r="BE405" s="16">
        <f>IF(C405="","",IF(AND(ISNUMBER(P405),P405&gt;MAX_PRICE),"Price too high",IF(AND(ISNUMBER(AB405),AB405&lt;=2),"Quality risk",IF(AND(ISNUMBER(U405),U405&lt;=2),"Aesthetic mismatch",IF(AY405="High","Too fragile",IF(AND(ISNUMBER(R405),R405&lt;LOW_PROFIT_PCT),"Low profit",IF(AND(ISNUMBER(AT405),AT405&gt;MOQ_WARNING),"MOQ too high",IF(OR(AD405="Maybe",AD405="Price Review"),"Needs partner review",IF(AD405="Buy","Good candidate","")))))))))</f>
        <v/>
      </c>
      <c r="BF405" s="16" t="n"/>
      <c r="BG405" s="16" t="n"/>
      <c r="BH405" s="16" t="n"/>
      <c r="BI405" s="16" t="n"/>
      <c r="BJ405" s="16" t="n"/>
      <c r="BK405" s="16" t="n"/>
      <c r="BL405" s="16">
        <f>IF(C405="","",IF(AND(BG405="Yes",BH405="Yes",BI405="Yes",BJ405="Yes",BK405="Yes"),"Yes","No"))</f>
        <v/>
      </c>
      <c r="BM405" s="18" t="n"/>
      <c r="BN405" s="18" t="n"/>
      <c r="BO405" s="18">
        <f>IF(OR(BM405="",BN405=""),"",BM405+BN405)</f>
        <v/>
      </c>
      <c r="BP405" s="18" t="n"/>
      <c r="BQ405" s="18">
        <f>IF(OR(BP405="",BO405=""),"",BP405-BO405)</f>
        <v/>
      </c>
      <c r="BR405" s="19">
        <f>IF(OR(BP405="",BP405=0,BQ405=""),"",BQ405/BP405)</f>
        <v/>
      </c>
      <c r="BS405" s="17" t="n"/>
      <c r="BT405" s="22" t="n"/>
      <c r="BU405" s="22" t="n"/>
      <c r="BV405" s="16" t="n"/>
      <c r="BW405" s="16" t="n"/>
      <c r="BX405" s="22">
        <f>IF(OR(BT405="",BU405=""),"",BT405-BU405)</f>
        <v/>
      </c>
      <c r="BY405" s="16" t="n"/>
      <c r="BZ405" s="17" t="n"/>
      <c r="CA405" s="16" t="n"/>
      <c r="CB405" s="16" t="n"/>
    </row>
    <row r="406">
      <c r="A406" s="23">
        <f>IF(C406="","","AYN-"&amp;IFERROR(VLOOKUP(E406,CATEGORY_PREFIX_TABLE,2,FALSE),"OTH")&amp;"-"&amp;TEXT(ROW()-2,"0000"))</f>
        <v/>
      </c>
      <c r="B406" s="24" t="n"/>
      <c r="C406" s="23" t="n"/>
      <c r="D406" s="23" t="n"/>
      <c r="E406" s="23" t="n"/>
      <c r="F406" s="23" t="n"/>
      <c r="G406" s="23" t="n"/>
      <c r="H406" s="23" t="n"/>
      <c r="I406" s="23" t="n"/>
      <c r="J406" s="23" t="n"/>
      <c r="K406" s="25">
        <f>IF(I406="","",IF(J406="BDT",I406,IF(J406="USD",I406*USD_BDT,IF(J406="RMB",I406*RMB_BDT,""))))</f>
        <v/>
      </c>
      <c r="L406" s="25" t="n"/>
      <c r="M406" s="26" t="n"/>
      <c r="N406" s="25" t="n"/>
      <c r="O406" s="25">
        <f>IF(K406="","",K406+IFERROR(L406,0)+(K406*IF(M406="",CUSTOMS_PCT,M406))+IF(N406="",MISC_FEE,N406))</f>
        <v/>
      </c>
      <c r="P406" s="25">
        <f>IF(O406="","",ROUND(O406*(1+MARKUP_PCT),-1)-1)</f>
        <v/>
      </c>
      <c r="Q406" s="25">
        <f>IF(P406="","",P406-O406)</f>
        <v/>
      </c>
      <c r="R406" s="26">
        <f>IF(OR(P406="",P406=0),"",Q406/P406)</f>
        <v/>
      </c>
      <c r="S406" s="23" t="n"/>
      <c r="T406" s="23" t="n"/>
      <c r="U406" s="23" t="n"/>
      <c r="V406" s="23" t="n"/>
      <c r="W406" s="23" t="n"/>
      <c r="X406" s="23" t="n"/>
      <c r="Y406" s="23" t="n"/>
      <c r="Z406" s="23" t="n"/>
      <c r="AA406" s="23" t="n"/>
      <c r="AB406" s="23" t="n"/>
      <c r="AC406" s="27">
        <f>IF(COUNT(S406:AB406)&lt;10,"",(S406*W_FEMININE+T406*W_TREND+U406*W_AESTHETIC+V406*W_STYLE+W406*W_LIGHT+X406*W_REELS+Y406*W_GIFT+Z406*W_PRICEFIT+AA406*W_DEMAND+AB406*W_QUALITY)/5*100)</f>
        <v/>
      </c>
      <c r="AD406" s="23">
        <f>IF(P406="","",IF(P406&gt;HARD_REJECT_PRICE,"Reject",IF(P406&gt;MAX_PRICE,"Price Review",IF(AC406="","",IF(AND(AC406&gt;=BUY_THRESHOLD,OR(AB406&lt;=2,U406&lt;=2)),"Maybe",IF(AC406&gt;=BUY_THRESHOLD,"Buy",IF(AC406&gt;=MAYBE_THRESHOLD,"Maybe","Reject")))))))</f>
        <v/>
      </c>
      <c r="AE406" s="23" t="n"/>
      <c r="AF406" s="23" t="n"/>
      <c r="AG406" s="23" t="n"/>
      <c r="AH406" s="23" t="n"/>
      <c r="AI406" s="24" t="n"/>
      <c r="AJ406">
        <f>IF(AC406="",-9999-ROW()*0.0000001,AC406-ROW()*0.0000001)</f>
        <v/>
      </c>
      <c r="AK406">
        <f>IF(OR(AC406="",P406="",P406&gt;MAX_PRICE),-9999-ROW()*0.0000001,AC406-ROW()*0.0000001)</f>
        <v/>
      </c>
      <c r="AL406">
        <f>IF(AC406="",-9999-ROW()*0.0000001,X406*1000+AC406-ROW()*0.0000001)</f>
        <v/>
      </c>
      <c r="AM406">
        <f>IF(AC406="",-9999-ROW()*0.0000001,Y406*1000+AC406-ROW()*0.0000001)</f>
        <v/>
      </c>
      <c r="AN406">
        <f>IF(AND(OR(AD406="Maybe",AD406="Price Review"),AG406&lt;&gt;"Approved",AG406&lt;&gt;"Rejected"),IF(AC406="",0,AC406)-ROW()*0.0000001,-9999-ROW()*0.0000001)</f>
        <v/>
      </c>
      <c r="AO406" s="28" t="n"/>
      <c r="AP406" s="28" t="n"/>
      <c r="AQ406" s="29" t="n"/>
      <c r="AR406" s="29" t="n"/>
      <c r="AS406" s="23" t="n"/>
      <c r="AT406" s="29" t="n"/>
      <c r="AU406" s="29" t="n"/>
      <c r="AV406" s="29" t="n"/>
      <c r="AW406" s="25">
        <f>IF(OR(O406="",AV406=""),"",O406*AV406)</f>
        <v/>
      </c>
      <c r="AX406" s="23" t="n"/>
      <c r="AY406" s="23" t="n"/>
      <c r="AZ406" s="23" t="n"/>
      <c r="BA406" s="23" t="n"/>
      <c r="BB406" s="23" t="n"/>
      <c r="BC406" s="25" t="n"/>
      <c r="BD406" s="23" t="n"/>
      <c r="BE406" s="23">
        <f>IF(C406="","",IF(AND(ISNUMBER(P406),P406&gt;MAX_PRICE),"Price too high",IF(AND(ISNUMBER(AB406),AB406&lt;=2),"Quality risk",IF(AND(ISNUMBER(U406),U406&lt;=2),"Aesthetic mismatch",IF(AY406="High","Too fragile",IF(AND(ISNUMBER(R406),R406&lt;LOW_PROFIT_PCT),"Low profit",IF(AND(ISNUMBER(AT406),AT406&gt;MOQ_WARNING),"MOQ too high",IF(OR(AD406="Maybe",AD406="Price Review"),"Needs partner review",IF(AD406="Buy","Good candidate","")))))))))</f>
        <v/>
      </c>
      <c r="BF406" s="23" t="n"/>
      <c r="BG406" s="23" t="n"/>
      <c r="BH406" s="23" t="n"/>
      <c r="BI406" s="23" t="n"/>
      <c r="BJ406" s="23" t="n"/>
      <c r="BK406" s="23" t="n"/>
      <c r="BL406" s="23">
        <f>IF(C406="","",IF(AND(BG406="Yes",BH406="Yes",BI406="Yes",BJ406="Yes",BK406="Yes"),"Yes","No"))</f>
        <v/>
      </c>
      <c r="BM406" s="25" t="n"/>
      <c r="BN406" s="25" t="n"/>
      <c r="BO406" s="25">
        <f>IF(OR(BM406="",BN406=""),"",BM406+BN406)</f>
        <v/>
      </c>
      <c r="BP406" s="25" t="n"/>
      <c r="BQ406" s="25">
        <f>IF(OR(BP406="",BO406=""),"",BP406-BO406)</f>
        <v/>
      </c>
      <c r="BR406" s="26">
        <f>IF(OR(BP406="",BP406=0,BQ406=""),"",BQ406/BP406)</f>
        <v/>
      </c>
      <c r="BS406" s="24" t="n"/>
      <c r="BT406" s="29" t="n"/>
      <c r="BU406" s="29" t="n"/>
      <c r="BV406" s="23" t="n"/>
      <c r="BW406" s="23" t="n"/>
      <c r="BX406" s="29">
        <f>IF(OR(BT406="",BU406=""),"",BT406-BU406)</f>
        <v/>
      </c>
      <c r="BY406" s="23" t="n"/>
      <c r="BZ406" s="24" t="n"/>
      <c r="CA406" s="23" t="n"/>
      <c r="CB406" s="23" t="n"/>
    </row>
    <row r="407">
      <c r="A407" s="16">
        <f>IF(C407="","","AYN-"&amp;IFERROR(VLOOKUP(E407,CATEGORY_PREFIX_TABLE,2,FALSE),"OTH")&amp;"-"&amp;TEXT(ROW()-2,"0000"))</f>
        <v/>
      </c>
      <c r="B407" s="17" t="n"/>
      <c r="C407" s="16" t="n"/>
      <c r="D407" s="16" t="n"/>
      <c r="E407" s="16" t="n"/>
      <c r="F407" s="16" t="n"/>
      <c r="G407" s="16" t="n"/>
      <c r="H407" s="16" t="n"/>
      <c r="I407" s="16" t="n"/>
      <c r="J407" s="16" t="n"/>
      <c r="K407" s="18">
        <f>IF(I407="","",IF(J407="BDT",I407,IF(J407="USD",I407*USD_BDT,IF(J407="RMB",I407*RMB_BDT,""))))</f>
        <v/>
      </c>
      <c r="L407" s="18" t="n"/>
      <c r="M407" s="19" t="n"/>
      <c r="N407" s="18" t="n"/>
      <c r="O407" s="18">
        <f>IF(K407="","",K407+IFERROR(L407,0)+(K407*IF(M407="",CUSTOMS_PCT,M407))+IF(N407="",MISC_FEE,N407))</f>
        <v/>
      </c>
      <c r="P407" s="18">
        <f>IF(O407="","",ROUND(O407*(1+MARKUP_PCT),-1)-1)</f>
        <v/>
      </c>
      <c r="Q407" s="18">
        <f>IF(P407="","",P407-O407)</f>
        <v/>
      </c>
      <c r="R407" s="19">
        <f>IF(OR(P407="",P407=0),"",Q407/P407)</f>
        <v/>
      </c>
      <c r="S407" s="16" t="n"/>
      <c r="T407" s="16" t="n"/>
      <c r="U407" s="16" t="n"/>
      <c r="V407" s="16" t="n"/>
      <c r="W407" s="16" t="n"/>
      <c r="X407" s="16" t="n"/>
      <c r="Y407" s="16" t="n"/>
      <c r="Z407" s="16" t="n"/>
      <c r="AA407" s="16" t="n"/>
      <c r="AB407" s="16" t="n"/>
      <c r="AC407" s="20">
        <f>IF(COUNT(S407:AB407)&lt;10,"",(S407*W_FEMININE+T407*W_TREND+U407*W_AESTHETIC+V407*W_STYLE+W407*W_LIGHT+X407*W_REELS+Y407*W_GIFT+Z407*W_PRICEFIT+AA407*W_DEMAND+AB407*W_QUALITY)/5*100)</f>
        <v/>
      </c>
      <c r="AD407" s="16">
        <f>IF(P407="","",IF(P407&gt;HARD_REJECT_PRICE,"Reject",IF(P407&gt;MAX_PRICE,"Price Review",IF(AC407="","",IF(AND(AC407&gt;=BUY_THRESHOLD,OR(AB407&lt;=2,U407&lt;=2)),"Maybe",IF(AC407&gt;=BUY_THRESHOLD,"Buy",IF(AC407&gt;=MAYBE_THRESHOLD,"Maybe","Reject")))))))</f>
        <v/>
      </c>
      <c r="AE407" s="16" t="n"/>
      <c r="AF407" s="16" t="n"/>
      <c r="AG407" s="16" t="n"/>
      <c r="AH407" s="16" t="n"/>
      <c r="AI407" s="17" t="n"/>
      <c r="AJ407">
        <f>IF(AC407="",-9999-ROW()*0.0000001,AC407-ROW()*0.0000001)</f>
        <v/>
      </c>
      <c r="AK407">
        <f>IF(OR(AC407="",P407="",P407&gt;MAX_PRICE),-9999-ROW()*0.0000001,AC407-ROW()*0.0000001)</f>
        <v/>
      </c>
      <c r="AL407">
        <f>IF(AC407="",-9999-ROW()*0.0000001,X407*1000+AC407-ROW()*0.0000001)</f>
        <v/>
      </c>
      <c r="AM407">
        <f>IF(AC407="",-9999-ROW()*0.0000001,Y407*1000+AC407-ROW()*0.0000001)</f>
        <v/>
      </c>
      <c r="AN407">
        <f>IF(AND(OR(AD407="Maybe",AD407="Price Review"),AG407&lt;&gt;"Approved",AG407&lt;&gt;"Rejected"),IF(AC407="",0,AC407)-ROW()*0.0000001,-9999-ROW()*0.0000001)</f>
        <v/>
      </c>
      <c r="AO407" s="21" t="n"/>
      <c r="AP407" s="21" t="n"/>
      <c r="AQ407" s="22" t="n"/>
      <c r="AR407" s="22" t="n"/>
      <c r="AS407" s="16" t="n"/>
      <c r="AT407" s="22" t="n"/>
      <c r="AU407" s="22" t="n"/>
      <c r="AV407" s="22" t="n"/>
      <c r="AW407" s="18">
        <f>IF(OR(O407="",AV407=""),"",O407*AV407)</f>
        <v/>
      </c>
      <c r="AX407" s="16" t="n"/>
      <c r="AY407" s="16" t="n"/>
      <c r="AZ407" s="16" t="n"/>
      <c r="BA407" s="16" t="n"/>
      <c r="BB407" s="16" t="n"/>
      <c r="BC407" s="18" t="n"/>
      <c r="BD407" s="16" t="n"/>
      <c r="BE407" s="16">
        <f>IF(C407="","",IF(AND(ISNUMBER(P407),P407&gt;MAX_PRICE),"Price too high",IF(AND(ISNUMBER(AB407),AB407&lt;=2),"Quality risk",IF(AND(ISNUMBER(U407),U407&lt;=2),"Aesthetic mismatch",IF(AY407="High","Too fragile",IF(AND(ISNUMBER(R407),R407&lt;LOW_PROFIT_PCT),"Low profit",IF(AND(ISNUMBER(AT407),AT407&gt;MOQ_WARNING),"MOQ too high",IF(OR(AD407="Maybe",AD407="Price Review"),"Needs partner review",IF(AD407="Buy","Good candidate","")))))))))</f>
        <v/>
      </c>
      <c r="BF407" s="16" t="n"/>
      <c r="BG407" s="16" t="n"/>
      <c r="BH407" s="16" t="n"/>
      <c r="BI407" s="16" t="n"/>
      <c r="BJ407" s="16" t="n"/>
      <c r="BK407" s="16" t="n"/>
      <c r="BL407" s="16">
        <f>IF(C407="","",IF(AND(BG407="Yes",BH407="Yes",BI407="Yes",BJ407="Yes",BK407="Yes"),"Yes","No"))</f>
        <v/>
      </c>
      <c r="BM407" s="18" t="n"/>
      <c r="BN407" s="18" t="n"/>
      <c r="BO407" s="18">
        <f>IF(OR(BM407="",BN407=""),"",BM407+BN407)</f>
        <v/>
      </c>
      <c r="BP407" s="18" t="n"/>
      <c r="BQ407" s="18">
        <f>IF(OR(BP407="",BO407=""),"",BP407-BO407)</f>
        <v/>
      </c>
      <c r="BR407" s="19">
        <f>IF(OR(BP407="",BP407=0,BQ407=""),"",BQ407/BP407)</f>
        <v/>
      </c>
      <c r="BS407" s="17" t="n"/>
      <c r="BT407" s="22" t="n"/>
      <c r="BU407" s="22" t="n"/>
      <c r="BV407" s="16" t="n"/>
      <c r="BW407" s="16" t="n"/>
      <c r="BX407" s="22">
        <f>IF(OR(BT407="",BU407=""),"",BT407-BU407)</f>
        <v/>
      </c>
      <c r="BY407" s="16" t="n"/>
      <c r="BZ407" s="17" t="n"/>
      <c r="CA407" s="16" t="n"/>
      <c r="CB407" s="16" t="n"/>
    </row>
    <row r="408">
      <c r="A408" s="23">
        <f>IF(C408="","","AYN-"&amp;IFERROR(VLOOKUP(E408,CATEGORY_PREFIX_TABLE,2,FALSE),"OTH")&amp;"-"&amp;TEXT(ROW()-2,"0000"))</f>
        <v/>
      </c>
      <c r="B408" s="24" t="n"/>
      <c r="C408" s="23" t="n"/>
      <c r="D408" s="23" t="n"/>
      <c r="E408" s="23" t="n"/>
      <c r="F408" s="23" t="n"/>
      <c r="G408" s="23" t="n"/>
      <c r="H408" s="23" t="n"/>
      <c r="I408" s="23" t="n"/>
      <c r="J408" s="23" t="n"/>
      <c r="K408" s="25">
        <f>IF(I408="","",IF(J408="BDT",I408,IF(J408="USD",I408*USD_BDT,IF(J408="RMB",I408*RMB_BDT,""))))</f>
        <v/>
      </c>
      <c r="L408" s="25" t="n"/>
      <c r="M408" s="26" t="n"/>
      <c r="N408" s="25" t="n"/>
      <c r="O408" s="25">
        <f>IF(K408="","",K408+IFERROR(L408,0)+(K408*IF(M408="",CUSTOMS_PCT,M408))+IF(N408="",MISC_FEE,N408))</f>
        <v/>
      </c>
      <c r="P408" s="25">
        <f>IF(O408="","",ROUND(O408*(1+MARKUP_PCT),-1)-1)</f>
        <v/>
      </c>
      <c r="Q408" s="25">
        <f>IF(P408="","",P408-O408)</f>
        <v/>
      </c>
      <c r="R408" s="26">
        <f>IF(OR(P408="",P408=0),"",Q408/P408)</f>
        <v/>
      </c>
      <c r="S408" s="23" t="n"/>
      <c r="T408" s="23" t="n"/>
      <c r="U408" s="23" t="n"/>
      <c r="V408" s="23" t="n"/>
      <c r="W408" s="23" t="n"/>
      <c r="X408" s="23" t="n"/>
      <c r="Y408" s="23" t="n"/>
      <c r="Z408" s="23" t="n"/>
      <c r="AA408" s="23" t="n"/>
      <c r="AB408" s="23" t="n"/>
      <c r="AC408" s="27">
        <f>IF(COUNT(S408:AB408)&lt;10,"",(S408*W_FEMININE+T408*W_TREND+U408*W_AESTHETIC+V408*W_STYLE+W408*W_LIGHT+X408*W_REELS+Y408*W_GIFT+Z408*W_PRICEFIT+AA408*W_DEMAND+AB408*W_QUALITY)/5*100)</f>
        <v/>
      </c>
      <c r="AD408" s="23">
        <f>IF(P408="","",IF(P408&gt;HARD_REJECT_PRICE,"Reject",IF(P408&gt;MAX_PRICE,"Price Review",IF(AC408="","",IF(AND(AC408&gt;=BUY_THRESHOLD,OR(AB408&lt;=2,U408&lt;=2)),"Maybe",IF(AC408&gt;=BUY_THRESHOLD,"Buy",IF(AC408&gt;=MAYBE_THRESHOLD,"Maybe","Reject")))))))</f>
        <v/>
      </c>
      <c r="AE408" s="23" t="n"/>
      <c r="AF408" s="23" t="n"/>
      <c r="AG408" s="23" t="n"/>
      <c r="AH408" s="23" t="n"/>
      <c r="AI408" s="24" t="n"/>
      <c r="AJ408">
        <f>IF(AC408="",-9999-ROW()*0.0000001,AC408-ROW()*0.0000001)</f>
        <v/>
      </c>
      <c r="AK408">
        <f>IF(OR(AC408="",P408="",P408&gt;MAX_PRICE),-9999-ROW()*0.0000001,AC408-ROW()*0.0000001)</f>
        <v/>
      </c>
      <c r="AL408">
        <f>IF(AC408="",-9999-ROW()*0.0000001,X408*1000+AC408-ROW()*0.0000001)</f>
        <v/>
      </c>
      <c r="AM408">
        <f>IF(AC408="",-9999-ROW()*0.0000001,Y408*1000+AC408-ROW()*0.0000001)</f>
        <v/>
      </c>
      <c r="AN408">
        <f>IF(AND(OR(AD408="Maybe",AD408="Price Review"),AG408&lt;&gt;"Approved",AG408&lt;&gt;"Rejected"),IF(AC408="",0,AC408)-ROW()*0.0000001,-9999-ROW()*0.0000001)</f>
        <v/>
      </c>
      <c r="AO408" s="28" t="n"/>
      <c r="AP408" s="28" t="n"/>
      <c r="AQ408" s="29" t="n"/>
      <c r="AR408" s="29" t="n"/>
      <c r="AS408" s="23" t="n"/>
      <c r="AT408" s="29" t="n"/>
      <c r="AU408" s="29" t="n"/>
      <c r="AV408" s="29" t="n"/>
      <c r="AW408" s="25">
        <f>IF(OR(O408="",AV408=""),"",O408*AV408)</f>
        <v/>
      </c>
      <c r="AX408" s="23" t="n"/>
      <c r="AY408" s="23" t="n"/>
      <c r="AZ408" s="23" t="n"/>
      <c r="BA408" s="23" t="n"/>
      <c r="BB408" s="23" t="n"/>
      <c r="BC408" s="25" t="n"/>
      <c r="BD408" s="23" t="n"/>
      <c r="BE408" s="23">
        <f>IF(C408="","",IF(AND(ISNUMBER(P408),P408&gt;MAX_PRICE),"Price too high",IF(AND(ISNUMBER(AB408),AB408&lt;=2),"Quality risk",IF(AND(ISNUMBER(U408),U408&lt;=2),"Aesthetic mismatch",IF(AY408="High","Too fragile",IF(AND(ISNUMBER(R408),R408&lt;LOW_PROFIT_PCT),"Low profit",IF(AND(ISNUMBER(AT408),AT408&gt;MOQ_WARNING),"MOQ too high",IF(OR(AD408="Maybe",AD408="Price Review"),"Needs partner review",IF(AD408="Buy","Good candidate","")))))))))</f>
        <v/>
      </c>
      <c r="BF408" s="23" t="n"/>
      <c r="BG408" s="23" t="n"/>
      <c r="BH408" s="23" t="n"/>
      <c r="BI408" s="23" t="n"/>
      <c r="BJ408" s="23" t="n"/>
      <c r="BK408" s="23" t="n"/>
      <c r="BL408" s="23">
        <f>IF(C408="","",IF(AND(BG408="Yes",BH408="Yes",BI408="Yes",BJ408="Yes",BK408="Yes"),"Yes","No"))</f>
        <v/>
      </c>
      <c r="BM408" s="25" t="n"/>
      <c r="BN408" s="25" t="n"/>
      <c r="BO408" s="25">
        <f>IF(OR(BM408="",BN408=""),"",BM408+BN408)</f>
        <v/>
      </c>
      <c r="BP408" s="25" t="n"/>
      <c r="BQ408" s="25">
        <f>IF(OR(BP408="",BO408=""),"",BP408-BO408)</f>
        <v/>
      </c>
      <c r="BR408" s="26">
        <f>IF(OR(BP408="",BP408=0,BQ408=""),"",BQ408/BP408)</f>
        <v/>
      </c>
      <c r="BS408" s="24" t="n"/>
      <c r="BT408" s="29" t="n"/>
      <c r="BU408" s="29" t="n"/>
      <c r="BV408" s="23" t="n"/>
      <c r="BW408" s="23" t="n"/>
      <c r="BX408" s="29">
        <f>IF(OR(BT408="",BU408=""),"",BT408-BU408)</f>
        <v/>
      </c>
      <c r="BY408" s="23" t="n"/>
      <c r="BZ408" s="24" t="n"/>
      <c r="CA408" s="23" t="n"/>
      <c r="CB408" s="23" t="n"/>
    </row>
    <row r="409">
      <c r="A409" s="16">
        <f>IF(C409="","","AYN-"&amp;IFERROR(VLOOKUP(E409,CATEGORY_PREFIX_TABLE,2,FALSE),"OTH")&amp;"-"&amp;TEXT(ROW()-2,"0000"))</f>
        <v/>
      </c>
      <c r="B409" s="17" t="n"/>
      <c r="C409" s="16" t="n"/>
      <c r="D409" s="16" t="n"/>
      <c r="E409" s="16" t="n"/>
      <c r="F409" s="16" t="n"/>
      <c r="G409" s="16" t="n"/>
      <c r="H409" s="16" t="n"/>
      <c r="I409" s="16" t="n"/>
      <c r="J409" s="16" t="n"/>
      <c r="K409" s="18">
        <f>IF(I409="","",IF(J409="BDT",I409,IF(J409="USD",I409*USD_BDT,IF(J409="RMB",I409*RMB_BDT,""))))</f>
        <v/>
      </c>
      <c r="L409" s="18" t="n"/>
      <c r="M409" s="19" t="n"/>
      <c r="N409" s="18" t="n"/>
      <c r="O409" s="18">
        <f>IF(K409="","",K409+IFERROR(L409,0)+(K409*IF(M409="",CUSTOMS_PCT,M409))+IF(N409="",MISC_FEE,N409))</f>
        <v/>
      </c>
      <c r="P409" s="18">
        <f>IF(O409="","",ROUND(O409*(1+MARKUP_PCT),-1)-1)</f>
        <v/>
      </c>
      <c r="Q409" s="18">
        <f>IF(P409="","",P409-O409)</f>
        <v/>
      </c>
      <c r="R409" s="19">
        <f>IF(OR(P409="",P409=0),"",Q409/P409)</f>
        <v/>
      </c>
      <c r="S409" s="16" t="n"/>
      <c r="T409" s="16" t="n"/>
      <c r="U409" s="16" t="n"/>
      <c r="V409" s="16" t="n"/>
      <c r="W409" s="16" t="n"/>
      <c r="X409" s="16" t="n"/>
      <c r="Y409" s="16" t="n"/>
      <c r="Z409" s="16" t="n"/>
      <c r="AA409" s="16" t="n"/>
      <c r="AB409" s="16" t="n"/>
      <c r="AC409" s="20">
        <f>IF(COUNT(S409:AB409)&lt;10,"",(S409*W_FEMININE+T409*W_TREND+U409*W_AESTHETIC+V409*W_STYLE+W409*W_LIGHT+X409*W_REELS+Y409*W_GIFT+Z409*W_PRICEFIT+AA409*W_DEMAND+AB409*W_QUALITY)/5*100)</f>
        <v/>
      </c>
      <c r="AD409" s="16">
        <f>IF(P409="","",IF(P409&gt;HARD_REJECT_PRICE,"Reject",IF(P409&gt;MAX_PRICE,"Price Review",IF(AC409="","",IF(AND(AC409&gt;=BUY_THRESHOLD,OR(AB409&lt;=2,U409&lt;=2)),"Maybe",IF(AC409&gt;=BUY_THRESHOLD,"Buy",IF(AC409&gt;=MAYBE_THRESHOLD,"Maybe","Reject")))))))</f>
        <v/>
      </c>
      <c r="AE409" s="16" t="n"/>
      <c r="AF409" s="16" t="n"/>
      <c r="AG409" s="16" t="n"/>
      <c r="AH409" s="16" t="n"/>
      <c r="AI409" s="17" t="n"/>
      <c r="AJ409">
        <f>IF(AC409="",-9999-ROW()*0.0000001,AC409-ROW()*0.0000001)</f>
        <v/>
      </c>
      <c r="AK409">
        <f>IF(OR(AC409="",P409="",P409&gt;MAX_PRICE),-9999-ROW()*0.0000001,AC409-ROW()*0.0000001)</f>
        <v/>
      </c>
      <c r="AL409">
        <f>IF(AC409="",-9999-ROW()*0.0000001,X409*1000+AC409-ROW()*0.0000001)</f>
        <v/>
      </c>
      <c r="AM409">
        <f>IF(AC409="",-9999-ROW()*0.0000001,Y409*1000+AC409-ROW()*0.0000001)</f>
        <v/>
      </c>
      <c r="AN409">
        <f>IF(AND(OR(AD409="Maybe",AD409="Price Review"),AG409&lt;&gt;"Approved",AG409&lt;&gt;"Rejected"),IF(AC409="",0,AC409)-ROW()*0.0000001,-9999-ROW()*0.0000001)</f>
        <v/>
      </c>
      <c r="AO409" s="21" t="n"/>
      <c r="AP409" s="21" t="n"/>
      <c r="AQ409" s="22" t="n"/>
      <c r="AR409" s="22" t="n"/>
      <c r="AS409" s="16" t="n"/>
      <c r="AT409" s="22" t="n"/>
      <c r="AU409" s="22" t="n"/>
      <c r="AV409" s="22" t="n"/>
      <c r="AW409" s="18">
        <f>IF(OR(O409="",AV409=""),"",O409*AV409)</f>
        <v/>
      </c>
      <c r="AX409" s="16" t="n"/>
      <c r="AY409" s="16" t="n"/>
      <c r="AZ409" s="16" t="n"/>
      <c r="BA409" s="16" t="n"/>
      <c r="BB409" s="16" t="n"/>
      <c r="BC409" s="18" t="n"/>
      <c r="BD409" s="16" t="n"/>
      <c r="BE409" s="16">
        <f>IF(C409="","",IF(AND(ISNUMBER(P409),P409&gt;MAX_PRICE),"Price too high",IF(AND(ISNUMBER(AB409),AB409&lt;=2),"Quality risk",IF(AND(ISNUMBER(U409),U409&lt;=2),"Aesthetic mismatch",IF(AY409="High","Too fragile",IF(AND(ISNUMBER(R409),R409&lt;LOW_PROFIT_PCT),"Low profit",IF(AND(ISNUMBER(AT409),AT409&gt;MOQ_WARNING),"MOQ too high",IF(OR(AD409="Maybe",AD409="Price Review"),"Needs partner review",IF(AD409="Buy","Good candidate","")))))))))</f>
        <v/>
      </c>
      <c r="BF409" s="16" t="n"/>
      <c r="BG409" s="16" t="n"/>
      <c r="BH409" s="16" t="n"/>
      <c r="BI409" s="16" t="n"/>
      <c r="BJ409" s="16" t="n"/>
      <c r="BK409" s="16" t="n"/>
      <c r="BL409" s="16">
        <f>IF(C409="","",IF(AND(BG409="Yes",BH409="Yes",BI409="Yes",BJ409="Yes",BK409="Yes"),"Yes","No"))</f>
        <v/>
      </c>
      <c r="BM409" s="18" t="n"/>
      <c r="BN409" s="18" t="n"/>
      <c r="BO409" s="18">
        <f>IF(OR(BM409="",BN409=""),"",BM409+BN409)</f>
        <v/>
      </c>
      <c r="BP409" s="18" t="n"/>
      <c r="BQ409" s="18">
        <f>IF(OR(BP409="",BO409=""),"",BP409-BO409)</f>
        <v/>
      </c>
      <c r="BR409" s="19">
        <f>IF(OR(BP409="",BP409=0,BQ409=""),"",BQ409/BP409)</f>
        <v/>
      </c>
      <c r="BS409" s="17" t="n"/>
      <c r="BT409" s="22" t="n"/>
      <c r="BU409" s="22" t="n"/>
      <c r="BV409" s="16" t="n"/>
      <c r="BW409" s="16" t="n"/>
      <c r="BX409" s="22">
        <f>IF(OR(BT409="",BU409=""),"",BT409-BU409)</f>
        <v/>
      </c>
      <c r="BY409" s="16" t="n"/>
      <c r="BZ409" s="17" t="n"/>
      <c r="CA409" s="16" t="n"/>
      <c r="CB409" s="16" t="n"/>
    </row>
    <row r="410">
      <c r="A410" s="23">
        <f>IF(C410="","","AYN-"&amp;IFERROR(VLOOKUP(E410,CATEGORY_PREFIX_TABLE,2,FALSE),"OTH")&amp;"-"&amp;TEXT(ROW()-2,"0000"))</f>
        <v/>
      </c>
      <c r="B410" s="24" t="n"/>
      <c r="C410" s="23" t="n"/>
      <c r="D410" s="23" t="n"/>
      <c r="E410" s="23" t="n"/>
      <c r="F410" s="23" t="n"/>
      <c r="G410" s="23" t="n"/>
      <c r="H410" s="23" t="n"/>
      <c r="I410" s="23" t="n"/>
      <c r="J410" s="23" t="n"/>
      <c r="K410" s="25">
        <f>IF(I410="","",IF(J410="BDT",I410,IF(J410="USD",I410*USD_BDT,IF(J410="RMB",I410*RMB_BDT,""))))</f>
        <v/>
      </c>
      <c r="L410" s="25" t="n"/>
      <c r="M410" s="26" t="n"/>
      <c r="N410" s="25" t="n"/>
      <c r="O410" s="25">
        <f>IF(K410="","",K410+IFERROR(L410,0)+(K410*IF(M410="",CUSTOMS_PCT,M410))+IF(N410="",MISC_FEE,N410))</f>
        <v/>
      </c>
      <c r="P410" s="25">
        <f>IF(O410="","",ROUND(O410*(1+MARKUP_PCT),-1)-1)</f>
        <v/>
      </c>
      <c r="Q410" s="25">
        <f>IF(P410="","",P410-O410)</f>
        <v/>
      </c>
      <c r="R410" s="26">
        <f>IF(OR(P410="",P410=0),"",Q410/P410)</f>
        <v/>
      </c>
      <c r="S410" s="23" t="n"/>
      <c r="T410" s="23" t="n"/>
      <c r="U410" s="23" t="n"/>
      <c r="V410" s="23" t="n"/>
      <c r="W410" s="23" t="n"/>
      <c r="X410" s="23" t="n"/>
      <c r="Y410" s="23" t="n"/>
      <c r="Z410" s="23" t="n"/>
      <c r="AA410" s="23" t="n"/>
      <c r="AB410" s="23" t="n"/>
      <c r="AC410" s="27">
        <f>IF(COUNT(S410:AB410)&lt;10,"",(S410*W_FEMININE+T410*W_TREND+U410*W_AESTHETIC+V410*W_STYLE+W410*W_LIGHT+X410*W_REELS+Y410*W_GIFT+Z410*W_PRICEFIT+AA410*W_DEMAND+AB410*W_QUALITY)/5*100)</f>
        <v/>
      </c>
      <c r="AD410" s="23">
        <f>IF(P410="","",IF(P410&gt;HARD_REJECT_PRICE,"Reject",IF(P410&gt;MAX_PRICE,"Price Review",IF(AC410="","",IF(AND(AC410&gt;=BUY_THRESHOLD,OR(AB410&lt;=2,U410&lt;=2)),"Maybe",IF(AC410&gt;=BUY_THRESHOLD,"Buy",IF(AC410&gt;=MAYBE_THRESHOLD,"Maybe","Reject")))))))</f>
        <v/>
      </c>
      <c r="AE410" s="23" t="n"/>
      <c r="AF410" s="23" t="n"/>
      <c r="AG410" s="23" t="n"/>
      <c r="AH410" s="23" t="n"/>
      <c r="AI410" s="24" t="n"/>
      <c r="AJ410">
        <f>IF(AC410="",-9999-ROW()*0.0000001,AC410-ROW()*0.0000001)</f>
        <v/>
      </c>
      <c r="AK410">
        <f>IF(OR(AC410="",P410="",P410&gt;MAX_PRICE),-9999-ROW()*0.0000001,AC410-ROW()*0.0000001)</f>
        <v/>
      </c>
      <c r="AL410">
        <f>IF(AC410="",-9999-ROW()*0.0000001,X410*1000+AC410-ROW()*0.0000001)</f>
        <v/>
      </c>
      <c r="AM410">
        <f>IF(AC410="",-9999-ROW()*0.0000001,Y410*1000+AC410-ROW()*0.0000001)</f>
        <v/>
      </c>
      <c r="AN410">
        <f>IF(AND(OR(AD410="Maybe",AD410="Price Review"),AG410&lt;&gt;"Approved",AG410&lt;&gt;"Rejected"),IF(AC410="",0,AC410)-ROW()*0.0000001,-9999-ROW()*0.0000001)</f>
        <v/>
      </c>
      <c r="AO410" s="28" t="n"/>
      <c r="AP410" s="28" t="n"/>
      <c r="AQ410" s="29" t="n"/>
      <c r="AR410" s="29" t="n"/>
      <c r="AS410" s="23" t="n"/>
      <c r="AT410" s="29" t="n"/>
      <c r="AU410" s="29" t="n"/>
      <c r="AV410" s="29" t="n"/>
      <c r="AW410" s="25">
        <f>IF(OR(O410="",AV410=""),"",O410*AV410)</f>
        <v/>
      </c>
      <c r="AX410" s="23" t="n"/>
      <c r="AY410" s="23" t="n"/>
      <c r="AZ410" s="23" t="n"/>
      <c r="BA410" s="23" t="n"/>
      <c r="BB410" s="23" t="n"/>
      <c r="BC410" s="25" t="n"/>
      <c r="BD410" s="23" t="n"/>
      <c r="BE410" s="23">
        <f>IF(C410="","",IF(AND(ISNUMBER(P410),P410&gt;MAX_PRICE),"Price too high",IF(AND(ISNUMBER(AB410),AB410&lt;=2),"Quality risk",IF(AND(ISNUMBER(U410),U410&lt;=2),"Aesthetic mismatch",IF(AY410="High","Too fragile",IF(AND(ISNUMBER(R410),R410&lt;LOW_PROFIT_PCT),"Low profit",IF(AND(ISNUMBER(AT410),AT410&gt;MOQ_WARNING),"MOQ too high",IF(OR(AD410="Maybe",AD410="Price Review"),"Needs partner review",IF(AD410="Buy","Good candidate","")))))))))</f>
        <v/>
      </c>
      <c r="BF410" s="23" t="n"/>
      <c r="BG410" s="23" t="n"/>
      <c r="BH410" s="23" t="n"/>
      <c r="BI410" s="23" t="n"/>
      <c r="BJ410" s="23" t="n"/>
      <c r="BK410" s="23" t="n"/>
      <c r="BL410" s="23">
        <f>IF(C410="","",IF(AND(BG410="Yes",BH410="Yes",BI410="Yes",BJ410="Yes",BK410="Yes"),"Yes","No"))</f>
        <v/>
      </c>
      <c r="BM410" s="25" t="n"/>
      <c r="BN410" s="25" t="n"/>
      <c r="BO410" s="25">
        <f>IF(OR(BM410="",BN410=""),"",BM410+BN410)</f>
        <v/>
      </c>
      <c r="BP410" s="25" t="n"/>
      <c r="BQ410" s="25">
        <f>IF(OR(BP410="",BO410=""),"",BP410-BO410)</f>
        <v/>
      </c>
      <c r="BR410" s="26">
        <f>IF(OR(BP410="",BP410=0,BQ410=""),"",BQ410/BP410)</f>
        <v/>
      </c>
      <c r="BS410" s="24" t="n"/>
      <c r="BT410" s="29" t="n"/>
      <c r="BU410" s="29" t="n"/>
      <c r="BV410" s="23" t="n"/>
      <c r="BW410" s="23" t="n"/>
      <c r="BX410" s="29">
        <f>IF(OR(BT410="",BU410=""),"",BT410-BU410)</f>
        <v/>
      </c>
      <c r="BY410" s="23" t="n"/>
      <c r="BZ410" s="24" t="n"/>
      <c r="CA410" s="23" t="n"/>
      <c r="CB410" s="23" t="n"/>
    </row>
    <row r="411">
      <c r="A411" s="16">
        <f>IF(C411="","","AYN-"&amp;IFERROR(VLOOKUP(E411,CATEGORY_PREFIX_TABLE,2,FALSE),"OTH")&amp;"-"&amp;TEXT(ROW()-2,"0000"))</f>
        <v/>
      </c>
      <c r="B411" s="17" t="n"/>
      <c r="C411" s="16" t="n"/>
      <c r="D411" s="16" t="n"/>
      <c r="E411" s="16" t="n"/>
      <c r="F411" s="16" t="n"/>
      <c r="G411" s="16" t="n"/>
      <c r="H411" s="16" t="n"/>
      <c r="I411" s="16" t="n"/>
      <c r="J411" s="16" t="n"/>
      <c r="K411" s="18">
        <f>IF(I411="","",IF(J411="BDT",I411,IF(J411="USD",I411*USD_BDT,IF(J411="RMB",I411*RMB_BDT,""))))</f>
        <v/>
      </c>
      <c r="L411" s="18" t="n"/>
      <c r="M411" s="19" t="n"/>
      <c r="N411" s="18" t="n"/>
      <c r="O411" s="18">
        <f>IF(K411="","",K411+IFERROR(L411,0)+(K411*IF(M411="",CUSTOMS_PCT,M411))+IF(N411="",MISC_FEE,N411))</f>
        <v/>
      </c>
      <c r="P411" s="18">
        <f>IF(O411="","",ROUND(O411*(1+MARKUP_PCT),-1)-1)</f>
        <v/>
      </c>
      <c r="Q411" s="18">
        <f>IF(P411="","",P411-O411)</f>
        <v/>
      </c>
      <c r="R411" s="19">
        <f>IF(OR(P411="",P411=0),"",Q411/P411)</f>
        <v/>
      </c>
      <c r="S411" s="16" t="n"/>
      <c r="T411" s="16" t="n"/>
      <c r="U411" s="16" t="n"/>
      <c r="V411" s="16" t="n"/>
      <c r="W411" s="16" t="n"/>
      <c r="X411" s="16" t="n"/>
      <c r="Y411" s="16" t="n"/>
      <c r="Z411" s="16" t="n"/>
      <c r="AA411" s="16" t="n"/>
      <c r="AB411" s="16" t="n"/>
      <c r="AC411" s="20">
        <f>IF(COUNT(S411:AB411)&lt;10,"",(S411*W_FEMININE+T411*W_TREND+U411*W_AESTHETIC+V411*W_STYLE+W411*W_LIGHT+X411*W_REELS+Y411*W_GIFT+Z411*W_PRICEFIT+AA411*W_DEMAND+AB411*W_QUALITY)/5*100)</f>
        <v/>
      </c>
      <c r="AD411" s="16">
        <f>IF(P411="","",IF(P411&gt;HARD_REJECT_PRICE,"Reject",IF(P411&gt;MAX_PRICE,"Price Review",IF(AC411="","",IF(AND(AC411&gt;=BUY_THRESHOLD,OR(AB411&lt;=2,U411&lt;=2)),"Maybe",IF(AC411&gt;=BUY_THRESHOLD,"Buy",IF(AC411&gt;=MAYBE_THRESHOLD,"Maybe","Reject")))))))</f>
        <v/>
      </c>
      <c r="AE411" s="16" t="n"/>
      <c r="AF411" s="16" t="n"/>
      <c r="AG411" s="16" t="n"/>
      <c r="AH411" s="16" t="n"/>
      <c r="AI411" s="17" t="n"/>
      <c r="AJ411">
        <f>IF(AC411="",-9999-ROW()*0.0000001,AC411-ROW()*0.0000001)</f>
        <v/>
      </c>
      <c r="AK411">
        <f>IF(OR(AC411="",P411="",P411&gt;MAX_PRICE),-9999-ROW()*0.0000001,AC411-ROW()*0.0000001)</f>
        <v/>
      </c>
      <c r="AL411">
        <f>IF(AC411="",-9999-ROW()*0.0000001,X411*1000+AC411-ROW()*0.0000001)</f>
        <v/>
      </c>
      <c r="AM411">
        <f>IF(AC411="",-9999-ROW()*0.0000001,Y411*1000+AC411-ROW()*0.0000001)</f>
        <v/>
      </c>
      <c r="AN411">
        <f>IF(AND(OR(AD411="Maybe",AD411="Price Review"),AG411&lt;&gt;"Approved",AG411&lt;&gt;"Rejected"),IF(AC411="",0,AC411)-ROW()*0.0000001,-9999-ROW()*0.0000001)</f>
        <v/>
      </c>
      <c r="AO411" s="21" t="n"/>
      <c r="AP411" s="21" t="n"/>
      <c r="AQ411" s="22" t="n"/>
      <c r="AR411" s="22" t="n"/>
      <c r="AS411" s="16" t="n"/>
      <c r="AT411" s="22" t="n"/>
      <c r="AU411" s="22" t="n"/>
      <c r="AV411" s="22" t="n"/>
      <c r="AW411" s="18">
        <f>IF(OR(O411="",AV411=""),"",O411*AV411)</f>
        <v/>
      </c>
      <c r="AX411" s="16" t="n"/>
      <c r="AY411" s="16" t="n"/>
      <c r="AZ411" s="16" t="n"/>
      <c r="BA411" s="16" t="n"/>
      <c r="BB411" s="16" t="n"/>
      <c r="BC411" s="18" t="n"/>
      <c r="BD411" s="16" t="n"/>
      <c r="BE411" s="16">
        <f>IF(C411="","",IF(AND(ISNUMBER(P411),P411&gt;MAX_PRICE),"Price too high",IF(AND(ISNUMBER(AB411),AB411&lt;=2),"Quality risk",IF(AND(ISNUMBER(U411),U411&lt;=2),"Aesthetic mismatch",IF(AY411="High","Too fragile",IF(AND(ISNUMBER(R411),R411&lt;LOW_PROFIT_PCT),"Low profit",IF(AND(ISNUMBER(AT411),AT411&gt;MOQ_WARNING),"MOQ too high",IF(OR(AD411="Maybe",AD411="Price Review"),"Needs partner review",IF(AD411="Buy","Good candidate","")))))))))</f>
        <v/>
      </c>
      <c r="BF411" s="16" t="n"/>
      <c r="BG411" s="16" t="n"/>
      <c r="BH411" s="16" t="n"/>
      <c r="BI411" s="16" t="n"/>
      <c r="BJ411" s="16" t="n"/>
      <c r="BK411" s="16" t="n"/>
      <c r="BL411" s="16">
        <f>IF(C411="","",IF(AND(BG411="Yes",BH411="Yes",BI411="Yes",BJ411="Yes",BK411="Yes"),"Yes","No"))</f>
        <v/>
      </c>
      <c r="BM411" s="18" t="n"/>
      <c r="BN411" s="18" t="n"/>
      <c r="BO411" s="18">
        <f>IF(OR(BM411="",BN411=""),"",BM411+BN411)</f>
        <v/>
      </c>
      <c r="BP411" s="18" t="n"/>
      <c r="BQ411" s="18">
        <f>IF(OR(BP411="",BO411=""),"",BP411-BO411)</f>
        <v/>
      </c>
      <c r="BR411" s="19">
        <f>IF(OR(BP411="",BP411=0,BQ411=""),"",BQ411/BP411)</f>
        <v/>
      </c>
      <c r="BS411" s="17" t="n"/>
      <c r="BT411" s="22" t="n"/>
      <c r="BU411" s="22" t="n"/>
      <c r="BV411" s="16" t="n"/>
      <c r="BW411" s="16" t="n"/>
      <c r="BX411" s="22">
        <f>IF(OR(BT411="",BU411=""),"",BT411-BU411)</f>
        <v/>
      </c>
      <c r="BY411" s="16" t="n"/>
      <c r="BZ411" s="17" t="n"/>
      <c r="CA411" s="16" t="n"/>
      <c r="CB411" s="16" t="n"/>
    </row>
    <row r="412">
      <c r="A412" s="23">
        <f>IF(C412="","","AYN-"&amp;IFERROR(VLOOKUP(E412,CATEGORY_PREFIX_TABLE,2,FALSE),"OTH")&amp;"-"&amp;TEXT(ROW()-2,"0000"))</f>
        <v/>
      </c>
      <c r="B412" s="24" t="n"/>
      <c r="C412" s="23" t="n"/>
      <c r="D412" s="23" t="n"/>
      <c r="E412" s="23" t="n"/>
      <c r="F412" s="23" t="n"/>
      <c r="G412" s="23" t="n"/>
      <c r="H412" s="23" t="n"/>
      <c r="I412" s="23" t="n"/>
      <c r="J412" s="23" t="n"/>
      <c r="K412" s="25">
        <f>IF(I412="","",IF(J412="BDT",I412,IF(J412="USD",I412*USD_BDT,IF(J412="RMB",I412*RMB_BDT,""))))</f>
        <v/>
      </c>
      <c r="L412" s="25" t="n"/>
      <c r="M412" s="26" t="n"/>
      <c r="N412" s="25" t="n"/>
      <c r="O412" s="25">
        <f>IF(K412="","",K412+IFERROR(L412,0)+(K412*IF(M412="",CUSTOMS_PCT,M412))+IF(N412="",MISC_FEE,N412))</f>
        <v/>
      </c>
      <c r="P412" s="25">
        <f>IF(O412="","",ROUND(O412*(1+MARKUP_PCT),-1)-1)</f>
        <v/>
      </c>
      <c r="Q412" s="25">
        <f>IF(P412="","",P412-O412)</f>
        <v/>
      </c>
      <c r="R412" s="26">
        <f>IF(OR(P412="",P412=0),"",Q412/P412)</f>
        <v/>
      </c>
      <c r="S412" s="23" t="n"/>
      <c r="T412" s="23" t="n"/>
      <c r="U412" s="23" t="n"/>
      <c r="V412" s="23" t="n"/>
      <c r="W412" s="23" t="n"/>
      <c r="X412" s="23" t="n"/>
      <c r="Y412" s="23" t="n"/>
      <c r="Z412" s="23" t="n"/>
      <c r="AA412" s="23" t="n"/>
      <c r="AB412" s="23" t="n"/>
      <c r="AC412" s="27">
        <f>IF(COUNT(S412:AB412)&lt;10,"",(S412*W_FEMININE+T412*W_TREND+U412*W_AESTHETIC+V412*W_STYLE+W412*W_LIGHT+X412*W_REELS+Y412*W_GIFT+Z412*W_PRICEFIT+AA412*W_DEMAND+AB412*W_QUALITY)/5*100)</f>
        <v/>
      </c>
      <c r="AD412" s="23">
        <f>IF(P412="","",IF(P412&gt;HARD_REJECT_PRICE,"Reject",IF(P412&gt;MAX_PRICE,"Price Review",IF(AC412="","",IF(AND(AC412&gt;=BUY_THRESHOLD,OR(AB412&lt;=2,U412&lt;=2)),"Maybe",IF(AC412&gt;=BUY_THRESHOLD,"Buy",IF(AC412&gt;=MAYBE_THRESHOLD,"Maybe","Reject")))))))</f>
        <v/>
      </c>
      <c r="AE412" s="23" t="n"/>
      <c r="AF412" s="23" t="n"/>
      <c r="AG412" s="23" t="n"/>
      <c r="AH412" s="23" t="n"/>
      <c r="AI412" s="24" t="n"/>
      <c r="AJ412">
        <f>IF(AC412="",-9999-ROW()*0.0000001,AC412-ROW()*0.0000001)</f>
        <v/>
      </c>
      <c r="AK412">
        <f>IF(OR(AC412="",P412="",P412&gt;MAX_PRICE),-9999-ROW()*0.0000001,AC412-ROW()*0.0000001)</f>
        <v/>
      </c>
      <c r="AL412">
        <f>IF(AC412="",-9999-ROW()*0.0000001,X412*1000+AC412-ROW()*0.0000001)</f>
        <v/>
      </c>
      <c r="AM412">
        <f>IF(AC412="",-9999-ROW()*0.0000001,Y412*1000+AC412-ROW()*0.0000001)</f>
        <v/>
      </c>
      <c r="AN412">
        <f>IF(AND(OR(AD412="Maybe",AD412="Price Review"),AG412&lt;&gt;"Approved",AG412&lt;&gt;"Rejected"),IF(AC412="",0,AC412)-ROW()*0.0000001,-9999-ROW()*0.0000001)</f>
        <v/>
      </c>
      <c r="AO412" s="28" t="n"/>
      <c r="AP412" s="28" t="n"/>
      <c r="AQ412" s="29" t="n"/>
      <c r="AR412" s="29" t="n"/>
      <c r="AS412" s="23" t="n"/>
      <c r="AT412" s="29" t="n"/>
      <c r="AU412" s="29" t="n"/>
      <c r="AV412" s="29" t="n"/>
      <c r="AW412" s="25">
        <f>IF(OR(O412="",AV412=""),"",O412*AV412)</f>
        <v/>
      </c>
      <c r="AX412" s="23" t="n"/>
      <c r="AY412" s="23" t="n"/>
      <c r="AZ412" s="23" t="n"/>
      <c r="BA412" s="23" t="n"/>
      <c r="BB412" s="23" t="n"/>
      <c r="BC412" s="25" t="n"/>
      <c r="BD412" s="23" t="n"/>
      <c r="BE412" s="23">
        <f>IF(C412="","",IF(AND(ISNUMBER(P412),P412&gt;MAX_PRICE),"Price too high",IF(AND(ISNUMBER(AB412),AB412&lt;=2),"Quality risk",IF(AND(ISNUMBER(U412),U412&lt;=2),"Aesthetic mismatch",IF(AY412="High","Too fragile",IF(AND(ISNUMBER(R412),R412&lt;LOW_PROFIT_PCT),"Low profit",IF(AND(ISNUMBER(AT412),AT412&gt;MOQ_WARNING),"MOQ too high",IF(OR(AD412="Maybe",AD412="Price Review"),"Needs partner review",IF(AD412="Buy","Good candidate","")))))))))</f>
        <v/>
      </c>
      <c r="BF412" s="23" t="n"/>
      <c r="BG412" s="23" t="n"/>
      <c r="BH412" s="23" t="n"/>
      <c r="BI412" s="23" t="n"/>
      <c r="BJ412" s="23" t="n"/>
      <c r="BK412" s="23" t="n"/>
      <c r="BL412" s="23">
        <f>IF(C412="","",IF(AND(BG412="Yes",BH412="Yes",BI412="Yes",BJ412="Yes",BK412="Yes"),"Yes","No"))</f>
        <v/>
      </c>
      <c r="BM412" s="25" t="n"/>
      <c r="BN412" s="25" t="n"/>
      <c r="BO412" s="25">
        <f>IF(OR(BM412="",BN412=""),"",BM412+BN412)</f>
        <v/>
      </c>
      <c r="BP412" s="25" t="n"/>
      <c r="BQ412" s="25">
        <f>IF(OR(BP412="",BO412=""),"",BP412-BO412)</f>
        <v/>
      </c>
      <c r="BR412" s="26">
        <f>IF(OR(BP412="",BP412=0,BQ412=""),"",BQ412/BP412)</f>
        <v/>
      </c>
      <c r="BS412" s="24" t="n"/>
      <c r="BT412" s="29" t="n"/>
      <c r="BU412" s="29" t="n"/>
      <c r="BV412" s="23" t="n"/>
      <c r="BW412" s="23" t="n"/>
      <c r="BX412" s="29">
        <f>IF(OR(BT412="",BU412=""),"",BT412-BU412)</f>
        <v/>
      </c>
      <c r="BY412" s="23" t="n"/>
      <c r="BZ412" s="24" t="n"/>
      <c r="CA412" s="23" t="n"/>
      <c r="CB412" s="23" t="n"/>
    </row>
    <row r="413">
      <c r="A413" s="16">
        <f>IF(C413="","","AYN-"&amp;IFERROR(VLOOKUP(E413,CATEGORY_PREFIX_TABLE,2,FALSE),"OTH")&amp;"-"&amp;TEXT(ROW()-2,"0000"))</f>
        <v/>
      </c>
      <c r="B413" s="17" t="n"/>
      <c r="C413" s="16" t="n"/>
      <c r="D413" s="16" t="n"/>
      <c r="E413" s="16" t="n"/>
      <c r="F413" s="16" t="n"/>
      <c r="G413" s="16" t="n"/>
      <c r="H413" s="16" t="n"/>
      <c r="I413" s="16" t="n"/>
      <c r="J413" s="16" t="n"/>
      <c r="K413" s="18">
        <f>IF(I413="","",IF(J413="BDT",I413,IF(J413="USD",I413*USD_BDT,IF(J413="RMB",I413*RMB_BDT,""))))</f>
        <v/>
      </c>
      <c r="L413" s="18" t="n"/>
      <c r="M413" s="19" t="n"/>
      <c r="N413" s="18" t="n"/>
      <c r="O413" s="18">
        <f>IF(K413="","",K413+IFERROR(L413,0)+(K413*IF(M413="",CUSTOMS_PCT,M413))+IF(N413="",MISC_FEE,N413))</f>
        <v/>
      </c>
      <c r="P413" s="18">
        <f>IF(O413="","",ROUND(O413*(1+MARKUP_PCT),-1)-1)</f>
        <v/>
      </c>
      <c r="Q413" s="18">
        <f>IF(P413="","",P413-O413)</f>
        <v/>
      </c>
      <c r="R413" s="19">
        <f>IF(OR(P413="",P413=0),"",Q413/P413)</f>
        <v/>
      </c>
      <c r="S413" s="16" t="n"/>
      <c r="T413" s="16" t="n"/>
      <c r="U413" s="16" t="n"/>
      <c r="V413" s="16" t="n"/>
      <c r="W413" s="16" t="n"/>
      <c r="X413" s="16" t="n"/>
      <c r="Y413" s="16" t="n"/>
      <c r="Z413" s="16" t="n"/>
      <c r="AA413" s="16" t="n"/>
      <c r="AB413" s="16" t="n"/>
      <c r="AC413" s="20">
        <f>IF(COUNT(S413:AB413)&lt;10,"",(S413*W_FEMININE+T413*W_TREND+U413*W_AESTHETIC+V413*W_STYLE+W413*W_LIGHT+X413*W_REELS+Y413*W_GIFT+Z413*W_PRICEFIT+AA413*W_DEMAND+AB413*W_QUALITY)/5*100)</f>
        <v/>
      </c>
      <c r="AD413" s="16">
        <f>IF(P413="","",IF(P413&gt;HARD_REJECT_PRICE,"Reject",IF(P413&gt;MAX_PRICE,"Price Review",IF(AC413="","",IF(AND(AC413&gt;=BUY_THRESHOLD,OR(AB413&lt;=2,U413&lt;=2)),"Maybe",IF(AC413&gt;=BUY_THRESHOLD,"Buy",IF(AC413&gt;=MAYBE_THRESHOLD,"Maybe","Reject")))))))</f>
        <v/>
      </c>
      <c r="AE413" s="16" t="n"/>
      <c r="AF413" s="16" t="n"/>
      <c r="AG413" s="16" t="n"/>
      <c r="AH413" s="16" t="n"/>
      <c r="AI413" s="17" t="n"/>
      <c r="AJ413">
        <f>IF(AC413="",-9999-ROW()*0.0000001,AC413-ROW()*0.0000001)</f>
        <v/>
      </c>
      <c r="AK413">
        <f>IF(OR(AC413="",P413="",P413&gt;MAX_PRICE),-9999-ROW()*0.0000001,AC413-ROW()*0.0000001)</f>
        <v/>
      </c>
      <c r="AL413">
        <f>IF(AC413="",-9999-ROW()*0.0000001,X413*1000+AC413-ROW()*0.0000001)</f>
        <v/>
      </c>
      <c r="AM413">
        <f>IF(AC413="",-9999-ROW()*0.0000001,Y413*1000+AC413-ROW()*0.0000001)</f>
        <v/>
      </c>
      <c r="AN413">
        <f>IF(AND(OR(AD413="Maybe",AD413="Price Review"),AG413&lt;&gt;"Approved",AG413&lt;&gt;"Rejected"),IF(AC413="",0,AC413)-ROW()*0.0000001,-9999-ROW()*0.0000001)</f>
        <v/>
      </c>
      <c r="AO413" s="21" t="n"/>
      <c r="AP413" s="21" t="n"/>
      <c r="AQ413" s="22" t="n"/>
      <c r="AR413" s="22" t="n"/>
      <c r="AS413" s="16" t="n"/>
      <c r="AT413" s="22" t="n"/>
      <c r="AU413" s="22" t="n"/>
      <c r="AV413" s="22" t="n"/>
      <c r="AW413" s="18">
        <f>IF(OR(O413="",AV413=""),"",O413*AV413)</f>
        <v/>
      </c>
      <c r="AX413" s="16" t="n"/>
      <c r="AY413" s="16" t="n"/>
      <c r="AZ413" s="16" t="n"/>
      <c r="BA413" s="16" t="n"/>
      <c r="BB413" s="16" t="n"/>
      <c r="BC413" s="18" t="n"/>
      <c r="BD413" s="16" t="n"/>
      <c r="BE413" s="16">
        <f>IF(C413="","",IF(AND(ISNUMBER(P413),P413&gt;MAX_PRICE),"Price too high",IF(AND(ISNUMBER(AB413),AB413&lt;=2),"Quality risk",IF(AND(ISNUMBER(U413),U413&lt;=2),"Aesthetic mismatch",IF(AY413="High","Too fragile",IF(AND(ISNUMBER(R413),R413&lt;LOW_PROFIT_PCT),"Low profit",IF(AND(ISNUMBER(AT413),AT413&gt;MOQ_WARNING),"MOQ too high",IF(OR(AD413="Maybe",AD413="Price Review"),"Needs partner review",IF(AD413="Buy","Good candidate","")))))))))</f>
        <v/>
      </c>
      <c r="BF413" s="16" t="n"/>
      <c r="BG413" s="16" t="n"/>
      <c r="BH413" s="16" t="n"/>
      <c r="BI413" s="16" t="n"/>
      <c r="BJ413" s="16" t="n"/>
      <c r="BK413" s="16" t="n"/>
      <c r="BL413" s="16">
        <f>IF(C413="","",IF(AND(BG413="Yes",BH413="Yes",BI413="Yes",BJ413="Yes",BK413="Yes"),"Yes","No"))</f>
        <v/>
      </c>
      <c r="BM413" s="18" t="n"/>
      <c r="BN413" s="18" t="n"/>
      <c r="BO413" s="18">
        <f>IF(OR(BM413="",BN413=""),"",BM413+BN413)</f>
        <v/>
      </c>
      <c r="BP413" s="18" t="n"/>
      <c r="BQ413" s="18">
        <f>IF(OR(BP413="",BO413=""),"",BP413-BO413)</f>
        <v/>
      </c>
      <c r="BR413" s="19">
        <f>IF(OR(BP413="",BP413=0,BQ413=""),"",BQ413/BP413)</f>
        <v/>
      </c>
      <c r="BS413" s="17" t="n"/>
      <c r="BT413" s="22" t="n"/>
      <c r="BU413" s="22" t="n"/>
      <c r="BV413" s="16" t="n"/>
      <c r="BW413" s="16" t="n"/>
      <c r="BX413" s="22">
        <f>IF(OR(BT413="",BU413=""),"",BT413-BU413)</f>
        <v/>
      </c>
      <c r="BY413" s="16" t="n"/>
      <c r="BZ413" s="17" t="n"/>
      <c r="CA413" s="16" t="n"/>
      <c r="CB413" s="16" t="n"/>
    </row>
    <row r="414">
      <c r="A414" s="23">
        <f>IF(C414="","","AYN-"&amp;IFERROR(VLOOKUP(E414,CATEGORY_PREFIX_TABLE,2,FALSE),"OTH")&amp;"-"&amp;TEXT(ROW()-2,"0000"))</f>
        <v/>
      </c>
      <c r="B414" s="24" t="n"/>
      <c r="C414" s="23" t="n"/>
      <c r="D414" s="23" t="n"/>
      <c r="E414" s="23" t="n"/>
      <c r="F414" s="23" t="n"/>
      <c r="G414" s="23" t="n"/>
      <c r="H414" s="23" t="n"/>
      <c r="I414" s="23" t="n"/>
      <c r="J414" s="23" t="n"/>
      <c r="K414" s="25">
        <f>IF(I414="","",IF(J414="BDT",I414,IF(J414="USD",I414*USD_BDT,IF(J414="RMB",I414*RMB_BDT,""))))</f>
        <v/>
      </c>
      <c r="L414" s="25" t="n"/>
      <c r="M414" s="26" t="n"/>
      <c r="N414" s="25" t="n"/>
      <c r="O414" s="25">
        <f>IF(K414="","",K414+IFERROR(L414,0)+(K414*IF(M414="",CUSTOMS_PCT,M414))+IF(N414="",MISC_FEE,N414))</f>
        <v/>
      </c>
      <c r="P414" s="25">
        <f>IF(O414="","",ROUND(O414*(1+MARKUP_PCT),-1)-1)</f>
        <v/>
      </c>
      <c r="Q414" s="25">
        <f>IF(P414="","",P414-O414)</f>
        <v/>
      </c>
      <c r="R414" s="26">
        <f>IF(OR(P414="",P414=0),"",Q414/P414)</f>
        <v/>
      </c>
      <c r="S414" s="23" t="n"/>
      <c r="T414" s="23" t="n"/>
      <c r="U414" s="23" t="n"/>
      <c r="V414" s="23" t="n"/>
      <c r="W414" s="23" t="n"/>
      <c r="X414" s="23" t="n"/>
      <c r="Y414" s="23" t="n"/>
      <c r="Z414" s="23" t="n"/>
      <c r="AA414" s="23" t="n"/>
      <c r="AB414" s="23" t="n"/>
      <c r="AC414" s="27">
        <f>IF(COUNT(S414:AB414)&lt;10,"",(S414*W_FEMININE+T414*W_TREND+U414*W_AESTHETIC+V414*W_STYLE+W414*W_LIGHT+X414*W_REELS+Y414*W_GIFT+Z414*W_PRICEFIT+AA414*W_DEMAND+AB414*W_QUALITY)/5*100)</f>
        <v/>
      </c>
      <c r="AD414" s="23">
        <f>IF(P414="","",IF(P414&gt;HARD_REJECT_PRICE,"Reject",IF(P414&gt;MAX_PRICE,"Price Review",IF(AC414="","",IF(AND(AC414&gt;=BUY_THRESHOLD,OR(AB414&lt;=2,U414&lt;=2)),"Maybe",IF(AC414&gt;=BUY_THRESHOLD,"Buy",IF(AC414&gt;=MAYBE_THRESHOLD,"Maybe","Reject")))))))</f>
        <v/>
      </c>
      <c r="AE414" s="23" t="n"/>
      <c r="AF414" s="23" t="n"/>
      <c r="AG414" s="23" t="n"/>
      <c r="AH414" s="23" t="n"/>
      <c r="AI414" s="24" t="n"/>
      <c r="AJ414">
        <f>IF(AC414="",-9999-ROW()*0.0000001,AC414-ROW()*0.0000001)</f>
        <v/>
      </c>
      <c r="AK414">
        <f>IF(OR(AC414="",P414="",P414&gt;MAX_PRICE),-9999-ROW()*0.0000001,AC414-ROW()*0.0000001)</f>
        <v/>
      </c>
      <c r="AL414">
        <f>IF(AC414="",-9999-ROW()*0.0000001,X414*1000+AC414-ROW()*0.0000001)</f>
        <v/>
      </c>
      <c r="AM414">
        <f>IF(AC414="",-9999-ROW()*0.0000001,Y414*1000+AC414-ROW()*0.0000001)</f>
        <v/>
      </c>
      <c r="AN414">
        <f>IF(AND(OR(AD414="Maybe",AD414="Price Review"),AG414&lt;&gt;"Approved",AG414&lt;&gt;"Rejected"),IF(AC414="",0,AC414)-ROW()*0.0000001,-9999-ROW()*0.0000001)</f>
        <v/>
      </c>
      <c r="AO414" s="28" t="n"/>
      <c r="AP414" s="28" t="n"/>
      <c r="AQ414" s="29" t="n"/>
      <c r="AR414" s="29" t="n"/>
      <c r="AS414" s="23" t="n"/>
      <c r="AT414" s="29" t="n"/>
      <c r="AU414" s="29" t="n"/>
      <c r="AV414" s="29" t="n"/>
      <c r="AW414" s="25">
        <f>IF(OR(O414="",AV414=""),"",O414*AV414)</f>
        <v/>
      </c>
      <c r="AX414" s="23" t="n"/>
      <c r="AY414" s="23" t="n"/>
      <c r="AZ414" s="23" t="n"/>
      <c r="BA414" s="23" t="n"/>
      <c r="BB414" s="23" t="n"/>
      <c r="BC414" s="25" t="n"/>
      <c r="BD414" s="23" t="n"/>
      <c r="BE414" s="23">
        <f>IF(C414="","",IF(AND(ISNUMBER(P414),P414&gt;MAX_PRICE),"Price too high",IF(AND(ISNUMBER(AB414),AB414&lt;=2),"Quality risk",IF(AND(ISNUMBER(U414),U414&lt;=2),"Aesthetic mismatch",IF(AY414="High","Too fragile",IF(AND(ISNUMBER(R414),R414&lt;LOW_PROFIT_PCT),"Low profit",IF(AND(ISNUMBER(AT414),AT414&gt;MOQ_WARNING),"MOQ too high",IF(OR(AD414="Maybe",AD414="Price Review"),"Needs partner review",IF(AD414="Buy","Good candidate","")))))))))</f>
        <v/>
      </c>
      <c r="BF414" s="23" t="n"/>
      <c r="BG414" s="23" t="n"/>
      <c r="BH414" s="23" t="n"/>
      <c r="BI414" s="23" t="n"/>
      <c r="BJ414" s="23" t="n"/>
      <c r="BK414" s="23" t="n"/>
      <c r="BL414" s="23">
        <f>IF(C414="","",IF(AND(BG414="Yes",BH414="Yes",BI414="Yes",BJ414="Yes",BK414="Yes"),"Yes","No"))</f>
        <v/>
      </c>
      <c r="BM414" s="25" t="n"/>
      <c r="BN414" s="25" t="n"/>
      <c r="BO414" s="25">
        <f>IF(OR(BM414="",BN414=""),"",BM414+BN414)</f>
        <v/>
      </c>
      <c r="BP414" s="25" t="n"/>
      <c r="BQ414" s="25">
        <f>IF(OR(BP414="",BO414=""),"",BP414-BO414)</f>
        <v/>
      </c>
      <c r="BR414" s="26">
        <f>IF(OR(BP414="",BP414=0,BQ414=""),"",BQ414/BP414)</f>
        <v/>
      </c>
      <c r="BS414" s="24" t="n"/>
      <c r="BT414" s="29" t="n"/>
      <c r="BU414" s="29" t="n"/>
      <c r="BV414" s="23" t="n"/>
      <c r="BW414" s="23" t="n"/>
      <c r="BX414" s="29">
        <f>IF(OR(BT414="",BU414=""),"",BT414-BU414)</f>
        <v/>
      </c>
      <c r="BY414" s="23" t="n"/>
      <c r="BZ414" s="24" t="n"/>
      <c r="CA414" s="23" t="n"/>
      <c r="CB414" s="23" t="n"/>
    </row>
    <row r="415">
      <c r="A415" s="16">
        <f>IF(C415="","","AYN-"&amp;IFERROR(VLOOKUP(E415,CATEGORY_PREFIX_TABLE,2,FALSE),"OTH")&amp;"-"&amp;TEXT(ROW()-2,"0000"))</f>
        <v/>
      </c>
      <c r="B415" s="17" t="n"/>
      <c r="C415" s="16" t="n"/>
      <c r="D415" s="16" t="n"/>
      <c r="E415" s="16" t="n"/>
      <c r="F415" s="16" t="n"/>
      <c r="G415" s="16" t="n"/>
      <c r="H415" s="16" t="n"/>
      <c r="I415" s="16" t="n"/>
      <c r="J415" s="16" t="n"/>
      <c r="K415" s="18">
        <f>IF(I415="","",IF(J415="BDT",I415,IF(J415="USD",I415*USD_BDT,IF(J415="RMB",I415*RMB_BDT,""))))</f>
        <v/>
      </c>
      <c r="L415" s="18" t="n"/>
      <c r="M415" s="19" t="n"/>
      <c r="N415" s="18" t="n"/>
      <c r="O415" s="18">
        <f>IF(K415="","",K415+IFERROR(L415,0)+(K415*IF(M415="",CUSTOMS_PCT,M415))+IF(N415="",MISC_FEE,N415))</f>
        <v/>
      </c>
      <c r="P415" s="18">
        <f>IF(O415="","",ROUND(O415*(1+MARKUP_PCT),-1)-1)</f>
        <v/>
      </c>
      <c r="Q415" s="18">
        <f>IF(P415="","",P415-O415)</f>
        <v/>
      </c>
      <c r="R415" s="19">
        <f>IF(OR(P415="",P415=0),"",Q415/P415)</f>
        <v/>
      </c>
      <c r="S415" s="16" t="n"/>
      <c r="T415" s="16" t="n"/>
      <c r="U415" s="16" t="n"/>
      <c r="V415" s="16" t="n"/>
      <c r="W415" s="16" t="n"/>
      <c r="X415" s="16" t="n"/>
      <c r="Y415" s="16" t="n"/>
      <c r="Z415" s="16" t="n"/>
      <c r="AA415" s="16" t="n"/>
      <c r="AB415" s="16" t="n"/>
      <c r="AC415" s="20">
        <f>IF(COUNT(S415:AB415)&lt;10,"",(S415*W_FEMININE+T415*W_TREND+U415*W_AESTHETIC+V415*W_STYLE+W415*W_LIGHT+X415*W_REELS+Y415*W_GIFT+Z415*W_PRICEFIT+AA415*W_DEMAND+AB415*W_QUALITY)/5*100)</f>
        <v/>
      </c>
      <c r="AD415" s="16">
        <f>IF(P415="","",IF(P415&gt;HARD_REJECT_PRICE,"Reject",IF(P415&gt;MAX_PRICE,"Price Review",IF(AC415="","",IF(AND(AC415&gt;=BUY_THRESHOLD,OR(AB415&lt;=2,U415&lt;=2)),"Maybe",IF(AC415&gt;=BUY_THRESHOLD,"Buy",IF(AC415&gt;=MAYBE_THRESHOLD,"Maybe","Reject")))))))</f>
        <v/>
      </c>
      <c r="AE415" s="16" t="n"/>
      <c r="AF415" s="16" t="n"/>
      <c r="AG415" s="16" t="n"/>
      <c r="AH415" s="16" t="n"/>
      <c r="AI415" s="17" t="n"/>
      <c r="AJ415">
        <f>IF(AC415="",-9999-ROW()*0.0000001,AC415-ROW()*0.0000001)</f>
        <v/>
      </c>
      <c r="AK415">
        <f>IF(OR(AC415="",P415="",P415&gt;MAX_PRICE),-9999-ROW()*0.0000001,AC415-ROW()*0.0000001)</f>
        <v/>
      </c>
      <c r="AL415">
        <f>IF(AC415="",-9999-ROW()*0.0000001,X415*1000+AC415-ROW()*0.0000001)</f>
        <v/>
      </c>
      <c r="AM415">
        <f>IF(AC415="",-9999-ROW()*0.0000001,Y415*1000+AC415-ROW()*0.0000001)</f>
        <v/>
      </c>
      <c r="AN415">
        <f>IF(AND(OR(AD415="Maybe",AD415="Price Review"),AG415&lt;&gt;"Approved",AG415&lt;&gt;"Rejected"),IF(AC415="",0,AC415)-ROW()*0.0000001,-9999-ROW()*0.0000001)</f>
        <v/>
      </c>
      <c r="AO415" s="21" t="n"/>
      <c r="AP415" s="21" t="n"/>
      <c r="AQ415" s="22" t="n"/>
      <c r="AR415" s="22" t="n"/>
      <c r="AS415" s="16" t="n"/>
      <c r="AT415" s="22" t="n"/>
      <c r="AU415" s="22" t="n"/>
      <c r="AV415" s="22" t="n"/>
      <c r="AW415" s="18">
        <f>IF(OR(O415="",AV415=""),"",O415*AV415)</f>
        <v/>
      </c>
      <c r="AX415" s="16" t="n"/>
      <c r="AY415" s="16" t="n"/>
      <c r="AZ415" s="16" t="n"/>
      <c r="BA415" s="16" t="n"/>
      <c r="BB415" s="16" t="n"/>
      <c r="BC415" s="18" t="n"/>
      <c r="BD415" s="16" t="n"/>
      <c r="BE415" s="16">
        <f>IF(C415="","",IF(AND(ISNUMBER(P415),P415&gt;MAX_PRICE),"Price too high",IF(AND(ISNUMBER(AB415),AB415&lt;=2),"Quality risk",IF(AND(ISNUMBER(U415),U415&lt;=2),"Aesthetic mismatch",IF(AY415="High","Too fragile",IF(AND(ISNUMBER(R415),R415&lt;LOW_PROFIT_PCT),"Low profit",IF(AND(ISNUMBER(AT415),AT415&gt;MOQ_WARNING),"MOQ too high",IF(OR(AD415="Maybe",AD415="Price Review"),"Needs partner review",IF(AD415="Buy","Good candidate","")))))))))</f>
        <v/>
      </c>
      <c r="BF415" s="16" t="n"/>
      <c r="BG415" s="16" t="n"/>
      <c r="BH415" s="16" t="n"/>
      <c r="BI415" s="16" t="n"/>
      <c r="BJ415" s="16" t="n"/>
      <c r="BK415" s="16" t="n"/>
      <c r="BL415" s="16">
        <f>IF(C415="","",IF(AND(BG415="Yes",BH415="Yes",BI415="Yes",BJ415="Yes",BK415="Yes"),"Yes","No"))</f>
        <v/>
      </c>
      <c r="BM415" s="18" t="n"/>
      <c r="BN415" s="18" t="n"/>
      <c r="BO415" s="18">
        <f>IF(OR(BM415="",BN415=""),"",BM415+BN415)</f>
        <v/>
      </c>
      <c r="BP415" s="18" t="n"/>
      <c r="BQ415" s="18">
        <f>IF(OR(BP415="",BO415=""),"",BP415-BO415)</f>
        <v/>
      </c>
      <c r="BR415" s="19">
        <f>IF(OR(BP415="",BP415=0,BQ415=""),"",BQ415/BP415)</f>
        <v/>
      </c>
      <c r="BS415" s="17" t="n"/>
      <c r="BT415" s="22" t="n"/>
      <c r="BU415" s="22" t="n"/>
      <c r="BV415" s="16" t="n"/>
      <c r="BW415" s="16" t="n"/>
      <c r="BX415" s="22">
        <f>IF(OR(BT415="",BU415=""),"",BT415-BU415)</f>
        <v/>
      </c>
      <c r="BY415" s="16" t="n"/>
      <c r="BZ415" s="17" t="n"/>
      <c r="CA415" s="16" t="n"/>
      <c r="CB415" s="16" t="n"/>
    </row>
    <row r="416">
      <c r="A416" s="23">
        <f>IF(C416="","","AYN-"&amp;IFERROR(VLOOKUP(E416,CATEGORY_PREFIX_TABLE,2,FALSE),"OTH")&amp;"-"&amp;TEXT(ROW()-2,"0000"))</f>
        <v/>
      </c>
      <c r="B416" s="24" t="n"/>
      <c r="C416" s="23" t="n"/>
      <c r="D416" s="23" t="n"/>
      <c r="E416" s="23" t="n"/>
      <c r="F416" s="23" t="n"/>
      <c r="G416" s="23" t="n"/>
      <c r="H416" s="23" t="n"/>
      <c r="I416" s="23" t="n"/>
      <c r="J416" s="23" t="n"/>
      <c r="K416" s="25">
        <f>IF(I416="","",IF(J416="BDT",I416,IF(J416="USD",I416*USD_BDT,IF(J416="RMB",I416*RMB_BDT,""))))</f>
        <v/>
      </c>
      <c r="L416" s="25" t="n"/>
      <c r="M416" s="26" t="n"/>
      <c r="N416" s="25" t="n"/>
      <c r="O416" s="25">
        <f>IF(K416="","",K416+IFERROR(L416,0)+(K416*IF(M416="",CUSTOMS_PCT,M416))+IF(N416="",MISC_FEE,N416))</f>
        <v/>
      </c>
      <c r="P416" s="25">
        <f>IF(O416="","",ROUND(O416*(1+MARKUP_PCT),-1)-1)</f>
        <v/>
      </c>
      <c r="Q416" s="25">
        <f>IF(P416="","",P416-O416)</f>
        <v/>
      </c>
      <c r="R416" s="26">
        <f>IF(OR(P416="",P416=0),"",Q416/P416)</f>
        <v/>
      </c>
      <c r="S416" s="23" t="n"/>
      <c r="T416" s="23" t="n"/>
      <c r="U416" s="23" t="n"/>
      <c r="V416" s="23" t="n"/>
      <c r="W416" s="23" t="n"/>
      <c r="X416" s="23" t="n"/>
      <c r="Y416" s="23" t="n"/>
      <c r="Z416" s="23" t="n"/>
      <c r="AA416" s="23" t="n"/>
      <c r="AB416" s="23" t="n"/>
      <c r="AC416" s="27">
        <f>IF(COUNT(S416:AB416)&lt;10,"",(S416*W_FEMININE+T416*W_TREND+U416*W_AESTHETIC+V416*W_STYLE+W416*W_LIGHT+X416*W_REELS+Y416*W_GIFT+Z416*W_PRICEFIT+AA416*W_DEMAND+AB416*W_QUALITY)/5*100)</f>
        <v/>
      </c>
      <c r="AD416" s="23">
        <f>IF(P416="","",IF(P416&gt;HARD_REJECT_PRICE,"Reject",IF(P416&gt;MAX_PRICE,"Price Review",IF(AC416="","",IF(AND(AC416&gt;=BUY_THRESHOLD,OR(AB416&lt;=2,U416&lt;=2)),"Maybe",IF(AC416&gt;=BUY_THRESHOLD,"Buy",IF(AC416&gt;=MAYBE_THRESHOLD,"Maybe","Reject")))))))</f>
        <v/>
      </c>
      <c r="AE416" s="23" t="n"/>
      <c r="AF416" s="23" t="n"/>
      <c r="AG416" s="23" t="n"/>
      <c r="AH416" s="23" t="n"/>
      <c r="AI416" s="24" t="n"/>
      <c r="AJ416">
        <f>IF(AC416="",-9999-ROW()*0.0000001,AC416-ROW()*0.0000001)</f>
        <v/>
      </c>
      <c r="AK416">
        <f>IF(OR(AC416="",P416="",P416&gt;MAX_PRICE),-9999-ROW()*0.0000001,AC416-ROW()*0.0000001)</f>
        <v/>
      </c>
      <c r="AL416">
        <f>IF(AC416="",-9999-ROW()*0.0000001,X416*1000+AC416-ROW()*0.0000001)</f>
        <v/>
      </c>
      <c r="AM416">
        <f>IF(AC416="",-9999-ROW()*0.0000001,Y416*1000+AC416-ROW()*0.0000001)</f>
        <v/>
      </c>
      <c r="AN416">
        <f>IF(AND(OR(AD416="Maybe",AD416="Price Review"),AG416&lt;&gt;"Approved",AG416&lt;&gt;"Rejected"),IF(AC416="",0,AC416)-ROW()*0.0000001,-9999-ROW()*0.0000001)</f>
        <v/>
      </c>
      <c r="AO416" s="28" t="n"/>
      <c r="AP416" s="28" t="n"/>
      <c r="AQ416" s="29" t="n"/>
      <c r="AR416" s="29" t="n"/>
      <c r="AS416" s="23" t="n"/>
      <c r="AT416" s="29" t="n"/>
      <c r="AU416" s="29" t="n"/>
      <c r="AV416" s="29" t="n"/>
      <c r="AW416" s="25">
        <f>IF(OR(O416="",AV416=""),"",O416*AV416)</f>
        <v/>
      </c>
      <c r="AX416" s="23" t="n"/>
      <c r="AY416" s="23" t="n"/>
      <c r="AZ416" s="23" t="n"/>
      <c r="BA416" s="23" t="n"/>
      <c r="BB416" s="23" t="n"/>
      <c r="BC416" s="25" t="n"/>
      <c r="BD416" s="23" t="n"/>
      <c r="BE416" s="23">
        <f>IF(C416="","",IF(AND(ISNUMBER(P416),P416&gt;MAX_PRICE),"Price too high",IF(AND(ISNUMBER(AB416),AB416&lt;=2),"Quality risk",IF(AND(ISNUMBER(U416),U416&lt;=2),"Aesthetic mismatch",IF(AY416="High","Too fragile",IF(AND(ISNUMBER(R416),R416&lt;LOW_PROFIT_PCT),"Low profit",IF(AND(ISNUMBER(AT416),AT416&gt;MOQ_WARNING),"MOQ too high",IF(OR(AD416="Maybe",AD416="Price Review"),"Needs partner review",IF(AD416="Buy","Good candidate","")))))))))</f>
        <v/>
      </c>
      <c r="BF416" s="23" t="n"/>
      <c r="BG416" s="23" t="n"/>
      <c r="BH416" s="23" t="n"/>
      <c r="BI416" s="23" t="n"/>
      <c r="BJ416" s="23" t="n"/>
      <c r="BK416" s="23" t="n"/>
      <c r="BL416" s="23">
        <f>IF(C416="","",IF(AND(BG416="Yes",BH416="Yes",BI416="Yes",BJ416="Yes",BK416="Yes"),"Yes","No"))</f>
        <v/>
      </c>
      <c r="BM416" s="25" t="n"/>
      <c r="BN416" s="25" t="n"/>
      <c r="BO416" s="25">
        <f>IF(OR(BM416="",BN416=""),"",BM416+BN416)</f>
        <v/>
      </c>
      <c r="BP416" s="25" t="n"/>
      <c r="BQ416" s="25">
        <f>IF(OR(BP416="",BO416=""),"",BP416-BO416)</f>
        <v/>
      </c>
      <c r="BR416" s="26">
        <f>IF(OR(BP416="",BP416=0,BQ416=""),"",BQ416/BP416)</f>
        <v/>
      </c>
      <c r="BS416" s="24" t="n"/>
      <c r="BT416" s="29" t="n"/>
      <c r="BU416" s="29" t="n"/>
      <c r="BV416" s="23" t="n"/>
      <c r="BW416" s="23" t="n"/>
      <c r="BX416" s="29">
        <f>IF(OR(BT416="",BU416=""),"",BT416-BU416)</f>
        <v/>
      </c>
      <c r="BY416" s="23" t="n"/>
      <c r="BZ416" s="24" t="n"/>
      <c r="CA416" s="23" t="n"/>
      <c r="CB416" s="23" t="n"/>
    </row>
    <row r="417">
      <c r="A417" s="16">
        <f>IF(C417="","","AYN-"&amp;IFERROR(VLOOKUP(E417,CATEGORY_PREFIX_TABLE,2,FALSE),"OTH")&amp;"-"&amp;TEXT(ROW()-2,"0000"))</f>
        <v/>
      </c>
      <c r="B417" s="17" t="n"/>
      <c r="C417" s="16" t="n"/>
      <c r="D417" s="16" t="n"/>
      <c r="E417" s="16" t="n"/>
      <c r="F417" s="16" t="n"/>
      <c r="G417" s="16" t="n"/>
      <c r="H417" s="16" t="n"/>
      <c r="I417" s="16" t="n"/>
      <c r="J417" s="16" t="n"/>
      <c r="K417" s="18">
        <f>IF(I417="","",IF(J417="BDT",I417,IF(J417="USD",I417*USD_BDT,IF(J417="RMB",I417*RMB_BDT,""))))</f>
        <v/>
      </c>
      <c r="L417" s="18" t="n"/>
      <c r="M417" s="19" t="n"/>
      <c r="N417" s="18" t="n"/>
      <c r="O417" s="18">
        <f>IF(K417="","",K417+IFERROR(L417,0)+(K417*IF(M417="",CUSTOMS_PCT,M417))+IF(N417="",MISC_FEE,N417))</f>
        <v/>
      </c>
      <c r="P417" s="18">
        <f>IF(O417="","",ROUND(O417*(1+MARKUP_PCT),-1)-1)</f>
        <v/>
      </c>
      <c r="Q417" s="18">
        <f>IF(P417="","",P417-O417)</f>
        <v/>
      </c>
      <c r="R417" s="19">
        <f>IF(OR(P417="",P417=0),"",Q417/P417)</f>
        <v/>
      </c>
      <c r="S417" s="16" t="n"/>
      <c r="T417" s="16" t="n"/>
      <c r="U417" s="16" t="n"/>
      <c r="V417" s="16" t="n"/>
      <c r="W417" s="16" t="n"/>
      <c r="X417" s="16" t="n"/>
      <c r="Y417" s="16" t="n"/>
      <c r="Z417" s="16" t="n"/>
      <c r="AA417" s="16" t="n"/>
      <c r="AB417" s="16" t="n"/>
      <c r="AC417" s="20">
        <f>IF(COUNT(S417:AB417)&lt;10,"",(S417*W_FEMININE+T417*W_TREND+U417*W_AESTHETIC+V417*W_STYLE+W417*W_LIGHT+X417*W_REELS+Y417*W_GIFT+Z417*W_PRICEFIT+AA417*W_DEMAND+AB417*W_QUALITY)/5*100)</f>
        <v/>
      </c>
      <c r="AD417" s="16">
        <f>IF(P417="","",IF(P417&gt;HARD_REJECT_PRICE,"Reject",IF(P417&gt;MAX_PRICE,"Price Review",IF(AC417="","",IF(AND(AC417&gt;=BUY_THRESHOLD,OR(AB417&lt;=2,U417&lt;=2)),"Maybe",IF(AC417&gt;=BUY_THRESHOLD,"Buy",IF(AC417&gt;=MAYBE_THRESHOLD,"Maybe","Reject")))))))</f>
        <v/>
      </c>
      <c r="AE417" s="16" t="n"/>
      <c r="AF417" s="16" t="n"/>
      <c r="AG417" s="16" t="n"/>
      <c r="AH417" s="16" t="n"/>
      <c r="AI417" s="17" t="n"/>
      <c r="AJ417">
        <f>IF(AC417="",-9999-ROW()*0.0000001,AC417-ROW()*0.0000001)</f>
        <v/>
      </c>
      <c r="AK417">
        <f>IF(OR(AC417="",P417="",P417&gt;MAX_PRICE),-9999-ROW()*0.0000001,AC417-ROW()*0.0000001)</f>
        <v/>
      </c>
      <c r="AL417">
        <f>IF(AC417="",-9999-ROW()*0.0000001,X417*1000+AC417-ROW()*0.0000001)</f>
        <v/>
      </c>
      <c r="AM417">
        <f>IF(AC417="",-9999-ROW()*0.0000001,Y417*1000+AC417-ROW()*0.0000001)</f>
        <v/>
      </c>
      <c r="AN417">
        <f>IF(AND(OR(AD417="Maybe",AD417="Price Review"),AG417&lt;&gt;"Approved",AG417&lt;&gt;"Rejected"),IF(AC417="",0,AC417)-ROW()*0.0000001,-9999-ROW()*0.0000001)</f>
        <v/>
      </c>
      <c r="AO417" s="21" t="n"/>
      <c r="AP417" s="21" t="n"/>
      <c r="AQ417" s="22" t="n"/>
      <c r="AR417" s="22" t="n"/>
      <c r="AS417" s="16" t="n"/>
      <c r="AT417" s="22" t="n"/>
      <c r="AU417" s="22" t="n"/>
      <c r="AV417" s="22" t="n"/>
      <c r="AW417" s="18">
        <f>IF(OR(O417="",AV417=""),"",O417*AV417)</f>
        <v/>
      </c>
      <c r="AX417" s="16" t="n"/>
      <c r="AY417" s="16" t="n"/>
      <c r="AZ417" s="16" t="n"/>
      <c r="BA417" s="16" t="n"/>
      <c r="BB417" s="16" t="n"/>
      <c r="BC417" s="18" t="n"/>
      <c r="BD417" s="16" t="n"/>
      <c r="BE417" s="16">
        <f>IF(C417="","",IF(AND(ISNUMBER(P417),P417&gt;MAX_PRICE),"Price too high",IF(AND(ISNUMBER(AB417),AB417&lt;=2),"Quality risk",IF(AND(ISNUMBER(U417),U417&lt;=2),"Aesthetic mismatch",IF(AY417="High","Too fragile",IF(AND(ISNUMBER(R417),R417&lt;LOW_PROFIT_PCT),"Low profit",IF(AND(ISNUMBER(AT417),AT417&gt;MOQ_WARNING),"MOQ too high",IF(OR(AD417="Maybe",AD417="Price Review"),"Needs partner review",IF(AD417="Buy","Good candidate","")))))))))</f>
        <v/>
      </c>
      <c r="BF417" s="16" t="n"/>
      <c r="BG417" s="16" t="n"/>
      <c r="BH417" s="16" t="n"/>
      <c r="BI417" s="16" t="n"/>
      <c r="BJ417" s="16" t="n"/>
      <c r="BK417" s="16" t="n"/>
      <c r="BL417" s="16">
        <f>IF(C417="","",IF(AND(BG417="Yes",BH417="Yes",BI417="Yes",BJ417="Yes",BK417="Yes"),"Yes","No"))</f>
        <v/>
      </c>
      <c r="BM417" s="18" t="n"/>
      <c r="BN417" s="18" t="n"/>
      <c r="BO417" s="18">
        <f>IF(OR(BM417="",BN417=""),"",BM417+BN417)</f>
        <v/>
      </c>
      <c r="BP417" s="18" t="n"/>
      <c r="BQ417" s="18">
        <f>IF(OR(BP417="",BO417=""),"",BP417-BO417)</f>
        <v/>
      </c>
      <c r="BR417" s="19">
        <f>IF(OR(BP417="",BP417=0,BQ417=""),"",BQ417/BP417)</f>
        <v/>
      </c>
      <c r="BS417" s="17" t="n"/>
      <c r="BT417" s="22" t="n"/>
      <c r="BU417" s="22" t="n"/>
      <c r="BV417" s="16" t="n"/>
      <c r="BW417" s="16" t="n"/>
      <c r="BX417" s="22">
        <f>IF(OR(BT417="",BU417=""),"",BT417-BU417)</f>
        <v/>
      </c>
      <c r="BY417" s="16" t="n"/>
      <c r="BZ417" s="17" t="n"/>
      <c r="CA417" s="16" t="n"/>
      <c r="CB417" s="16" t="n"/>
    </row>
    <row r="418">
      <c r="A418" s="23">
        <f>IF(C418="","","AYN-"&amp;IFERROR(VLOOKUP(E418,CATEGORY_PREFIX_TABLE,2,FALSE),"OTH")&amp;"-"&amp;TEXT(ROW()-2,"0000"))</f>
        <v/>
      </c>
      <c r="B418" s="24" t="n"/>
      <c r="C418" s="23" t="n"/>
      <c r="D418" s="23" t="n"/>
      <c r="E418" s="23" t="n"/>
      <c r="F418" s="23" t="n"/>
      <c r="G418" s="23" t="n"/>
      <c r="H418" s="23" t="n"/>
      <c r="I418" s="23" t="n"/>
      <c r="J418" s="23" t="n"/>
      <c r="K418" s="25">
        <f>IF(I418="","",IF(J418="BDT",I418,IF(J418="USD",I418*USD_BDT,IF(J418="RMB",I418*RMB_BDT,""))))</f>
        <v/>
      </c>
      <c r="L418" s="25" t="n"/>
      <c r="M418" s="26" t="n"/>
      <c r="N418" s="25" t="n"/>
      <c r="O418" s="25">
        <f>IF(K418="","",K418+IFERROR(L418,0)+(K418*IF(M418="",CUSTOMS_PCT,M418))+IF(N418="",MISC_FEE,N418))</f>
        <v/>
      </c>
      <c r="P418" s="25">
        <f>IF(O418="","",ROUND(O418*(1+MARKUP_PCT),-1)-1)</f>
        <v/>
      </c>
      <c r="Q418" s="25">
        <f>IF(P418="","",P418-O418)</f>
        <v/>
      </c>
      <c r="R418" s="26">
        <f>IF(OR(P418="",P418=0),"",Q418/P418)</f>
        <v/>
      </c>
      <c r="S418" s="23" t="n"/>
      <c r="T418" s="23" t="n"/>
      <c r="U418" s="23" t="n"/>
      <c r="V418" s="23" t="n"/>
      <c r="W418" s="23" t="n"/>
      <c r="X418" s="23" t="n"/>
      <c r="Y418" s="23" t="n"/>
      <c r="Z418" s="23" t="n"/>
      <c r="AA418" s="23" t="n"/>
      <c r="AB418" s="23" t="n"/>
      <c r="AC418" s="27">
        <f>IF(COUNT(S418:AB418)&lt;10,"",(S418*W_FEMININE+T418*W_TREND+U418*W_AESTHETIC+V418*W_STYLE+W418*W_LIGHT+X418*W_REELS+Y418*W_GIFT+Z418*W_PRICEFIT+AA418*W_DEMAND+AB418*W_QUALITY)/5*100)</f>
        <v/>
      </c>
      <c r="AD418" s="23">
        <f>IF(P418="","",IF(P418&gt;HARD_REJECT_PRICE,"Reject",IF(P418&gt;MAX_PRICE,"Price Review",IF(AC418="","",IF(AND(AC418&gt;=BUY_THRESHOLD,OR(AB418&lt;=2,U418&lt;=2)),"Maybe",IF(AC418&gt;=BUY_THRESHOLD,"Buy",IF(AC418&gt;=MAYBE_THRESHOLD,"Maybe","Reject")))))))</f>
        <v/>
      </c>
      <c r="AE418" s="23" t="n"/>
      <c r="AF418" s="23" t="n"/>
      <c r="AG418" s="23" t="n"/>
      <c r="AH418" s="23" t="n"/>
      <c r="AI418" s="24" t="n"/>
      <c r="AJ418">
        <f>IF(AC418="",-9999-ROW()*0.0000001,AC418-ROW()*0.0000001)</f>
        <v/>
      </c>
      <c r="AK418">
        <f>IF(OR(AC418="",P418="",P418&gt;MAX_PRICE),-9999-ROW()*0.0000001,AC418-ROW()*0.0000001)</f>
        <v/>
      </c>
      <c r="AL418">
        <f>IF(AC418="",-9999-ROW()*0.0000001,X418*1000+AC418-ROW()*0.0000001)</f>
        <v/>
      </c>
      <c r="AM418">
        <f>IF(AC418="",-9999-ROW()*0.0000001,Y418*1000+AC418-ROW()*0.0000001)</f>
        <v/>
      </c>
      <c r="AN418">
        <f>IF(AND(OR(AD418="Maybe",AD418="Price Review"),AG418&lt;&gt;"Approved",AG418&lt;&gt;"Rejected"),IF(AC418="",0,AC418)-ROW()*0.0000001,-9999-ROW()*0.0000001)</f>
        <v/>
      </c>
      <c r="AO418" s="28" t="n"/>
      <c r="AP418" s="28" t="n"/>
      <c r="AQ418" s="29" t="n"/>
      <c r="AR418" s="29" t="n"/>
      <c r="AS418" s="23" t="n"/>
      <c r="AT418" s="29" t="n"/>
      <c r="AU418" s="29" t="n"/>
      <c r="AV418" s="29" t="n"/>
      <c r="AW418" s="25">
        <f>IF(OR(O418="",AV418=""),"",O418*AV418)</f>
        <v/>
      </c>
      <c r="AX418" s="23" t="n"/>
      <c r="AY418" s="23" t="n"/>
      <c r="AZ418" s="23" t="n"/>
      <c r="BA418" s="23" t="n"/>
      <c r="BB418" s="23" t="n"/>
      <c r="BC418" s="25" t="n"/>
      <c r="BD418" s="23" t="n"/>
      <c r="BE418" s="23">
        <f>IF(C418="","",IF(AND(ISNUMBER(P418),P418&gt;MAX_PRICE),"Price too high",IF(AND(ISNUMBER(AB418),AB418&lt;=2),"Quality risk",IF(AND(ISNUMBER(U418),U418&lt;=2),"Aesthetic mismatch",IF(AY418="High","Too fragile",IF(AND(ISNUMBER(R418),R418&lt;LOW_PROFIT_PCT),"Low profit",IF(AND(ISNUMBER(AT418),AT418&gt;MOQ_WARNING),"MOQ too high",IF(OR(AD418="Maybe",AD418="Price Review"),"Needs partner review",IF(AD418="Buy","Good candidate","")))))))))</f>
        <v/>
      </c>
      <c r="BF418" s="23" t="n"/>
      <c r="BG418" s="23" t="n"/>
      <c r="BH418" s="23" t="n"/>
      <c r="BI418" s="23" t="n"/>
      <c r="BJ418" s="23" t="n"/>
      <c r="BK418" s="23" t="n"/>
      <c r="BL418" s="23">
        <f>IF(C418="","",IF(AND(BG418="Yes",BH418="Yes",BI418="Yes",BJ418="Yes",BK418="Yes"),"Yes","No"))</f>
        <v/>
      </c>
      <c r="BM418" s="25" t="n"/>
      <c r="BN418" s="25" t="n"/>
      <c r="BO418" s="25">
        <f>IF(OR(BM418="",BN418=""),"",BM418+BN418)</f>
        <v/>
      </c>
      <c r="BP418" s="25" t="n"/>
      <c r="BQ418" s="25">
        <f>IF(OR(BP418="",BO418=""),"",BP418-BO418)</f>
        <v/>
      </c>
      <c r="BR418" s="26">
        <f>IF(OR(BP418="",BP418=0,BQ418=""),"",BQ418/BP418)</f>
        <v/>
      </c>
      <c r="BS418" s="24" t="n"/>
      <c r="BT418" s="29" t="n"/>
      <c r="BU418" s="29" t="n"/>
      <c r="BV418" s="23" t="n"/>
      <c r="BW418" s="23" t="n"/>
      <c r="BX418" s="29">
        <f>IF(OR(BT418="",BU418=""),"",BT418-BU418)</f>
        <v/>
      </c>
      <c r="BY418" s="23" t="n"/>
      <c r="BZ418" s="24" t="n"/>
      <c r="CA418" s="23" t="n"/>
      <c r="CB418" s="23" t="n"/>
    </row>
    <row r="419">
      <c r="A419" s="16">
        <f>IF(C419="","","AYN-"&amp;IFERROR(VLOOKUP(E419,CATEGORY_PREFIX_TABLE,2,FALSE),"OTH")&amp;"-"&amp;TEXT(ROW()-2,"0000"))</f>
        <v/>
      </c>
      <c r="B419" s="17" t="n"/>
      <c r="C419" s="16" t="n"/>
      <c r="D419" s="16" t="n"/>
      <c r="E419" s="16" t="n"/>
      <c r="F419" s="16" t="n"/>
      <c r="G419" s="16" t="n"/>
      <c r="H419" s="16" t="n"/>
      <c r="I419" s="16" t="n"/>
      <c r="J419" s="16" t="n"/>
      <c r="K419" s="18">
        <f>IF(I419="","",IF(J419="BDT",I419,IF(J419="USD",I419*USD_BDT,IF(J419="RMB",I419*RMB_BDT,""))))</f>
        <v/>
      </c>
      <c r="L419" s="18" t="n"/>
      <c r="M419" s="19" t="n"/>
      <c r="N419" s="18" t="n"/>
      <c r="O419" s="18">
        <f>IF(K419="","",K419+IFERROR(L419,0)+(K419*IF(M419="",CUSTOMS_PCT,M419))+IF(N419="",MISC_FEE,N419))</f>
        <v/>
      </c>
      <c r="P419" s="18">
        <f>IF(O419="","",ROUND(O419*(1+MARKUP_PCT),-1)-1)</f>
        <v/>
      </c>
      <c r="Q419" s="18">
        <f>IF(P419="","",P419-O419)</f>
        <v/>
      </c>
      <c r="R419" s="19">
        <f>IF(OR(P419="",P419=0),"",Q419/P419)</f>
        <v/>
      </c>
      <c r="S419" s="16" t="n"/>
      <c r="T419" s="16" t="n"/>
      <c r="U419" s="16" t="n"/>
      <c r="V419" s="16" t="n"/>
      <c r="W419" s="16" t="n"/>
      <c r="X419" s="16" t="n"/>
      <c r="Y419" s="16" t="n"/>
      <c r="Z419" s="16" t="n"/>
      <c r="AA419" s="16" t="n"/>
      <c r="AB419" s="16" t="n"/>
      <c r="AC419" s="20">
        <f>IF(COUNT(S419:AB419)&lt;10,"",(S419*W_FEMININE+T419*W_TREND+U419*W_AESTHETIC+V419*W_STYLE+W419*W_LIGHT+X419*W_REELS+Y419*W_GIFT+Z419*W_PRICEFIT+AA419*W_DEMAND+AB419*W_QUALITY)/5*100)</f>
        <v/>
      </c>
      <c r="AD419" s="16">
        <f>IF(P419="","",IF(P419&gt;HARD_REJECT_PRICE,"Reject",IF(P419&gt;MAX_PRICE,"Price Review",IF(AC419="","",IF(AND(AC419&gt;=BUY_THRESHOLD,OR(AB419&lt;=2,U419&lt;=2)),"Maybe",IF(AC419&gt;=BUY_THRESHOLD,"Buy",IF(AC419&gt;=MAYBE_THRESHOLD,"Maybe","Reject")))))))</f>
        <v/>
      </c>
      <c r="AE419" s="16" t="n"/>
      <c r="AF419" s="16" t="n"/>
      <c r="AG419" s="16" t="n"/>
      <c r="AH419" s="16" t="n"/>
      <c r="AI419" s="17" t="n"/>
      <c r="AJ419">
        <f>IF(AC419="",-9999-ROW()*0.0000001,AC419-ROW()*0.0000001)</f>
        <v/>
      </c>
      <c r="AK419">
        <f>IF(OR(AC419="",P419="",P419&gt;MAX_PRICE),-9999-ROW()*0.0000001,AC419-ROW()*0.0000001)</f>
        <v/>
      </c>
      <c r="AL419">
        <f>IF(AC419="",-9999-ROW()*0.0000001,X419*1000+AC419-ROW()*0.0000001)</f>
        <v/>
      </c>
      <c r="AM419">
        <f>IF(AC419="",-9999-ROW()*0.0000001,Y419*1000+AC419-ROW()*0.0000001)</f>
        <v/>
      </c>
      <c r="AN419">
        <f>IF(AND(OR(AD419="Maybe",AD419="Price Review"),AG419&lt;&gt;"Approved",AG419&lt;&gt;"Rejected"),IF(AC419="",0,AC419)-ROW()*0.0000001,-9999-ROW()*0.0000001)</f>
        <v/>
      </c>
      <c r="AO419" s="21" t="n"/>
      <c r="AP419" s="21" t="n"/>
      <c r="AQ419" s="22" t="n"/>
      <c r="AR419" s="22" t="n"/>
      <c r="AS419" s="16" t="n"/>
      <c r="AT419" s="22" t="n"/>
      <c r="AU419" s="22" t="n"/>
      <c r="AV419" s="22" t="n"/>
      <c r="AW419" s="18">
        <f>IF(OR(O419="",AV419=""),"",O419*AV419)</f>
        <v/>
      </c>
      <c r="AX419" s="16" t="n"/>
      <c r="AY419" s="16" t="n"/>
      <c r="AZ419" s="16" t="n"/>
      <c r="BA419" s="16" t="n"/>
      <c r="BB419" s="16" t="n"/>
      <c r="BC419" s="18" t="n"/>
      <c r="BD419" s="16" t="n"/>
      <c r="BE419" s="16">
        <f>IF(C419="","",IF(AND(ISNUMBER(P419),P419&gt;MAX_PRICE),"Price too high",IF(AND(ISNUMBER(AB419),AB419&lt;=2),"Quality risk",IF(AND(ISNUMBER(U419),U419&lt;=2),"Aesthetic mismatch",IF(AY419="High","Too fragile",IF(AND(ISNUMBER(R419),R419&lt;LOW_PROFIT_PCT),"Low profit",IF(AND(ISNUMBER(AT419),AT419&gt;MOQ_WARNING),"MOQ too high",IF(OR(AD419="Maybe",AD419="Price Review"),"Needs partner review",IF(AD419="Buy","Good candidate","")))))))))</f>
        <v/>
      </c>
      <c r="BF419" s="16" t="n"/>
      <c r="BG419" s="16" t="n"/>
      <c r="BH419" s="16" t="n"/>
      <c r="BI419" s="16" t="n"/>
      <c r="BJ419" s="16" t="n"/>
      <c r="BK419" s="16" t="n"/>
      <c r="BL419" s="16">
        <f>IF(C419="","",IF(AND(BG419="Yes",BH419="Yes",BI419="Yes",BJ419="Yes",BK419="Yes"),"Yes","No"))</f>
        <v/>
      </c>
      <c r="BM419" s="18" t="n"/>
      <c r="BN419" s="18" t="n"/>
      <c r="BO419" s="18">
        <f>IF(OR(BM419="",BN419=""),"",BM419+BN419)</f>
        <v/>
      </c>
      <c r="BP419" s="18" t="n"/>
      <c r="BQ419" s="18">
        <f>IF(OR(BP419="",BO419=""),"",BP419-BO419)</f>
        <v/>
      </c>
      <c r="BR419" s="19">
        <f>IF(OR(BP419="",BP419=0,BQ419=""),"",BQ419/BP419)</f>
        <v/>
      </c>
      <c r="BS419" s="17" t="n"/>
      <c r="BT419" s="22" t="n"/>
      <c r="BU419" s="22" t="n"/>
      <c r="BV419" s="16" t="n"/>
      <c r="BW419" s="16" t="n"/>
      <c r="BX419" s="22">
        <f>IF(OR(BT419="",BU419=""),"",BT419-BU419)</f>
        <v/>
      </c>
      <c r="BY419" s="16" t="n"/>
      <c r="BZ419" s="17" t="n"/>
      <c r="CA419" s="16" t="n"/>
      <c r="CB419" s="16" t="n"/>
    </row>
    <row r="420">
      <c r="A420" s="23">
        <f>IF(C420="","","AYN-"&amp;IFERROR(VLOOKUP(E420,CATEGORY_PREFIX_TABLE,2,FALSE),"OTH")&amp;"-"&amp;TEXT(ROW()-2,"0000"))</f>
        <v/>
      </c>
      <c r="B420" s="24" t="n"/>
      <c r="C420" s="23" t="n"/>
      <c r="D420" s="23" t="n"/>
      <c r="E420" s="23" t="n"/>
      <c r="F420" s="23" t="n"/>
      <c r="G420" s="23" t="n"/>
      <c r="H420" s="23" t="n"/>
      <c r="I420" s="23" t="n"/>
      <c r="J420" s="23" t="n"/>
      <c r="K420" s="25">
        <f>IF(I420="","",IF(J420="BDT",I420,IF(J420="USD",I420*USD_BDT,IF(J420="RMB",I420*RMB_BDT,""))))</f>
        <v/>
      </c>
      <c r="L420" s="25" t="n"/>
      <c r="M420" s="26" t="n"/>
      <c r="N420" s="25" t="n"/>
      <c r="O420" s="25">
        <f>IF(K420="","",K420+IFERROR(L420,0)+(K420*IF(M420="",CUSTOMS_PCT,M420))+IF(N420="",MISC_FEE,N420))</f>
        <v/>
      </c>
      <c r="P420" s="25">
        <f>IF(O420="","",ROUND(O420*(1+MARKUP_PCT),-1)-1)</f>
        <v/>
      </c>
      <c r="Q420" s="25">
        <f>IF(P420="","",P420-O420)</f>
        <v/>
      </c>
      <c r="R420" s="26">
        <f>IF(OR(P420="",P420=0),"",Q420/P420)</f>
        <v/>
      </c>
      <c r="S420" s="23" t="n"/>
      <c r="T420" s="23" t="n"/>
      <c r="U420" s="23" t="n"/>
      <c r="V420" s="23" t="n"/>
      <c r="W420" s="23" t="n"/>
      <c r="X420" s="23" t="n"/>
      <c r="Y420" s="23" t="n"/>
      <c r="Z420" s="23" t="n"/>
      <c r="AA420" s="23" t="n"/>
      <c r="AB420" s="23" t="n"/>
      <c r="AC420" s="27">
        <f>IF(COUNT(S420:AB420)&lt;10,"",(S420*W_FEMININE+T420*W_TREND+U420*W_AESTHETIC+V420*W_STYLE+W420*W_LIGHT+X420*W_REELS+Y420*W_GIFT+Z420*W_PRICEFIT+AA420*W_DEMAND+AB420*W_QUALITY)/5*100)</f>
        <v/>
      </c>
      <c r="AD420" s="23">
        <f>IF(P420="","",IF(P420&gt;HARD_REJECT_PRICE,"Reject",IF(P420&gt;MAX_PRICE,"Price Review",IF(AC420="","",IF(AND(AC420&gt;=BUY_THRESHOLD,OR(AB420&lt;=2,U420&lt;=2)),"Maybe",IF(AC420&gt;=BUY_THRESHOLD,"Buy",IF(AC420&gt;=MAYBE_THRESHOLD,"Maybe","Reject")))))))</f>
        <v/>
      </c>
      <c r="AE420" s="23" t="n"/>
      <c r="AF420" s="23" t="n"/>
      <c r="AG420" s="23" t="n"/>
      <c r="AH420" s="23" t="n"/>
      <c r="AI420" s="24" t="n"/>
      <c r="AJ420">
        <f>IF(AC420="",-9999-ROW()*0.0000001,AC420-ROW()*0.0000001)</f>
        <v/>
      </c>
      <c r="AK420">
        <f>IF(OR(AC420="",P420="",P420&gt;MAX_PRICE),-9999-ROW()*0.0000001,AC420-ROW()*0.0000001)</f>
        <v/>
      </c>
      <c r="AL420">
        <f>IF(AC420="",-9999-ROW()*0.0000001,X420*1000+AC420-ROW()*0.0000001)</f>
        <v/>
      </c>
      <c r="AM420">
        <f>IF(AC420="",-9999-ROW()*0.0000001,Y420*1000+AC420-ROW()*0.0000001)</f>
        <v/>
      </c>
      <c r="AN420">
        <f>IF(AND(OR(AD420="Maybe",AD420="Price Review"),AG420&lt;&gt;"Approved",AG420&lt;&gt;"Rejected"),IF(AC420="",0,AC420)-ROW()*0.0000001,-9999-ROW()*0.0000001)</f>
        <v/>
      </c>
      <c r="AO420" s="28" t="n"/>
      <c r="AP420" s="28" t="n"/>
      <c r="AQ420" s="29" t="n"/>
      <c r="AR420" s="29" t="n"/>
      <c r="AS420" s="23" t="n"/>
      <c r="AT420" s="29" t="n"/>
      <c r="AU420" s="29" t="n"/>
      <c r="AV420" s="29" t="n"/>
      <c r="AW420" s="25">
        <f>IF(OR(O420="",AV420=""),"",O420*AV420)</f>
        <v/>
      </c>
      <c r="AX420" s="23" t="n"/>
      <c r="AY420" s="23" t="n"/>
      <c r="AZ420" s="23" t="n"/>
      <c r="BA420" s="23" t="n"/>
      <c r="BB420" s="23" t="n"/>
      <c r="BC420" s="25" t="n"/>
      <c r="BD420" s="23" t="n"/>
      <c r="BE420" s="23">
        <f>IF(C420="","",IF(AND(ISNUMBER(P420),P420&gt;MAX_PRICE),"Price too high",IF(AND(ISNUMBER(AB420),AB420&lt;=2),"Quality risk",IF(AND(ISNUMBER(U420),U420&lt;=2),"Aesthetic mismatch",IF(AY420="High","Too fragile",IF(AND(ISNUMBER(R420),R420&lt;LOW_PROFIT_PCT),"Low profit",IF(AND(ISNUMBER(AT420),AT420&gt;MOQ_WARNING),"MOQ too high",IF(OR(AD420="Maybe",AD420="Price Review"),"Needs partner review",IF(AD420="Buy","Good candidate","")))))))))</f>
        <v/>
      </c>
      <c r="BF420" s="23" t="n"/>
      <c r="BG420" s="23" t="n"/>
      <c r="BH420" s="23" t="n"/>
      <c r="BI420" s="23" t="n"/>
      <c r="BJ420" s="23" t="n"/>
      <c r="BK420" s="23" t="n"/>
      <c r="BL420" s="23">
        <f>IF(C420="","",IF(AND(BG420="Yes",BH420="Yes",BI420="Yes",BJ420="Yes",BK420="Yes"),"Yes","No"))</f>
        <v/>
      </c>
      <c r="BM420" s="25" t="n"/>
      <c r="BN420" s="25" t="n"/>
      <c r="BO420" s="25">
        <f>IF(OR(BM420="",BN420=""),"",BM420+BN420)</f>
        <v/>
      </c>
      <c r="BP420" s="25" t="n"/>
      <c r="BQ420" s="25">
        <f>IF(OR(BP420="",BO420=""),"",BP420-BO420)</f>
        <v/>
      </c>
      <c r="BR420" s="26">
        <f>IF(OR(BP420="",BP420=0,BQ420=""),"",BQ420/BP420)</f>
        <v/>
      </c>
      <c r="BS420" s="24" t="n"/>
      <c r="BT420" s="29" t="n"/>
      <c r="BU420" s="29" t="n"/>
      <c r="BV420" s="23" t="n"/>
      <c r="BW420" s="23" t="n"/>
      <c r="BX420" s="29">
        <f>IF(OR(BT420="",BU420=""),"",BT420-BU420)</f>
        <v/>
      </c>
      <c r="BY420" s="23" t="n"/>
      <c r="BZ420" s="24" t="n"/>
      <c r="CA420" s="23" t="n"/>
      <c r="CB420" s="23" t="n"/>
    </row>
    <row r="421">
      <c r="A421" s="16">
        <f>IF(C421="","","AYN-"&amp;IFERROR(VLOOKUP(E421,CATEGORY_PREFIX_TABLE,2,FALSE),"OTH")&amp;"-"&amp;TEXT(ROW()-2,"0000"))</f>
        <v/>
      </c>
      <c r="B421" s="17" t="n"/>
      <c r="C421" s="16" t="n"/>
      <c r="D421" s="16" t="n"/>
      <c r="E421" s="16" t="n"/>
      <c r="F421" s="16" t="n"/>
      <c r="G421" s="16" t="n"/>
      <c r="H421" s="16" t="n"/>
      <c r="I421" s="16" t="n"/>
      <c r="J421" s="16" t="n"/>
      <c r="K421" s="18">
        <f>IF(I421="","",IF(J421="BDT",I421,IF(J421="USD",I421*USD_BDT,IF(J421="RMB",I421*RMB_BDT,""))))</f>
        <v/>
      </c>
      <c r="L421" s="18" t="n"/>
      <c r="M421" s="19" t="n"/>
      <c r="N421" s="18" t="n"/>
      <c r="O421" s="18">
        <f>IF(K421="","",K421+IFERROR(L421,0)+(K421*IF(M421="",CUSTOMS_PCT,M421))+IF(N421="",MISC_FEE,N421))</f>
        <v/>
      </c>
      <c r="P421" s="18">
        <f>IF(O421="","",ROUND(O421*(1+MARKUP_PCT),-1)-1)</f>
        <v/>
      </c>
      <c r="Q421" s="18">
        <f>IF(P421="","",P421-O421)</f>
        <v/>
      </c>
      <c r="R421" s="19">
        <f>IF(OR(P421="",P421=0),"",Q421/P421)</f>
        <v/>
      </c>
      <c r="S421" s="16" t="n"/>
      <c r="T421" s="16" t="n"/>
      <c r="U421" s="16" t="n"/>
      <c r="V421" s="16" t="n"/>
      <c r="W421" s="16" t="n"/>
      <c r="X421" s="16" t="n"/>
      <c r="Y421" s="16" t="n"/>
      <c r="Z421" s="16" t="n"/>
      <c r="AA421" s="16" t="n"/>
      <c r="AB421" s="16" t="n"/>
      <c r="AC421" s="20">
        <f>IF(COUNT(S421:AB421)&lt;10,"",(S421*W_FEMININE+T421*W_TREND+U421*W_AESTHETIC+V421*W_STYLE+W421*W_LIGHT+X421*W_REELS+Y421*W_GIFT+Z421*W_PRICEFIT+AA421*W_DEMAND+AB421*W_QUALITY)/5*100)</f>
        <v/>
      </c>
      <c r="AD421" s="16">
        <f>IF(P421="","",IF(P421&gt;HARD_REJECT_PRICE,"Reject",IF(P421&gt;MAX_PRICE,"Price Review",IF(AC421="","",IF(AND(AC421&gt;=BUY_THRESHOLD,OR(AB421&lt;=2,U421&lt;=2)),"Maybe",IF(AC421&gt;=BUY_THRESHOLD,"Buy",IF(AC421&gt;=MAYBE_THRESHOLD,"Maybe","Reject")))))))</f>
        <v/>
      </c>
      <c r="AE421" s="16" t="n"/>
      <c r="AF421" s="16" t="n"/>
      <c r="AG421" s="16" t="n"/>
      <c r="AH421" s="16" t="n"/>
      <c r="AI421" s="17" t="n"/>
      <c r="AJ421">
        <f>IF(AC421="",-9999-ROW()*0.0000001,AC421-ROW()*0.0000001)</f>
        <v/>
      </c>
      <c r="AK421">
        <f>IF(OR(AC421="",P421="",P421&gt;MAX_PRICE),-9999-ROW()*0.0000001,AC421-ROW()*0.0000001)</f>
        <v/>
      </c>
      <c r="AL421">
        <f>IF(AC421="",-9999-ROW()*0.0000001,X421*1000+AC421-ROW()*0.0000001)</f>
        <v/>
      </c>
      <c r="AM421">
        <f>IF(AC421="",-9999-ROW()*0.0000001,Y421*1000+AC421-ROW()*0.0000001)</f>
        <v/>
      </c>
      <c r="AN421">
        <f>IF(AND(OR(AD421="Maybe",AD421="Price Review"),AG421&lt;&gt;"Approved",AG421&lt;&gt;"Rejected"),IF(AC421="",0,AC421)-ROW()*0.0000001,-9999-ROW()*0.0000001)</f>
        <v/>
      </c>
      <c r="AO421" s="21" t="n"/>
      <c r="AP421" s="21" t="n"/>
      <c r="AQ421" s="22" t="n"/>
      <c r="AR421" s="22" t="n"/>
      <c r="AS421" s="16" t="n"/>
      <c r="AT421" s="22" t="n"/>
      <c r="AU421" s="22" t="n"/>
      <c r="AV421" s="22" t="n"/>
      <c r="AW421" s="18">
        <f>IF(OR(O421="",AV421=""),"",O421*AV421)</f>
        <v/>
      </c>
      <c r="AX421" s="16" t="n"/>
      <c r="AY421" s="16" t="n"/>
      <c r="AZ421" s="16" t="n"/>
      <c r="BA421" s="16" t="n"/>
      <c r="BB421" s="16" t="n"/>
      <c r="BC421" s="18" t="n"/>
      <c r="BD421" s="16" t="n"/>
      <c r="BE421" s="16">
        <f>IF(C421="","",IF(AND(ISNUMBER(P421),P421&gt;MAX_PRICE),"Price too high",IF(AND(ISNUMBER(AB421),AB421&lt;=2),"Quality risk",IF(AND(ISNUMBER(U421),U421&lt;=2),"Aesthetic mismatch",IF(AY421="High","Too fragile",IF(AND(ISNUMBER(R421),R421&lt;LOW_PROFIT_PCT),"Low profit",IF(AND(ISNUMBER(AT421),AT421&gt;MOQ_WARNING),"MOQ too high",IF(OR(AD421="Maybe",AD421="Price Review"),"Needs partner review",IF(AD421="Buy","Good candidate","")))))))))</f>
        <v/>
      </c>
      <c r="BF421" s="16" t="n"/>
      <c r="BG421" s="16" t="n"/>
      <c r="BH421" s="16" t="n"/>
      <c r="BI421" s="16" t="n"/>
      <c r="BJ421" s="16" t="n"/>
      <c r="BK421" s="16" t="n"/>
      <c r="BL421" s="16">
        <f>IF(C421="","",IF(AND(BG421="Yes",BH421="Yes",BI421="Yes",BJ421="Yes",BK421="Yes"),"Yes","No"))</f>
        <v/>
      </c>
      <c r="BM421" s="18" t="n"/>
      <c r="BN421" s="18" t="n"/>
      <c r="BO421" s="18">
        <f>IF(OR(BM421="",BN421=""),"",BM421+BN421)</f>
        <v/>
      </c>
      <c r="BP421" s="18" t="n"/>
      <c r="BQ421" s="18">
        <f>IF(OR(BP421="",BO421=""),"",BP421-BO421)</f>
        <v/>
      </c>
      <c r="BR421" s="19">
        <f>IF(OR(BP421="",BP421=0,BQ421=""),"",BQ421/BP421)</f>
        <v/>
      </c>
      <c r="BS421" s="17" t="n"/>
      <c r="BT421" s="22" t="n"/>
      <c r="BU421" s="22" t="n"/>
      <c r="BV421" s="16" t="n"/>
      <c r="BW421" s="16" t="n"/>
      <c r="BX421" s="22">
        <f>IF(OR(BT421="",BU421=""),"",BT421-BU421)</f>
        <v/>
      </c>
      <c r="BY421" s="16" t="n"/>
      <c r="BZ421" s="17" t="n"/>
      <c r="CA421" s="16" t="n"/>
      <c r="CB421" s="16" t="n"/>
    </row>
    <row r="422">
      <c r="A422" s="23">
        <f>IF(C422="","","AYN-"&amp;IFERROR(VLOOKUP(E422,CATEGORY_PREFIX_TABLE,2,FALSE),"OTH")&amp;"-"&amp;TEXT(ROW()-2,"0000"))</f>
        <v/>
      </c>
      <c r="B422" s="24" t="n"/>
      <c r="C422" s="23" t="n"/>
      <c r="D422" s="23" t="n"/>
      <c r="E422" s="23" t="n"/>
      <c r="F422" s="23" t="n"/>
      <c r="G422" s="23" t="n"/>
      <c r="H422" s="23" t="n"/>
      <c r="I422" s="23" t="n"/>
      <c r="J422" s="23" t="n"/>
      <c r="K422" s="25">
        <f>IF(I422="","",IF(J422="BDT",I422,IF(J422="USD",I422*USD_BDT,IF(J422="RMB",I422*RMB_BDT,""))))</f>
        <v/>
      </c>
      <c r="L422" s="25" t="n"/>
      <c r="M422" s="26" t="n"/>
      <c r="N422" s="25" t="n"/>
      <c r="O422" s="25">
        <f>IF(K422="","",K422+IFERROR(L422,0)+(K422*IF(M422="",CUSTOMS_PCT,M422))+IF(N422="",MISC_FEE,N422))</f>
        <v/>
      </c>
      <c r="P422" s="25">
        <f>IF(O422="","",ROUND(O422*(1+MARKUP_PCT),-1)-1)</f>
        <v/>
      </c>
      <c r="Q422" s="25">
        <f>IF(P422="","",P422-O422)</f>
        <v/>
      </c>
      <c r="R422" s="26">
        <f>IF(OR(P422="",P422=0),"",Q422/P422)</f>
        <v/>
      </c>
      <c r="S422" s="23" t="n"/>
      <c r="T422" s="23" t="n"/>
      <c r="U422" s="23" t="n"/>
      <c r="V422" s="23" t="n"/>
      <c r="W422" s="23" t="n"/>
      <c r="X422" s="23" t="n"/>
      <c r="Y422" s="23" t="n"/>
      <c r="Z422" s="23" t="n"/>
      <c r="AA422" s="23" t="n"/>
      <c r="AB422" s="23" t="n"/>
      <c r="AC422" s="27">
        <f>IF(COUNT(S422:AB422)&lt;10,"",(S422*W_FEMININE+T422*W_TREND+U422*W_AESTHETIC+V422*W_STYLE+W422*W_LIGHT+X422*W_REELS+Y422*W_GIFT+Z422*W_PRICEFIT+AA422*W_DEMAND+AB422*W_QUALITY)/5*100)</f>
        <v/>
      </c>
      <c r="AD422" s="23">
        <f>IF(P422="","",IF(P422&gt;HARD_REJECT_PRICE,"Reject",IF(P422&gt;MAX_PRICE,"Price Review",IF(AC422="","",IF(AND(AC422&gt;=BUY_THRESHOLD,OR(AB422&lt;=2,U422&lt;=2)),"Maybe",IF(AC422&gt;=BUY_THRESHOLD,"Buy",IF(AC422&gt;=MAYBE_THRESHOLD,"Maybe","Reject")))))))</f>
        <v/>
      </c>
      <c r="AE422" s="23" t="n"/>
      <c r="AF422" s="23" t="n"/>
      <c r="AG422" s="23" t="n"/>
      <c r="AH422" s="23" t="n"/>
      <c r="AI422" s="24" t="n"/>
      <c r="AJ422">
        <f>IF(AC422="",-9999-ROW()*0.0000001,AC422-ROW()*0.0000001)</f>
        <v/>
      </c>
      <c r="AK422">
        <f>IF(OR(AC422="",P422="",P422&gt;MAX_PRICE),-9999-ROW()*0.0000001,AC422-ROW()*0.0000001)</f>
        <v/>
      </c>
      <c r="AL422">
        <f>IF(AC422="",-9999-ROW()*0.0000001,X422*1000+AC422-ROW()*0.0000001)</f>
        <v/>
      </c>
      <c r="AM422">
        <f>IF(AC422="",-9999-ROW()*0.0000001,Y422*1000+AC422-ROW()*0.0000001)</f>
        <v/>
      </c>
      <c r="AN422">
        <f>IF(AND(OR(AD422="Maybe",AD422="Price Review"),AG422&lt;&gt;"Approved",AG422&lt;&gt;"Rejected"),IF(AC422="",0,AC422)-ROW()*0.0000001,-9999-ROW()*0.0000001)</f>
        <v/>
      </c>
      <c r="AO422" s="28" t="n"/>
      <c r="AP422" s="28" t="n"/>
      <c r="AQ422" s="29" t="n"/>
      <c r="AR422" s="29" t="n"/>
      <c r="AS422" s="23" t="n"/>
      <c r="AT422" s="29" t="n"/>
      <c r="AU422" s="29" t="n"/>
      <c r="AV422" s="29" t="n"/>
      <c r="AW422" s="25">
        <f>IF(OR(O422="",AV422=""),"",O422*AV422)</f>
        <v/>
      </c>
      <c r="AX422" s="23" t="n"/>
      <c r="AY422" s="23" t="n"/>
      <c r="AZ422" s="23" t="n"/>
      <c r="BA422" s="23" t="n"/>
      <c r="BB422" s="23" t="n"/>
      <c r="BC422" s="25" t="n"/>
      <c r="BD422" s="23" t="n"/>
      <c r="BE422" s="23">
        <f>IF(C422="","",IF(AND(ISNUMBER(P422),P422&gt;MAX_PRICE),"Price too high",IF(AND(ISNUMBER(AB422),AB422&lt;=2),"Quality risk",IF(AND(ISNUMBER(U422),U422&lt;=2),"Aesthetic mismatch",IF(AY422="High","Too fragile",IF(AND(ISNUMBER(R422),R422&lt;LOW_PROFIT_PCT),"Low profit",IF(AND(ISNUMBER(AT422),AT422&gt;MOQ_WARNING),"MOQ too high",IF(OR(AD422="Maybe",AD422="Price Review"),"Needs partner review",IF(AD422="Buy","Good candidate","")))))))))</f>
        <v/>
      </c>
      <c r="BF422" s="23" t="n"/>
      <c r="BG422" s="23" t="n"/>
      <c r="BH422" s="23" t="n"/>
      <c r="BI422" s="23" t="n"/>
      <c r="BJ422" s="23" t="n"/>
      <c r="BK422" s="23" t="n"/>
      <c r="BL422" s="23">
        <f>IF(C422="","",IF(AND(BG422="Yes",BH422="Yes",BI422="Yes",BJ422="Yes",BK422="Yes"),"Yes","No"))</f>
        <v/>
      </c>
      <c r="BM422" s="25" t="n"/>
      <c r="BN422" s="25" t="n"/>
      <c r="BO422" s="25">
        <f>IF(OR(BM422="",BN422=""),"",BM422+BN422)</f>
        <v/>
      </c>
      <c r="BP422" s="25" t="n"/>
      <c r="BQ422" s="25">
        <f>IF(OR(BP422="",BO422=""),"",BP422-BO422)</f>
        <v/>
      </c>
      <c r="BR422" s="26">
        <f>IF(OR(BP422="",BP422=0,BQ422=""),"",BQ422/BP422)</f>
        <v/>
      </c>
      <c r="BS422" s="24" t="n"/>
      <c r="BT422" s="29" t="n"/>
      <c r="BU422" s="29" t="n"/>
      <c r="BV422" s="23" t="n"/>
      <c r="BW422" s="23" t="n"/>
      <c r="BX422" s="29">
        <f>IF(OR(BT422="",BU422=""),"",BT422-BU422)</f>
        <v/>
      </c>
      <c r="BY422" s="23" t="n"/>
      <c r="BZ422" s="24" t="n"/>
      <c r="CA422" s="23" t="n"/>
      <c r="CB422" s="23" t="n"/>
    </row>
    <row r="423">
      <c r="A423" s="16">
        <f>IF(C423="","","AYN-"&amp;IFERROR(VLOOKUP(E423,CATEGORY_PREFIX_TABLE,2,FALSE),"OTH")&amp;"-"&amp;TEXT(ROW()-2,"0000"))</f>
        <v/>
      </c>
      <c r="B423" s="17" t="n"/>
      <c r="C423" s="16" t="n"/>
      <c r="D423" s="16" t="n"/>
      <c r="E423" s="16" t="n"/>
      <c r="F423" s="16" t="n"/>
      <c r="G423" s="16" t="n"/>
      <c r="H423" s="16" t="n"/>
      <c r="I423" s="16" t="n"/>
      <c r="J423" s="16" t="n"/>
      <c r="K423" s="18">
        <f>IF(I423="","",IF(J423="BDT",I423,IF(J423="USD",I423*USD_BDT,IF(J423="RMB",I423*RMB_BDT,""))))</f>
        <v/>
      </c>
      <c r="L423" s="18" t="n"/>
      <c r="M423" s="19" t="n"/>
      <c r="N423" s="18" t="n"/>
      <c r="O423" s="18">
        <f>IF(K423="","",K423+IFERROR(L423,0)+(K423*IF(M423="",CUSTOMS_PCT,M423))+IF(N423="",MISC_FEE,N423))</f>
        <v/>
      </c>
      <c r="P423" s="18">
        <f>IF(O423="","",ROUND(O423*(1+MARKUP_PCT),-1)-1)</f>
        <v/>
      </c>
      <c r="Q423" s="18">
        <f>IF(P423="","",P423-O423)</f>
        <v/>
      </c>
      <c r="R423" s="19">
        <f>IF(OR(P423="",P423=0),"",Q423/P423)</f>
        <v/>
      </c>
      <c r="S423" s="16" t="n"/>
      <c r="T423" s="16" t="n"/>
      <c r="U423" s="16" t="n"/>
      <c r="V423" s="16" t="n"/>
      <c r="W423" s="16" t="n"/>
      <c r="X423" s="16" t="n"/>
      <c r="Y423" s="16" t="n"/>
      <c r="Z423" s="16" t="n"/>
      <c r="AA423" s="16" t="n"/>
      <c r="AB423" s="16" t="n"/>
      <c r="AC423" s="20">
        <f>IF(COUNT(S423:AB423)&lt;10,"",(S423*W_FEMININE+T423*W_TREND+U423*W_AESTHETIC+V423*W_STYLE+W423*W_LIGHT+X423*W_REELS+Y423*W_GIFT+Z423*W_PRICEFIT+AA423*W_DEMAND+AB423*W_QUALITY)/5*100)</f>
        <v/>
      </c>
      <c r="AD423" s="16">
        <f>IF(P423="","",IF(P423&gt;HARD_REJECT_PRICE,"Reject",IF(P423&gt;MAX_PRICE,"Price Review",IF(AC423="","",IF(AND(AC423&gt;=BUY_THRESHOLD,OR(AB423&lt;=2,U423&lt;=2)),"Maybe",IF(AC423&gt;=BUY_THRESHOLD,"Buy",IF(AC423&gt;=MAYBE_THRESHOLD,"Maybe","Reject")))))))</f>
        <v/>
      </c>
      <c r="AE423" s="16" t="n"/>
      <c r="AF423" s="16" t="n"/>
      <c r="AG423" s="16" t="n"/>
      <c r="AH423" s="16" t="n"/>
      <c r="AI423" s="17" t="n"/>
      <c r="AJ423">
        <f>IF(AC423="",-9999-ROW()*0.0000001,AC423-ROW()*0.0000001)</f>
        <v/>
      </c>
      <c r="AK423">
        <f>IF(OR(AC423="",P423="",P423&gt;MAX_PRICE),-9999-ROW()*0.0000001,AC423-ROW()*0.0000001)</f>
        <v/>
      </c>
      <c r="AL423">
        <f>IF(AC423="",-9999-ROW()*0.0000001,X423*1000+AC423-ROW()*0.0000001)</f>
        <v/>
      </c>
      <c r="AM423">
        <f>IF(AC423="",-9999-ROW()*0.0000001,Y423*1000+AC423-ROW()*0.0000001)</f>
        <v/>
      </c>
      <c r="AN423">
        <f>IF(AND(OR(AD423="Maybe",AD423="Price Review"),AG423&lt;&gt;"Approved",AG423&lt;&gt;"Rejected"),IF(AC423="",0,AC423)-ROW()*0.0000001,-9999-ROW()*0.0000001)</f>
        <v/>
      </c>
      <c r="AO423" s="21" t="n"/>
      <c r="AP423" s="21" t="n"/>
      <c r="AQ423" s="22" t="n"/>
      <c r="AR423" s="22" t="n"/>
      <c r="AS423" s="16" t="n"/>
      <c r="AT423" s="22" t="n"/>
      <c r="AU423" s="22" t="n"/>
      <c r="AV423" s="22" t="n"/>
      <c r="AW423" s="18">
        <f>IF(OR(O423="",AV423=""),"",O423*AV423)</f>
        <v/>
      </c>
      <c r="AX423" s="16" t="n"/>
      <c r="AY423" s="16" t="n"/>
      <c r="AZ423" s="16" t="n"/>
      <c r="BA423" s="16" t="n"/>
      <c r="BB423" s="16" t="n"/>
      <c r="BC423" s="18" t="n"/>
      <c r="BD423" s="16" t="n"/>
      <c r="BE423" s="16">
        <f>IF(C423="","",IF(AND(ISNUMBER(P423),P423&gt;MAX_PRICE),"Price too high",IF(AND(ISNUMBER(AB423),AB423&lt;=2),"Quality risk",IF(AND(ISNUMBER(U423),U423&lt;=2),"Aesthetic mismatch",IF(AY423="High","Too fragile",IF(AND(ISNUMBER(R423),R423&lt;LOW_PROFIT_PCT),"Low profit",IF(AND(ISNUMBER(AT423),AT423&gt;MOQ_WARNING),"MOQ too high",IF(OR(AD423="Maybe",AD423="Price Review"),"Needs partner review",IF(AD423="Buy","Good candidate","")))))))))</f>
        <v/>
      </c>
      <c r="BF423" s="16" t="n"/>
      <c r="BG423" s="16" t="n"/>
      <c r="BH423" s="16" t="n"/>
      <c r="BI423" s="16" t="n"/>
      <c r="BJ423" s="16" t="n"/>
      <c r="BK423" s="16" t="n"/>
      <c r="BL423" s="16">
        <f>IF(C423="","",IF(AND(BG423="Yes",BH423="Yes",BI423="Yes",BJ423="Yes",BK423="Yes"),"Yes","No"))</f>
        <v/>
      </c>
      <c r="BM423" s="18" t="n"/>
      <c r="BN423" s="18" t="n"/>
      <c r="BO423" s="18">
        <f>IF(OR(BM423="",BN423=""),"",BM423+BN423)</f>
        <v/>
      </c>
      <c r="BP423" s="18" t="n"/>
      <c r="BQ423" s="18">
        <f>IF(OR(BP423="",BO423=""),"",BP423-BO423)</f>
        <v/>
      </c>
      <c r="BR423" s="19">
        <f>IF(OR(BP423="",BP423=0,BQ423=""),"",BQ423/BP423)</f>
        <v/>
      </c>
      <c r="BS423" s="17" t="n"/>
      <c r="BT423" s="22" t="n"/>
      <c r="BU423" s="22" t="n"/>
      <c r="BV423" s="16" t="n"/>
      <c r="BW423" s="16" t="n"/>
      <c r="BX423" s="22">
        <f>IF(OR(BT423="",BU423=""),"",BT423-BU423)</f>
        <v/>
      </c>
      <c r="BY423" s="16" t="n"/>
      <c r="BZ423" s="17" t="n"/>
      <c r="CA423" s="16" t="n"/>
      <c r="CB423" s="16" t="n"/>
    </row>
    <row r="424">
      <c r="A424" s="23">
        <f>IF(C424="","","AYN-"&amp;IFERROR(VLOOKUP(E424,CATEGORY_PREFIX_TABLE,2,FALSE),"OTH")&amp;"-"&amp;TEXT(ROW()-2,"0000"))</f>
        <v/>
      </c>
      <c r="B424" s="24" t="n"/>
      <c r="C424" s="23" t="n"/>
      <c r="D424" s="23" t="n"/>
      <c r="E424" s="23" t="n"/>
      <c r="F424" s="23" t="n"/>
      <c r="G424" s="23" t="n"/>
      <c r="H424" s="23" t="n"/>
      <c r="I424" s="23" t="n"/>
      <c r="J424" s="23" t="n"/>
      <c r="K424" s="25">
        <f>IF(I424="","",IF(J424="BDT",I424,IF(J424="USD",I424*USD_BDT,IF(J424="RMB",I424*RMB_BDT,""))))</f>
        <v/>
      </c>
      <c r="L424" s="25" t="n"/>
      <c r="M424" s="26" t="n"/>
      <c r="N424" s="25" t="n"/>
      <c r="O424" s="25">
        <f>IF(K424="","",K424+IFERROR(L424,0)+(K424*IF(M424="",CUSTOMS_PCT,M424))+IF(N424="",MISC_FEE,N424))</f>
        <v/>
      </c>
      <c r="P424" s="25">
        <f>IF(O424="","",ROUND(O424*(1+MARKUP_PCT),-1)-1)</f>
        <v/>
      </c>
      <c r="Q424" s="25">
        <f>IF(P424="","",P424-O424)</f>
        <v/>
      </c>
      <c r="R424" s="26">
        <f>IF(OR(P424="",P424=0),"",Q424/P424)</f>
        <v/>
      </c>
      <c r="S424" s="23" t="n"/>
      <c r="T424" s="23" t="n"/>
      <c r="U424" s="23" t="n"/>
      <c r="V424" s="23" t="n"/>
      <c r="W424" s="23" t="n"/>
      <c r="X424" s="23" t="n"/>
      <c r="Y424" s="23" t="n"/>
      <c r="Z424" s="23" t="n"/>
      <c r="AA424" s="23" t="n"/>
      <c r="AB424" s="23" t="n"/>
      <c r="AC424" s="27">
        <f>IF(COUNT(S424:AB424)&lt;10,"",(S424*W_FEMININE+T424*W_TREND+U424*W_AESTHETIC+V424*W_STYLE+W424*W_LIGHT+X424*W_REELS+Y424*W_GIFT+Z424*W_PRICEFIT+AA424*W_DEMAND+AB424*W_QUALITY)/5*100)</f>
        <v/>
      </c>
      <c r="AD424" s="23">
        <f>IF(P424="","",IF(P424&gt;HARD_REJECT_PRICE,"Reject",IF(P424&gt;MAX_PRICE,"Price Review",IF(AC424="","",IF(AND(AC424&gt;=BUY_THRESHOLD,OR(AB424&lt;=2,U424&lt;=2)),"Maybe",IF(AC424&gt;=BUY_THRESHOLD,"Buy",IF(AC424&gt;=MAYBE_THRESHOLD,"Maybe","Reject")))))))</f>
        <v/>
      </c>
      <c r="AE424" s="23" t="n"/>
      <c r="AF424" s="23" t="n"/>
      <c r="AG424" s="23" t="n"/>
      <c r="AH424" s="23" t="n"/>
      <c r="AI424" s="24" t="n"/>
      <c r="AJ424">
        <f>IF(AC424="",-9999-ROW()*0.0000001,AC424-ROW()*0.0000001)</f>
        <v/>
      </c>
      <c r="AK424">
        <f>IF(OR(AC424="",P424="",P424&gt;MAX_PRICE),-9999-ROW()*0.0000001,AC424-ROW()*0.0000001)</f>
        <v/>
      </c>
      <c r="AL424">
        <f>IF(AC424="",-9999-ROW()*0.0000001,X424*1000+AC424-ROW()*0.0000001)</f>
        <v/>
      </c>
      <c r="AM424">
        <f>IF(AC424="",-9999-ROW()*0.0000001,Y424*1000+AC424-ROW()*0.0000001)</f>
        <v/>
      </c>
      <c r="AN424">
        <f>IF(AND(OR(AD424="Maybe",AD424="Price Review"),AG424&lt;&gt;"Approved",AG424&lt;&gt;"Rejected"),IF(AC424="",0,AC424)-ROW()*0.0000001,-9999-ROW()*0.0000001)</f>
        <v/>
      </c>
      <c r="AO424" s="28" t="n"/>
      <c r="AP424" s="28" t="n"/>
      <c r="AQ424" s="29" t="n"/>
      <c r="AR424" s="29" t="n"/>
      <c r="AS424" s="23" t="n"/>
      <c r="AT424" s="29" t="n"/>
      <c r="AU424" s="29" t="n"/>
      <c r="AV424" s="29" t="n"/>
      <c r="AW424" s="25">
        <f>IF(OR(O424="",AV424=""),"",O424*AV424)</f>
        <v/>
      </c>
      <c r="AX424" s="23" t="n"/>
      <c r="AY424" s="23" t="n"/>
      <c r="AZ424" s="23" t="n"/>
      <c r="BA424" s="23" t="n"/>
      <c r="BB424" s="23" t="n"/>
      <c r="BC424" s="25" t="n"/>
      <c r="BD424" s="23" t="n"/>
      <c r="BE424" s="23">
        <f>IF(C424="","",IF(AND(ISNUMBER(P424),P424&gt;MAX_PRICE),"Price too high",IF(AND(ISNUMBER(AB424),AB424&lt;=2),"Quality risk",IF(AND(ISNUMBER(U424),U424&lt;=2),"Aesthetic mismatch",IF(AY424="High","Too fragile",IF(AND(ISNUMBER(R424),R424&lt;LOW_PROFIT_PCT),"Low profit",IF(AND(ISNUMBER(AT424),AT424&gt;MOQ_WARNING),"MOQ too high",IF(OR(AD424="Maybe",AD424="Price Review"),"Needs partner review",IF(AD424="Buy","Good candidate","")))))))))</f>
        <v/>
      </c>
      <c r="BF424" s="23" t="n"/>
      <c r="BG424" s="23" t="n"/>
      <c r="BH424" s="23" t="n"/>
      <c r="BI424" s="23" t="n"/>
      <c r="BJ424" s="23" t="n"/>
      <c r="BK424" s="23" t="n"/>
      <c r="BL424" s="23">
        <f>IF(C424="","",IF(AND(BG424="Yes",BH424="Yes",BI424="Yes",BJ424="Yes",BK424="Yes"),"Yes","No"))</f>
        <v/>
      </c>
      <c r="BM424" s="25" t="n"/>
      <c r="BN424" s="25" t="n"/>
      <c r="BO424" s="25">
        <f>IF(OR(BM424="",BN424=""),"",BM424+BN424)</f>
        <v/>
      </c>
      <c r="BP424" s="25" t="n"/>
      <c r="BQ424" s="25">
        <f>IF(OR(BP424="",BO424=""),"",BP424-BO424)</f>
        <v/>
      </c>
      <c r="BR424" s="26">
        <f>IF(OR(BP424="",BP424=0,BQ424=""),"",BQ424/BP424)</f>
        <v/>
      </c>
      <c r="BS424" s="24" t="n"/>
      <c r="BT424" s="29" t="n"/>
      <c r="BU424" s="29" t="n"/>
      <c r="BV424" s="23" t="n"/>
      <c r="BW424" s="23" t="n"/>
      <c r="BX424" s="29">
        <f>IF(OR(BT424="",BU424=""),"",BT424-BU424)</f>
        <v/>
      </c>
      <c r="BY424" s="23" t="n"/>
      <c r="BZ424" s="24" t="n"/>
      <c r="CA424" s="23" t="n"/>
      <c r="CB424" s="23" t="n"/>
    </row>
    <row r="425">
      <c r="A425" s="16">
        <f>IF(C425="","","AYN-"&amp;IFERROR(VLOOKUP(E425,CATEGORY_PREFIX_TABLE,2,FALSE),"OTH")&amp;"-"&amp;TEXT(ROW()-2,"0000"))</f>
        <v/>
      </c>
      <c r="B425" s="17" t="n"/>
      <c r="C425" s="16" t="n"/>
      <c r="D425" s="16" t="n"/>
      <c r="E425" s="16" t="n"/>
      <c r="F425" s="16" t="n"/>
      <c r="G425" s="16" t="n"/>
      <c r="H425" s="16" t="n"/>
      <c r="I425" s="16" t="n"/>
      <c r="J425" s="16" t="n"/>
      <c r="K425" s="18">
        <f>IF(I425="","",IF(J425="BDT",I425,IF(J425="USD",I425*USD_BDT,IF(J425="RMB",I425*RMB_BDT,""))))</f>
        <v/>
      </c>
      <c r="L425" s="18" t="n"/>
      <c r="M425" s="19" t="n"/>
      <c r="N425" s="18" t="n"/>
      <c r="O425" s="18">
        <f>IF(K425="","",K425+IFERROR(L425,0)+(K425*IF(M425="",CUSTOMS_PCT,M425))+IF(N425="",MISC_FEE,N425))</f>
        <v/>
      </c>
      <c r="P425" s="18">
        <f>IF(O425="","",ROUND(O425*(1+MARKUP_PCT),-1)-1)</f>
        <v/>
      </c>
      <c r="Q425" s="18">
        <f>IF(P425="","",P425-O425)</f>
        <v/>
      </c>
      <c r="R425" s="19">
        <f>IF(OR(P425="",P425=0),"",Q425/P425)</f>
        <v/>
      </c>
      <c r="S425" s="16" t="n"/>
      <c r="T425" s="16" t="n"/>
      <c r="U425" s="16" t="n"/>
      <c r="V425" s="16" t="n"/>
      <c r="W425" s="16" t="n"/>
      <c r="X425" s="16" t="n"/>
      <c r="Y425" s="16" t="n"/>
      <c r="Z425" s="16" t="n"/>
      <c r="AA425" s="16" t="n"/>
      <c r="AB425" s="16" t="n"/>
      <c r="AC425" s="20">
        <f>IF(COUNT(S425:AB425)&lt;10,"",(S425*W_FEMININE+T425*W_TREND+U425*W_AESTHETIC+V425*W_STYLE+W425*W_LIGHT+X425*W_REELS+Y425*W_GIFT+Z425*W_PRICEFIT+AA425*W_DEMAND+AB425*W_QUALITY)/5*100)</f>
        <v/>
      </c>
      <c r="AD425" s="16">
        <f>IF(P425="","",IF(P425&gt;HARD_REJECT_PRICE,"Reject",IF(P425&gt;MAX_PRICE,"Price Review",IF(AC425="","",IF(AND(AC425&gt;=BUY_THRESHOLD,OR(AB425&lt;=2,U425&lt;=2)),"Maybe",IF(AC425&gt;=BUY_THRESHOLD,"Buy",IF(AC425&gt;=MAYBE_THRESHOLD,"Maybe","Reject")))))))</f>
        <v/>
      </c>
      <c r="AE425" s="16" t="n"/>
      <c r="AF425" s="16" t="n"/>
      <c r="AG425" s="16" t="n"/>
      <c r="AH425" s="16" t="n"/>
      <c r="AI425" s="17" t="n"/>
      <c r="AJ425">
        <f>IF(AC425="",-9999-ROW()*0.0000001,AC425-ROW()*0.0000001)</f>
        <v/>
      </c>
      <c r="AK425">
        <f>IF(OR(AC425="",P425="",P425&gt;MAX_PRICE),-9999-ROW()*0.0000001,AC425-ROW()*0.0000001)</f>
        <v/>
      </c>
      <c r="AL425">
        <f>IF(AC425="",-9999-ROW()*0.0000001,X425*1000+AC425-ROW()*0.0000001)</f>
        <v/>
      </c>
      <c r="AM425">
        <f>IF(AC425="",-9999-ROW()*0.0000001,Y425*1000+AC425-ROW()*0.0000001)</f>
        <v/>
      </c>
      <c r="AN425">
        <f>IF(AND(OR(AD425="Maybe",AD425="Price Review"),AG425&lt;&gt;"Approved",AG425&lt;&gt;"Rejected"),IF(AC425="",0,AC425)-ROW()*0.0000001,-9999-ROW()*0.0000001)</f>
        <v/>
      </c>
      <c r="AO425" s="21" t="n"/>
      <c r="AP425" s="21" t="n"/>
      <c r="AQ425" s="22" t="n"/>
      <c r="AR425" s="22" t="n"/>
      <c r="AS425" s="16" t="n"/>
      <c r="AT425" s="22" t="n"/>
      <c r="AU425" s="22" t="n"/>
      <c r="AV425" s="22" t="n"/>
      <c r="AW425" s="18">
        <f>IF(OR(O425="",AV425=""),"",O425*AV425)</f>
        <v/>
      </c>
      <c r="AX425" s="16" t="n"/>
      <c r="AY425" s="16" t="n"/>
      <c r="AZ425" s="16" t="n"/>
      <c r="BA425" s="16" t="n"/>
      <c r="BB425" s="16" t="n"/>
      <c r="BC425" s="18" t="n"/>
      <c r="BD425" s="16" t="n"/>
      <c r="BE425" s="16">
        <f>IF(C425="","",IF(AND(ISNUMBER(P425),P425&gt;MAX_PRICE),"Price too high",IF(AND(ISNUMBER(AB425),AB425&lt;=2),"Quality risk",IF(AND(ISNUMBER(U425),U425&lt;=2),"Aesthetic mismatch",IF(AY425="High","Too fragile",IF(AND(ISNUMBER(R425),R425&lt;LOW_PROFIT_PCT),"Low profit",IF(AND(ISNUMBER(AT425),AT425&gt;MOQ_WARNING),"MOQ too high",IF(OR(AD425="Maybe",AD425="Price Review"),"Needs partner review",IF(AD425="Buy","Good candidate","")))))))))</f>
        <v/>
      </c>
      <c r="BF425" s="16" t="n"/>
      <c r="BG425" s="16" t="n"/>
      <c r="BH425" s="16" t="n"/>
      <c r="BI425" s="16" t="n"/>
      <c r="BJ425" s="16" t="n"/>
      <c r="BK425" s="16" t="n"/>
      <c r="BL425" s="16">
        <f>IF(C425="","",IF(AND(BG425="Yes",BH425="Yes",BI425="Yes",BJ425="Yes",BK425="Yes"),"Yes","No"))</f>
        <v/>
      </c>
      <c r="BM425" s="18" t="n"/>
      <c r="BN425" s="18" t="n"/>
      <c r="BO425" s="18">
        <f>IF(OR(BM425="",BN425=""),"",BM425+BN425)</f>
        <v/>
      </c>
      <c r="BP425" s="18" t="n"/>
      <c r="BQ425" s="18">
        <f>IF(OR(BP425="",BO425=""),"",BP425-BO425)</f>
        <v/>
      </c>
      <c r="BR425" s="19">
        <f>IF(OR(BP425="",BP425=0,BQ425=""),"",BQ425/BP425)</f>
        <v/>
      </c>
      <c r="BS425" s="17" t="n"/>
      <c r="BT425" s="22" t="n"/>
      <c r="BU425" s="22" t="n"/>
      <c r="BV425" s="16" t="n"/>
      <c r="BW425" s="16" t="n"/>
      <c r="BX425" s="22">
        <f>IF(OR(BT425="",BU425=""),"",BT425-BU425)</f>
        <v/>
      </c>
      <c r="BY425" s="16" t="n"/>
      <c r="BZ425" s="17" t="n"/>
      <c r="CA425" s="16" t="n"/>
      <c r="CB425" s="16" t="n"/>
    </row>
    <row r="426">
      <c r="A426" s="23">
        <f>IF(C426="","","AYN-"&amp;IFERROR(VLOOKUP(E426,CATEGORY_PREFIX_TABLE,2,FALSE),"OTH")&amp;"-"&amp;TEXT(ROW()-2,"0000"))</f>
        <v/>
      </c>
      <c r="B426" s="24" t="n"/>
      <c r="C426" s="23" t="n"/>
      <c r="D426" s="23" t="n"/>
      <c r="E426" s="23" t="n"/>
      <c r="F426" s="23" t="n"/>
      <c r="G426" s="23" t="n"/>
      <c r="H426" s="23" t="n"/>
      <c r="I426" s="23" t="n"/>
      <c r="J426" s="23" t="n"/>
      <c r="K426" s="25">
        <f>IF(I426="","",IF(J426="BDT",I426,IF(J426="USD",I426*USD_BDT,IF(J426="RMB",I426*RMB_BDT,""))))</f>
        <v/>
      </c>
      <c r="L426" s="25" t="n"/>
      <c r="M426" s="26" t="n"/>
      <c r="N426" s="25" t="n"/>
      <c r="O426" s="25">
        <f>IF(K426="","",K426+IFERROR(L426,0)+(K426*IF(M426="",CUSTOMS_PCT,M426))+IF(N426="",MISC_FEE,N426))</f>
        <v/>
      </c>
      <c r="P426" s="25">
        <f>IF(O426="","",ROUND(O426*(1+MARKUP_PCT),-1)-1)</f>
        <v/>
      </c>
      <c r="Q426" s="25">
        <f>IF(P426="","",P426-O426)</f>
        <v/>
      </c>
      <c r="R426" s="26">
        <f>IF(OR(P426="",P426=0),"",Q426/P426)</f>
        <v/>
      </c>
      <c r="S426" s="23" t="n"/>
      <c r="T426" s="23" t="n"/>
      <c r="U426" s="23" t="n"/>
      <c r="V426" s="23" t="n"/>
      <c r="W426" s="23" t="n"/>
      <c r="X426" s="23" t="n"/>
      <c r="Y426" s="23" t="n"/>
      <c r="Z426" s="23" t="n"/>
      <c r="AA426" s="23" t="n"/>
      <c r="AB426" s="23" t="n"/>
      <c r="AC426" s="27">
        <f>IF(COUNT(S426:AB426)&lt;10,"",(S426*W_FEMININE+T426*W_TREND+U426*W_AESTHETIC+V426*W_STYLE+W426*W_LIGHT+X426*W_REELS+Y426*W_GIFT+Z426*W_PRICEFIT+AA426*W_DEMAND+AB426*W_QUALITY)/5*100)</f>
        <v/>
      </c>
      <c r="AD426" s="23">
        <f>IF(P426="","",IF(P426&gt;HARD_REJECT_PRICE,"Reject",IF(P426&gt;MAX_PRICE,"Price Review",IF(AC426="","",IF(AND(AC426&gt;=BUY_THRESHOLD,OR(AB426&lt;=2,U426&lt;=2)),"Maybe",IF(AC426&gt;=BUY_THRESHOLD,"Buy",IF(AC426&gt;=MAYBE_THRESHOLD,"Maybe","Reject")))))))</f>
        <v/>
      </c>
      <c r="AE426" s="23" t="n"/>
      <c r="AF426" s="23" t="n"/>
      <c r="AG426" s="23" t="n"/>
      <c r="AH426" s="23" t="n"/>
      <c r="AI426" s="24" t="n"/>
      <c r="AJ426">
        <f>IF(AC426="",-9999-ROW()*0.0000001,AC426-ROW()*0.0000001)</f>
        <v/>
      </c>
      <c r="AK426">
        <f>IF(OR(AC426="",P426="",P426&gt;MAX_PRICE),-9999-ROW()*0.0000001,AC426-ROW()*0.0000001)</f>
        <v/>
      </c>
      <c r="AL426">
        <f>IF(AC426="",-9999-ROW()*0.0000001,X426*1000+AC426-ROW()*0.0000001)</f>
        <v/>
      </c>
      <c r="AM426">
        <f>IF(AC426="",-9999-ROW()*0.0000001,Y426*1000+AC426-ROW()*0.0000001)</f>
        <v/>
      </c>
      <c r="AN426">
        <f>IF(AND(OR(AD426="Maybe",AD426="Price Review"),AG426&lt;&gt;"Approved",AG426&lt;&gt;"Rejected"),IF(AC426="",0,AC426)-ROW()*0.0000001,-9999-ROW()*0.0000001)</f>
        <v/>
      </c>
      <c r="AO426" s="28" t="n"/>
      <c r="AP426" s="28" t="n"/>
      <c r="AQ426" s="29" t="n"/>
      <c r="AR426" s="29" t="n"/>
      <c r="AS426" s="23" t="n"/>
      <c r="AT426" s="29" t="n"/>
      <c r="AU426" s="29" t="n"/>
      <c r="AV426" s="29" t="n"/>
      <c r="AW426" s="25">
        <f>IF(OR(O426="",AV426=""),"",O426*AV426)</f>
        <v/>
      </c>
      <c r="AX426" s="23" t="n"/>
      <c r="AY426" s="23" t="n"/>
      <c r="AZ426" s="23" t="n"/>
      <c r="BA426" s="23" t="n"/>
      <c r="BB426" s="23" t="n"/>
      <c r="BC426" s="25" t="n"/>
      <c r="BD426" s="23" t="n"/>
      <c r="BE426" s="23">
        <f>IF(C426="","",IF(AND(ISNUMBER(P426),P426&gt;MAX_PRICE),"Price too high",IF(AND(ISNUMBER(AB426),AB426&lt;=2),"Quality risk",IF(AND(ISNUMBER(U426),U426&lt;=2),"Aesthetic mismatch",IF(AY426="High","Too fragile",IF(AND(ISNUMBER(R426),R426&lt;LOW_PROFIT_PCT),"Low profit",IF(AND(ISNUMBER(AT426),AT426&gt;MOQ_WARNING),"MOQ too high",IF(OR(AD426="Maybe",AD426="Price Review"),"Needs partner review",IF(AD426="Buy","Good candidate","")))))))))</f>
        <v/>
      </c>
      <c r="BF426" s="23" t="n"/>
      <c r="BG426" s="23" t="n"/>
      <c r="BH426" s="23" t="n"/>
      <c r="BI426" s="23" t="n"/>
      <c r="BJ426" s="23" t="n"/>
      <c r="BK426" s="23" t="n"/>
      <c r="BL426" s="23">
        <f>IF(C426="","",IF(AND(BG426="Yes",BH426="Yes",BI426="Yes",BJ426="Yes",BK426="Yes"),"Yes","No"))</f>
        <v/>
      </c>
      <c r="BM426" s="25" t="n"/>
      <c r="BN426" s="25" t="n"/>
      <c r="BO426" s="25">
        <f>IF(OR(BM426="",BN426=""),"",BM426+BN426)</f>
        <v/>
      </c>
      <c r="BP426" s="25" t="n"/>
      <c r="BQ426" s="25">
        <f>IF(OR(BP426="",BO426=""),"",BP426-BO426)</f>
        <v/>
      </c>
      <c r="BR426" s="26">
        <f>IF(OR(BP426="",BP426=0,BQ426=""),"",BQ426/BP426)</f>
        <v/>
      </c>
      <c r="BS426" s="24" t="n"/>
      <c r="BT426" s="29" t="n"/>
      <c r="BU426" s="29" t="n"/>
      <c r="BV426" s="23" t="n"/>
      <c r="BW426" s="23" t="n"/>
      <c r="BX426" s="29">
        <f>IF(OR(BT426="",BU426=""),"",BT426-BU426)</f>
        <v/>
      </c>
      <c r="BY426" s="23" t="n"/>
      <c r="BZ426" s="24" t="n"/>
      <c r="CA426" s="23" t="n"/>
      <c r="CB426" s="23" t="n"/>
    </row>
    <row r="427">
      <c r="A427" s="16">
        <f>IF(C427="","","AYN-"&amp;IFERROR(VLOOKUP(E427,CATEGORY_PREFIX_TABLE,2,FALSE),"OTH")&amp;"-"&amp;TEXT(ROW()-2,"0000"))</f>
        <v/>
      </c>
      <c r="B427" s="17" t="n"/>
      <c r="C427" s="16" t="n"/>
      <c r="D427" s="16" t="n"/>
      <c r="E427" s="16" t="n"/>
      <c r="F427" s="16" t="n"/>
      <c r="G427" s="16" t="n"/>
      <c r="H427" s="16" t="n"/>
      <c r="I427" s="16" t="n"/>
      <c r="J427" s="16" t="n"/>
      <c r="K427" s="18">
        <f>IF(I427="","",IF(J427="BDT",I427,IF(J427="USD",I427*USD_BDT,IF(J427="RMB",I427*RMB_BDT,""))))</f>
        <v/>
      </c>
      <c r="L427" s="18" t="n"/>
      <c r="M427" s="19" t="n"/>
      <c r="N427" s="18" t="n"/>
      <c r="O427" s="18">
        <f>IF(K427="","",K427+IFERROR(L427,0)+(K427*IF(M427="",CUSTOMS_PCT,M427))+IF(N427="",MISC_FEE,N427))</f>
        <v/>
      </c>
      <c r="P427" s="18">
        <f>IF(O427="","",ROUND(O427*(1+MARKUP_PCT),-1)-1)</f>
        <v/>
      </c>
      <c r="Q427" s="18">
        <f>IF(P427="","",P427-O427)</f>
        <v/>
      </c>
      <c r="R427" s="19">
        <f>IF(OR(P427="",P427=0),"",Q427/P427)</f>
        <v/>
      </c>
      <c r="S427" s="16" t="n"/>
      <c r="T427" s="16" t="n"/>
      <c r="U427" s="16" t="n"/>
      <c r="V427" s="16" t="n"/>
      <c r="W427" s="16" t="n"/>
      <c r="X427" s="16" t="n"/>
      <c r="Y427" s="16" t="n"/>
      <c r="Z427" s="16" t="n"/>
      <c r="AA427" s="16" t="n"/>
      <c r="AB427" s="16" t="n"/>
      <c r="AC427" s="20">
        <f>IF(COUNT(S427:AB427)&lt;10,"",(S427*W_FEMININE+T427*W_TREND+U427*W_AESTHETIC+V427*W_STYLE+W427*W_LIGHT+X427*W_REELS+Y427*W_GIFT+Z427*W_PRICEFIT+AA427*W_DEMAND+AB427*W_QUALITY)/5*100)</f>
        <v/>
      </c>
      <c r="AD427" s="16">
        <f>IF(P427="","",IF(P427&gt;HARD_REJECT_PRICE,"Reject",IF(P427&gt;MAX_PRICE,"Price Review",IF(AC427="","",IF(AND(AC427&gt;=BUY_THRESHOLD,OR(AB427&lt;=2,U427&lt;=2)),"Maybe",IF(AC427&gt;=BUY_THRESHOLD,"Buy",IF(AC427&gt;=MAYBE_THRESHOLD,"Maybe","Reject")))))))</f>
        <v/>
      </c>
      <c r="AE427" s="16" t="n"/>
      <c r="AF427" s="16" t="n"/>
      <c r="AG427" s="16" t="n"/>
      <c r="AH427" s="16" t="n"/>
      <c r="AI427" s="17" t="n"/>
      <c r="AJ427">
        <f>IF(AC427="",-9999-ROW()*0.0000001,AC427-ROW()*0.0000001)</f>
        <v/>
      </c>
      <c r="AK427">
        <f>IF(OR(AC427="",P427="",P427&gt;MAX_PRICE),-9999-ROW()*0.0000001,AC427-ROW()*0.0000001)</f>
        <v/>
      </c>
      <c r="AL427">
        <f>IF(AC427="",-9999-ROW()*0.0000001,X427*1000+AC427-ROW()*0.0000001)</f>
        <v/>
      </c>
      <c r="AM427">
        <f>IF(AC427="",-9999-ROW()*0.0000001,Y427*1000+AC427-ROW()*0.0000001)</f>
        <v/>
      </c>
      <c r="AN427">
        <f>IF(AND(OR(AD427="Maybe",AD427="Price Review"),AG427&lt;&gt;"Approved",AG427&lt;&gt;"Rejected"),IF(AC427="",0,AC427)-ROW()*0.0000001,-9999-ROW()*0.0000001)</f>
        <v/>
      </c>
      <c r="AO427" s="21" t="n"/>
      <c r="AP427" s="21" t="n"/>
      <c r="AQ427" s="22" t="n"/>
      <c r="AR427" s="22" t="n"/>
      <c r="AS427" s="16" t="n"/>
      <c r="AT427" s="22" t="n"/>
      <c r="AU427" s="22" t="n"/>
      <c r="AV427" s="22" t="n"/>
      <c r="AW427" s="18">
        <f>IF(OR(O427="",AV427=""),"",O427*AV427)</f>
        <v/>
      </c>
      <c r="AX427" s="16" t="n"/>
      <c r="AY427" s="16" t="n"/>
      <c r="AZ427" s="16" t="n"/>
      <c r="BA427" s="16" t="n"/>
      <c r="BB427" s="16" t="n"/>
      <c r="BC427" s="18" t="n"/>
      <c r="BD427" s="16" t="n"/>
      <c r="BE427" s="16">
        <f>IF(C427="","",IF(AND(ISNUMBER(P427),P427&gt;MAX_PRICE),"Price too high",IF(AND(ISNUMBER(AB427),AB427&lt;=2),"Quality risk",IF(AND(ISNUMBER(U427),U427&lt;=2),"Aesthetic mismatch",IF(AY427="High","Too fragile",IF(AND(ISNUMBER(R427),R427&lt;LOW_PROFIT_PCT),"Low profit",IF(AND(ISNUMBER(AT427),AT427&gt;MOQ_WARNING),"MOQ too high",IF(OR(AD427="Maybe",AD427="Price Review"),"Needs partner review",IF(AD427="Buy","Good candidate","")))))))))</f>
        <v/>
      </c>
      <c r="BF427" s="16" t="n"/>
      <c r="BG427" s="16" t="n"/>
      <c r="BH427" s="16" t="n"/>
      <c r="BI427" s="16" t="n"/>
      <c r="BJ427" s="16" t="n"/>
      <c r="BK427" s="16" t="n"/>
      <c r="BL427" s="16">
        <f>IF(C427="","",IF(AND(BG427="Yes",BH427="Yes",BI427="Yes",BJ427="Yes",BK427="Yes"),"Yes","No"))</f>
        <v/>
      </c>
      <c r="BM427" s="18" t="n"/>
      <c r="BN427" s="18" t="n"/>
      <c r="BO427" s="18">
        <f>IF(OR(BM427="",BN427=""),"",BM427+BN427)</f>
        <v/>
      </c>
      <c r="BP427" s="18" t="n"/>
      <c r="BQ427" s="18">
        <f>IF(OR(BP427="",BO427=""),"",BP427-BO427)</f>
        <v/>
      </c>
      <c r="BR427" s="19">
        <f>IF(OR(BP427="",BP427=0,BQ427=""),"",BQ427/BP427)</f>
        <v/>
      </c>
      <c r="BS427" s="17" t="n"/>
      <c r="BT427" s="22" t="n"/>
      <c r="BU427" s="22" t="n"/>
      <c r="BV427" s="16" t="n"/>
      <c r="BW427" s="16" t="n"/>
      <c r="BX427" s="22">
        <f>IF(OR(BT427="",BU427=""),"",BT427-BU427)</f>
        <v/>
      </c>
      <c r="BY427" s="16" t="n"/>
      <c r="BZ427" s="17" t="n"/>
      <c r="CA427" s="16" t="n"/>
      <c r="CB427" s="16" t="n"/>
    </row>
    <row r="428">
      <c r="A428" s="23">
        <f>IF(C428="","","AYN-"&amp;IFERROR(VLOOKUP(E428,CATEGORY_PREFIX_TABLE,2,FALSE),"OTH")&amp;"-"&amp;TEXT(ROW()-2,"0000"))</f>
        <v/>
      </c>
      <c r="B428" s="24" t="n"/>
      <c r="C428" s="23" t="n"/>
      <c r="D428" s="23" t="n"/>
      <c r="E428" s="23" t="n"/>
      <c r="F428" s="23" t="n"/>
      <c r="G428" s="23" t="n"/>
      <c r="H428" s="23" t="n"/>
      <c r="I428" s="23" t="n"/>
      <c r="J428" s="23" t="n"/>
      <c r="K428" s="25">
        <f>IF(I428="","",IF(J428="BDT",I428,IF(J428="USD",I428*USD_BDT,IF(J428="RMB",I428*RMB_BDT,""))))</f>
        <v/>
      </c>
      <c r="L428" s="25" t="n"/>
      <c r="M428" s="26" t="n"/>
      <c r="N428" s="25" t="n"/>
      <c r="O428" s="25">
        <f>IF(K428="","",K428+IFERROR(L428,0)+(K428*IF(M428="",CUSTOMS_PCT,M428))+IF(N428="",MISC_FEE,N428))</f>
        <v/>
      </c>
      <c r="P428" s="25">
        <f>IF(O428="","",ROUND(O428*(1+MARKUP_PCT),-1)-1)</f>
        <v/>
      </c>
      <c r="Q428" s="25">
        <f>IF(P428="","",P428-O428)</f>
        <v/>
      </c>
      <c r="R428" s="26">
        <f>IF(OR(P428="",P428=0),"",Q428/P428)</f>
        <v/>
      </c>
      <c r="S428" s="23" t="n"/>
      <c r="T428" s="23" t="n"/>
      <c r="U428" s="23" t="n"/>
      <c r="V428" s="23" t="n"/>
      <c r="W428" s="23" t="n"/>
      <c r="X428" s="23" t="n"/>
      <c r="Y428" s="23" t="n"/>
      <c r="Z428" s="23" t="n"/>
      <c r="AA428" s="23" t="n"/>
      <c r="AB428" s="23" t="n"/>
      <c r="AC428" s="27">
        <f>IF(COUNT(S428:AB428)&lt;10,"",(S428*W_FEMININE+T428*W_TREND+U428*W_AESTHETIC+V428*W_STYLE+W428*W_LIGHT+X428*W_REELS+Y428*W_GIFT+Z428*W_PRICEFIT+AA428*W_DEMAND+AB428*W_QUALITY)/5*100)</f>
        <v/>
      </c>
      <c r="AD428" s="23">
        <f>IF(P428="","",IF(P428&gt;HARD_REJECT_PRICE,"Reject",IF(P428&gt;MAX_PRICE,"Price Review",IF(AC428="","",IF(AND(AC428&gt;=BUY_THRESHOLD,OR(AB428&lt;=2,U428&lt;=2)),"Maybe",IF(AC428&gt;=BUY_THRESHOLD,"Buy",IF(AC428&gt;=MAYBE_THRESHOLD,"Maybe","Reject")))))))</f>
        <v/>
      </c>
      <c r="AE428" s="23" t="n"/>
      <c r="AF428" s="23" t="n"/>
      <c r="AG428" s="23" t="n"/>
      <c r="AH428" s="23" t="n"/>
      <c r="AI428" s="24" t="n"/>
      <c r="AJ428">
        <f>IF(AC428="",-9999-ROW()*0.0000001,AC428-ROW()*0.0000001)</f>
        <v/>
      </c>
      <c r="AK428">
        <f>IF(OR(AC428="",P428="",P428&gt;MAX_PRICE),-9999-ROW()*0.0000001,AC428-ROW()*0.0000001)</f>
        <v/>
      </c>
      <c r="AL428">
        <f>IF(AC428="",-9999-ROW()*0.0000001,X428*1000+AC428-ROW()*0.0000001)</f>
        <v/>
      </c>
      <c r="AM428">
        <f>IF(AC428="",-9999-ROW()*0.0000001,Y428*1000+AC428-ROW()*0.0000001)</f>
        <v/>
      </c>
      <c r="AN428">
        <f>IF(AND(OR(AD428="Maybe",AD428="Price Review"),AG428&lt;&gt;"Approved",AG428&lt;&gt;"Rejected"),IF(AC428="",0,AC428)-ROW()*0.0000001,-9999-ROW()*0.0000001)</f>
        <v/>
      </c>
      <c r="AO428" s="28" t="n"/>
      <c r="AP428" s="28" t="n"/>
      <c r="AQ428" s="29" t="n"/>
      <c r="AR428" s="29" t="n"/>
      <c r="AS428" s="23" t="n"/>
      <c r="AT428" s="29" t="n"/>
      <c r="AU428" s="29" t="n"/>
      <c r="AV428" s="29" t="n"/>
      <c r="AW428" s="25">
        <f>IF(OR(O428="",AV428=""),"",O428*AV428)</f>
        <v/>
      </c>
      <c r="AX428" s="23" t="n"/>
      <c r="AY428" s="23" t="n"/>
      <c r="AZ428" s="23" t="n"/>
      <c r="BA428" s="23" t="n"/>
      <c r="BB428" s="23" t="n"/>
      <c r="BC428" s="25" t="n"/>
      <c r="BD428" s="23" t="n"/>
      <c r="BE428" s="23">
        <f>IF(C428="","",IF(AND(ISNUMBER(P428),P428&gt;MAX_PRICE),"Price too high",IF(AND(ISNUMBER(AB428),AB428&lt;=2),"Quality risk",IF(AND(ISNUMBER(U428),U428&lt;=2),"Aesthetic mismatch",IF(AY428="High","Too fragile",IF(AND(ISNUMBER(R428),R428&lt;LOW_PROFIT_PCT),"Low profit",IF(AND(ISNUMBER(AT428),AT428&gt;MOQ_WARNING),"MOQ too high",IF(OR(AD428="Maybe",AD428="Price Review"),"Needs partner review",IF(AD428="Buy","Good candidate","")))))))))</f>
        <v/>
      </c>
      <c r="BF428" s="23" t="n"/>
      <c r="BG428" s="23" t="n"/>
      <c r="BH428" s="23" t="n"/>
      <c r="BI428" s="23" t="n"/>
      <c r="BJ428" s="23" t="n"/>
      <c r="BK428" s="23" t="n"/>
      <c r="BL428" s="23">
        <f>IF(C428="","",IF(AND(BG428="Yes",BH428="Yes",BI428="Yes",BJ428="Yes",BK428="Yes"),"Yes","No"))</f>
        <v/>
      </c>
      <c r="BM428" s="25" t="n"/>
      <c r="BN428" s="25" t="n"/>
      <c r="BO428" s="25">
        <f>IF(OR(BM428="",BN428=""),"",BM428+BN428)</f>
        <v/>
      </c>
      <c r="BP428" s="25" t="n"/>
      <c r="BQ428" s="25">
        <f>IF(OR(BP428="",BO428=""),"",BP428-BO428)</f>
        <v/>
      </c>
      <c r="BR428" s="26">
        <f>IF(OR(BP428="",BP428=0,BQ428=""),"",BQ428/BP428)</f>
        <v/>
      </c>
      <c r="BS428" s="24" t="n"/>
      <c r="BT428" s="29" t="n"/>
      <c r="BU428" s="29" t="n"/>
      <c r="BV428" s="23" t="n"/>
      <c r="BW428" s="23" t="n"/>
      <c r="BX428" s="29">
        <f>IF(OR(BT428="",BU428=""),"",BT428-BU428)</f>
        <v/>
      </c>
      <c r="BY428" s="23" t="n"/>
      <c r="BZ428" s="24" t="n"/>
      <c r="CA428" s="23" t="n"/>
      <c r="CB428" s="23" t="n"/>
    </row>
    <row r="429">
      <c r="A429" s="16">
        <f>IF(C429="","","AYN-"&amp;IFERROR(VLOOKUP(E429,CATEGORY_PREFIX_TABLE,2,FALSE),"OTH")&amp;"-"&amp;TEXT(ROW()-2,"0000"))</f>
        <v/>
      </c>
      <c r="B429" s="17" t="n"/>
      <c r="C429" s="16" t="n"/>
      <c r="D429" s="16" t="n"/>
      <c r="E429" s="16" t="n"/>
      <c r="F429" s="16" t="n"/>
      <c r="G429" s="16" t="n"/>
      <c r="H429" s="16" t="n"/>
      <c r="I429" s="16" t="n"/>
      <c r="J429" s="16" t="n"/>
      <c r="K429" s="18">
        <f>IF(I429="","",IF(J429="BDT",I429,IF(J429="USD",I429*USD_BDT,IF(J429="RMB",I429*RMB_BDT,""))))</f>
        <v/>
      </c>
      <c r="L429" s="18" t="n"/>
      <c r="M429" s="19" t="n"/>
      <c r="N429" s="18" t="n"/>
      <c r="O429" s="18">
        <f>IF(K429="","",K429+IFERROR(L429,0)+(K429*IF(M429="",CUSTOMS_PCT,M429))+IF(N429="",MISC_FEE,N429))</f>
        <v/>
      </c>
      <c r="P429" s="18">
        <f>IF(O429="","",ROUND(O429*(1+MARKUP_PCT),-1)-1)</f>
        <v/>
      </c>
      <c r="Q429" s="18">
        <f>IF(P429="","",P429-O429)</f>
        <v/>
      </c>
      <c r="R429" s="19">
        <f>IF(OR(P429="",P429=0),"",Q429/P429)</f>
        <v/>
      </c>
      <c r="S429" s="16" t="n"/>
      <c r="T429" s="16" t="n"/>
      <c r="U429" s="16" t="n"/>
      <c r="V429" s="16" t="n"/>
      <c r="W429" s="16" t="n"/>
      <c r="X429" s="16" t="n"/>
      <c r="Y429" s="16" t="n"/>
      <c r="Z429" s="16" t="n"/>
      <c r="AA429" s="16" t="n"/>
      <c r="AB429" s="16" t="n"/>
      <c r="AC429" s="20">
        <f>IF(COUNT(S429:AB429)&lt;10,"",(S429*W_FEMININE+T429*W_TREND+U429*W_AESTHETIC+V429*W_STYLE+W429*W_LIGHT+X429*W_REELS+Y429*W_GIFT+Z429*W_PRICEFIT+AA429*W_DEMAND+AB429*W_QUALITY)/5*100)</f>
        <v/>
      </c>
      <c r="AD429" s="16">
        <f>IF(P429="","",IF(P429&gt;HARD_REJECT_PRICE,"Reject",IF(P429&gt;MAX_PRICE,"Price Review",IF(AC429="","",IF(AND(AC429&gt;=BUY_THRESHOLD,OR(AB429&lt;=2,U429&lt;=2)),"Maybe",IF(AC429&gt;=BUY_THRESHOLD,"Buy",IF(AC429&gt;=MAYBE_THRESHOLD,"Maybe","Reject")))))))</f>
        <v/>
      </c>
      <c r="AE429" s="16" t="n"/>
      <c r="AF429" s="16" t="n"/>
      <c r="AG429" s="16" t="n"/>
      <c r="AH429" s="16" t="n"/>
      <c r="AI429" s="17" t="n"/>
      <c r="AJ429">
        <f>IF(AC429="",-9999-ROW()*0.0000001,AC429-ROW()*0.0000001)</f>
        <v/>
      </c>
      <c r="AK429">
        <f>IF(OR(AC429="",P429="",P429&gt;MAX_PRICE),-9999-ROW()*0.0000001,AC429-ROW()*0.0000001)</f>
        <v/>
      </c>
      <c r="AL429">
        <f>IF(AC429="",-9999-ROW()*0.0000001,X429*1000+AC429-ROW()*0.0000001)</f>
        <v/>
      </c>
      <c r="AM429">
        <f>IF(AC429="",-9999-ROW()*0.0000001,Y429*1000+AC429-ROW()*0.0000001)</f>
        <v/>
      </c>
      <c r="AN429">
        <f>IF(AND(OR(AD429="Maybe",AD429="Price Review"),AG429&lt;&gt;"Approved",AG429&lt;&gt;"Rejected"),IF(AC429="",0,AC429)-ROW()*0.0000001,-9999-ROW()*0.0000001)</f>
        <v/>
      </c>
      <c r="AO429" s="21" t="n"/>
      <c r="AP429" s="21" t="n"/>
      <c r="AQ429" s="22" t="n"/>
      <c r="AR429" s="22" t="n"/>
      <c r="AS429" s="16" t="n"/>
      <c r="AT429" s="22" t="n"/>
      <c r="AU429" s="22" t="n"/>
      <c r="AV429" s="22" t="n"/>
      <c r="AW429" s="18">
        <f>IF(OR(O429="",AV429=""),"",O429*AV429)</f>
        <v/>
      </c>
      <c r="AX429" s="16" t="n"/>
      <c r="AY429" s="16" t="n"/>
      <c r="AZ429" s="16" t="n"/>
      <c r="BA429" s="16" t="n"/>
      <c r="BB429" s="16" t="n"/>
      <c r="BC429" s="18" t="n"/>
      <c r="BD429" s="16" t="n"/>
      <c r="BE429" s="16">
        <f>IF(C429="","",IF(AND(ISNUMBER(P429),P429&gt;MAX_PRICE),"Price too high",IF(AND(ISNUMBER(AB429),AB429&lt;=2),"Quality risk",IF(AND(ISNUMBER(U429),U429&lt;=2),"Aesthetic mismatch",IF(AY429="High","Too fragile",IF(AND(ISNUMBER(R429),R429&lt;LOW_PROFIT_PCT),"Low profit",IF(AND(ISNUMBER(AT429),AT429&gt;MOQ_WARNING),"MOQ too high",IF(OR(AD429="Maybe",AD429="Price Review"),"Needs partner review",IF(AD429="Buy","Good candidate","")))))))))</f>
        <v/>
      </c>
      <c r="BF429" s="16" t="n"/>
      <c r="BG429" s="16" t="n"/>
      <c r="BH429" s="16" t="n"/>
      <c r="BI429" s="16" t="n"/>
      <c r="BJ429" s="16" t="n"/>
      <c r="BK429" s="16" t="n"/>
      <c r="BL429" s="16">
        <f>IF(C429="","",IF(AND(BG429="Yes",BH429="Yes",BI429="Yes",BJ429="Yes",BK429="Yes"),"Yes","No"))</f>
        <v/>
      </c>
      <c r="BM429" s="18" t="n"/>
      <c r="BN429" s="18" t="n"/>
      <c r="BO429" s="18">
        <f>IF(OR(BM429="",BN429=""),"",BM429+BN429)</f>
        <v/>
      </c>
      <c r="BP429" s="18" t="n"/>
      <c r="BQ429" s="18">
        <f>IF(OR(BP429="",BO429=""),"",BP429-BO429)</f>
        <v/>
      </c>
      <c r="BR429" s="19">
        <f>IF(OR(BP429="",BP429=0,BQ429=""),"",BQ429/BP429)</f>
        <v/>
      </c>
      <c r="BS429" s="17" t="n"/>
      <c r="BT429" s="22" t="n"/>
      <c r="BU429" s="22" t="n"/>
      <c r="BV429" s="16" t="n"/>
      <c r="BW429" s="16" t="n"/>
      <c r="BX429" s="22">
        <f>IF(OR(BT429="",BU429=""),"",BT429-BU429)</f>
        <v/>
      </c>
      <c r="BY429" s="16" t="n"/>
      <c r="BZ429" s="17" t="n"/>
      <c r="CA429" s="16" t="n"/>
      <c r="CB429" s="16" t="n"/>
    </row>
    <row r="430">
      <c r="A430" s="23">
        <f>IF(C430="","","AYN-"&amp;IFERROR(VLOOKUP(E430,CATEGORY_PREFIX_TABLE,2,FALSE),"OTH")&amp;"-"&amp;TEXT(ROW()-2,"0000"))</f>
        <v/>
      </c>
      <c r="B430" s="24" t="n"/>
      <c r="C430" s="23" t="n"/>
      <c r="D430" s="23" t="n"/>
      <c r="E430" s="23" t="n"/>
      <c r="F430" s="23" t="n"/>
      <c r="G430" s="23" t="n"/>
      <c r="H430" s="23" t="n"/>
      <c r="I430" s="23" t="n"/>
      <c r="J430" s="23" t="n"/>
      <c r="K430" s="25">
        <f>IF(I430="","",IF(J430="BDT",I430,IF(J430="USD",I430*USD_BDT,IF(J430="RMB",I430*RMB_BDT,""))))</f>
        <v/>
      </c>
      <c r="L430" s="25" t="n"/>
      <c r="M430" s="26" t="n"/>
      <c r="N430" s="25" t="n"/>
      <c r="O430" s="25">
        <f>IF(K430="","",K430+IFERROR(L430,0)+(K430*IF(M430="",CUSTOMS_PCT,M430))+IF(N430="",MISC_FEE,N430))</f>
        <v/>
      </c>
      <c r="P430" s="25">
        <f>IF(O430="","",ROUND(O430*(1+MARKUP_PCT),-1)-1)</f>
        <v/>
      </c>
      <c r="Q430" s="25">
        <f>IF(P430="","",P430-O430)</f>
        <v/>
      </c>
      <c r="R430" s="26">
        <f>IF(OR(P430="",P430=0),"",Q430/P430)</f>
        <v/>
      </c>
      <c r="S430" s="23" t="n"/>
      <c r="T430" s="23" t="n"/>
      <c r="U430" s="23" t="n"/>
      <c r="V430" s="23" t="n"/>
      <c r="W430" s="23" t="n"/>
      <c r="X430" s="23" t="n"/>
      <c r="Y430" s="23" t="n"/>
      <c r="Z430" s="23" t="n"/>
      <c r="AA430" s="23" t="n"/>
      <c r="AB430" s="23" t="n"/>
      <c r="AC430" s="27">
        <f>IF(COUNT(S430:AB430)&lt;10,"",(S430*W_FEMININE+T430*W_TREND+U430*W_AESTHETIC+V430*W_STYLE+W430*W_LIGHT+X430*W_REELS+Y430*W_GIFT+Z430*W_PRICEFIT+AA430*W_DEMAND+AB430*W_QUALITY)/5*100)</f>
        <v/>
      </c>
      <c r="AD430" s="23">
        <f>IF(P430="","",IF(P430&gt;HARD_REJECT_PRICE,"Reject",IF(P430&gt;MAX_PRICE,"Price Review",IF(AC430="","",IF(AND(AC430&gt;=BUY_THRESHOLD,OR(AB430&lt;=2,U430&lt;=2)),"Maybe",IF(AC430&gt;=BUY_THRESHOLD,"Buy",IF(AC430&gt;=MAYBE_THRESHOLD,"Maybe","Reject")))))))</f>
        <v/>
      </c>
      <c r="AE430" s="23" t="n"/>
      <c r="AF430" s="23" t="n"/>
      <c r="AG430" s="23" t="n"/>
      <c r="AH430" s="23" t="n"/>
      <c r="AI430" s="24" t="n"/>
      <c r="AJ430">
        <f>IF(AC430="",-9999-ROW()*0.0000001,AC430-ROW()*0.0000001)</f>
        <v/>
      </c>
      <c r="AK430">
        <f>IF(OR(AC430="",P430="",P430&gt;MAX_PRICE),-9999-ROW()*0.0000001,AC430-ROW()*0.0000001)</f>
        <v/>
      </c>
      <c r="AL430">
        <f>IF(AC430="",-9999-ROW()*0.0000001,X430*1000+AC430-ROW()*0.0000001)</f>
        <v/>
      </c>
      <c r="AM430">
        <f>IF(AC430="",-9999-ROW()*0.0000001,Y430*1000+AC430-ROW()*0.0000001)</f>
        <v/>
      </c>
      <c r="AN430">
        <f>IF(AND(OR(AD430="Maybe",AD430="Price Review"),AG430&lt;&gt;"Approved",AG430&lt;&gt;"Rejected"),IF(AC430="",0,AC430)-ROW()*0.0000001,-9999-ROW()*0.0000001)</f>
        <v/>
      </c>
      <c r="AO430" s="28" t="n"/>
      <c r="AP430" s="28" t="n"/>
      <c r="AQ430" s="29" t="n"/>
      <c r="AR430" s="29" t="n"/>
      <c r="AS430" s="23" t="n"/>
      <c r="AT430" s="29" t="n"/>
      <c r="AU430" s="29" t="n"/>
      <c r="AV430" s="29" t="n"/>
      <c r="AW430" s="25">
        <f>IF(OR(O430="",AV430=""),"",O430*AV430)</f>
        <v/>
      </c>
      <c r="AX430" s="23" t="n"/>
      <c r="AY430" s="23" t="n"/>
      <c r="AZ430" s="23" t="n"/>
      <c r="BA430" s="23" t="n"/>
      <c r="BB430" s="23" t="n"/>
      <c r="BC430" s="25" t="n"/>
      <c r="BD430" s="23" t="n"/>
      <c r="BE430" s="23">
        <f>IF(C430="","",IF(AND(ISNUMBER(P430),P430&gt;MAX_PRICE),"Price too high",IF(AND(ISNUMBER(AB430),AB430&lt;=2),"Quality risk",IF(AND(ISNUMBER(U430),U430&lt;=2),"Aesthetic mismatch",IF(AY430="High","Too fragile",IF(AND(ISNUMBER(R430),R430&lt;LOW_PROFIT_PCT),"Low profit",IF(AND(ISNUMBER(AT430),AT430&gt;MOQ_WARNING),"MOQ too high",IF(OR(AD430="Maybe",AD430="Price Review"),"Needs partner review",IF(AD430="Buy","Good candidate","")))))))))</f>
        <v/>
      </c>
      <c r="BF430" s="23" t="n"/>
      <c r="BG430" s="23" t="n"/>
      <c r="BH430" s="23" t="n"/>
      <c r="BI430" s="23" t="n"/>
      <c r="BJ430" s="23" t="n"/>
      <c r="BK430" s="23" t="n"/>
      <c r="BL430" s="23">
        <f>IF(C430="","",IF(AND(BG430="Yes",BH430="Yes",BI430="Yes",BJ430="Yes",BK430="Yes"),"Yes","No"))</f>
        <v/>
      </c>
      <c r="BM430" s="25" t="n"/>
      <c r="BN430" s="25" t="n"/>
      <c r="BO430" s="25">
        <f>IF(OR(BM430="",BN430=""),"",BM430+BN430)</f>
        <v/>
      </c>
      <c r="BP430" s="25" t="n"/>
      <c r="BQ430" s="25">
        <f>IF(OR(BP430="",BO430=""),"",BP430-BO430)</f>
        <v/>
      </c>
      <c r="BR430" s="26">
        <f>IF(OR(BP430="",BP430=0,BQ430=""),"",BQ430/BP430)</f>
        <v/>
      </c>
      <c r="BS430" s="24" t="n"/>
      <c r="BT430" s="29" t="n"/>
      <c r="BU430" s="29" t="n"/>
      <c r="BV430" s="23" t="n"/>
      <c r="BW430" s="23" t="n"/>
      <c r="BX430" s="29">
        <f>IF(OR(BT430="",BU430=""),"",BT430-BU430)</f>
        <v/>
      </c>
      <c r="BY430" s="23" t="n"/>
      <c r="BZ430" s="24" t="n"/>
      <c r="CA430" s="23" t="n"/>
      <c r="CB430" s="23" t="n"/>
    </row>
    <row r="431">
      <c r="A431" s="16">
        <f>IF(C431="","","AYN-"&amp;IFERROR(VLOOKUP(E431,CATEGORY_PREFIX_TABLE,2,FALSE),"OTH")&amp;"-"&amp;TEXT(ROW()-2,"0000"))</f>
        <v/>
      </c>
      <c r="B431" s="17" t="n"/>
      <c r="C431" s="16" t="n"/>
      <c r="D431" s="16" t="n"/>
      <c r="E431" s="16" t="n"/>
      <c r="F431" s="16" t="n"/>
      <c r="G431" s="16" t="n"/>
      <c r="H431" s="16" t="n"/>
      <c r="I431" s="16" t="n"/>
      <c r="J431" s="16" t="n"/>
      <c r="K431" s="18">
        <f>IF(I431="","",IF(J431="BDT",I431,IF(J431="USD",I431*USD_BDT,IF(J431="RMB",I431*RMB_BDT,""))))</f>
        <v/>
      </c>
      <c r="L431" s="18" t="n"/>
      <c r="M431" s="19" t="n"/>
      <c r="N431" s="18" t="n"/>
      <c r="O431" s="18">
        <f>IF(K431="","",K431+IFERROR(L431,0)+(K431*IF(M431="",CUSTOMS_PCT,M431))+IF(N431="",MISC_FEE,N431))</f>
        <v/>
      </c>
      <c r="P431" s="18">
        <f>IF(O431="","",ROUND(O431*(1+MARKUP_PCT),-1)-1)</f>
        <v/>
      </c>
      <c r="Q431" s="18">
        <f>IF(P431="","",P431-O431)</f>
        <v/>
      </c>
      <c r="R431" s="19">
        <f>IF(OR(P431="",P431=0),"",Q431/P431)</f>
        <v/>
      </c>
      <c r="S431" s="16" t="n"/>
      <c r="T431" s="16" t="n"/>
      <c r="U431" s="16" t="n"/>
      <c r="V431" s="16" t="n"/>
      <c r="W431" s="16" t="n"/>
      <c r="X431" s="16" t="n"/>
      <c r="Y431" s="16" t="n"/>
      <c r="Z431" s="16" t="n"/>
      <c r="AA431" s="16" t="n"/>
      <c r="AB431" s="16" t="n"/>
      <c r="AC431" s="20">
        <f>IF(COUNT(S431:AB431)&lt;10,"",(S431*W_FEMININE+T431*W_TREND+U431*W_AESTHETIC+V431*W_STYLE+W431*W_LIGHT+X431*W_REELS+Y431*W_GIFT+Z431*W_PRICEFIT+AA431*W_DEMAND+AB431*W_QUALITY)/5*100)</f>
        <v/>
      </c>
      <c r="AD431" s="16">
        <f>IF(P431="","",IF(P431&gt;HARD_REJECT_PRICE,"Reject",IF(P431&gt;MAX_PRICE,"Price Review",IF(AC431="","",IF(AND(AC431&gt;=BUY_THRESHOLD,OR(AB431&lt;=2,U431&lt;=2)),"Maybe",IF(AC431&gt;=BUY_THRESHOLD,"Buy",IF(AC431&gt;=MAYBE_THRESHOLD,"Maybe","Reject")))))))</f>
        <v/>
      </c>
      <c r="AE431" s="16" t="n"/>
      <c r="AF431" s="16" t="n"/>
      <c r="AG431" s="16" t="n"/>
      <c r="AH431" s="16" t="n"/>
      <c r="AI431" s="17" t="n"/>
      <c r="AJ431">
        <f>IF(AC431="",-9999-ROW()*0.0000001,AC431-ROW()*0.0000001)</f>
        <v/>
      </c>
      <c r="AK431">
        <f>IF(OR(AC431="",P431="",P431&gt;MAX_PRICE),-9999-ROW()*0.0000001,AC431-ROW()*0.0000001)</f>
        <v/>
      </c>
      <c r="AL431">
        <f>IF(AC431="",-9999-ROW()*0.0000001,X431*1000+AC431-ROW()*0.0000001)</f>
        <v/>
      </c>
      <c r="AM431">
        <f>IF(AC431="",-9999-ROW()*0.0000001,Y431*1000+AC431-ROW()*0.0000001)</f>
        <v/>
      </c>
      <c r="AN431">
        <f>IF(AND(OR(AD431="Maybe",AD431="Price Review"),AG431&lt;&gt;"Approved",AG431&lt;&gt;"Rejected"),IF(AC431="",0,AC431)-ROW()*0.0000001,-9999-ROW()*0.0000001)</f>
        <v/>
      </c>
      <c r="AO431" s="21" t="n"/>
      <c r="AP431" s="21" t="n"/>
      <c r="AQ431" s="22" t="n"/>
      <c r="AR431" s="22" t="n"/>
      <c r="AS431" s="16" t="n"/>
      <c r="AT431" s="22" t="n"/>
      <c r="AU431" s="22" t="n"/>
      <c r="AV431" s="22" t="n"/>
      <c r="AW431" s="18">
        <f>IF(OR(O431="",AV431=""),"",O431*AV431)</f>
        <v/>
      </c>
      <c r="AX431" s="16" t="n"/>
      <c r="AY431" s="16" t="n"/>
      <c r="AZ431" s="16" t="n"/>
      <c r="BA431" s="16" t="n"/>
      <c r="BB431" s="16" t="n"/>
      <c r="BC431" s="18" t="n"/>
      <c r="BD431" s="16" t="n"/>
      <c r="BE431" s="16">
        <f>IF(C431="","",IF(AND(ISNUMBER(P431),P431&gt;MAX_PRICE),"Price too high",IF(AND(ISNUMBER(AB431),AB431&lt;=2),"Quality risk",IF(AND(ISNUMBER(U431),U431&lt;=2),"Aesthetic mismatch",IF(AY431="High","Too fragile",IF(AND(ISNUMBER(R431),R431&lt;LOW_PROFIT_PCT),"Low profit",IF(AND(ISNUMBER(AT431),AT431&gt;MOQ_WARNING),"MOQ too high",IF(OR(AD431="Maybe",AD431="Price Review"),"Needs partner review",IF(AD431="Buy","Good candidate","")))))))))</f>
        <v/>
      </c>
      <c r="BF431" s="16" t="n"/>
      <c r="BG431" s="16" t="n"/>
      <c r="BH431" s="16" t="n"/>
      <c r="BI431" s="16" t="n"/>
      <c r="BJ431" s="16" t="n"/>
      <c r="BK431" s="16" t="n"/>
      <c r="BL431" s="16">
        <f>IF(C431="","",IF(AND(BG431="Yes",BH431="Yes",BI431="Yes",BJ431="Yes",BK431="Yes"),"Yes","No"))</f>
        <v/>
      </c>
      <c r="BM431" s="18" t="n"/>
      <c r="BN431" s="18" t="n"/>
      <c r="BO431" s="18">
        <f>IF(OR(BM431="",BN431=""),"",BM431+BN431)</f>
        <v/>
      </c>
      <c r="BP431" s="18" t="n"/>
      <c r="BQ431" s="18">
        <f>IF(OR(BP431="",BO431=""),"",BP431-BO431)</f>
        <v/>
      </c>
      <c r="BR431" s="19">
        <f>IF(OR(BP431="",BP431=0,BQ431=""),"",BQ431/BP431)</f>
        <v/>
      </c>
      <c r="BS431" s="17" t="n"/>
      <c r="BT431" s="22" t="n"/>
      <c r="BU431" s="22" t="n"/>
      <c r="BV431" s="16" t="n"/>
      <c r="BW431" s="16" t="n"/>
      <c r="BX431" s="22">
        <f>IF(OR(BT431="",BU431=""),"",BT431-BU431)</f>
        <v/>
      </c>
      <c r="BY431" s="16" t="n"/>
      <c r="BZ431" s="17" t="n"/>
      <c r="CA431" s="16" t="n"/>
      <c r="CB431" s="16" t="n"/>
    </row>
    <row r="432">
      <c r="A432" s="23">
        <f>IF(C432="","","AYN-"&amp;IFERROR(VLOOKUP(E432,CATEGORY_PREFIX_TABLE,2,FALSE),"OTH")&amp;"-"&amp;TEXT(ROW()-2,"0000"))</f>
        <v/>
      </c>
      <c r="B432" s="24" t="n"/>
      <c r="C432" s="23" t="n"/>
      <c r="D432" s="23" t="n"/>
      <c r="E432" s="23" t="n"/>
      <c r="F432" s="23" t="n"/>
      <c r="G432" s="23" t="n"/>
      <c r="H432" s="23" t="n"/>
      <c r="I432" s="23" t="n"/>
      <c r="J432" s="23" t="n"/>
      <c r="K432" s="25">
        <f>IF(I432="","",IF(J432="BDT",I432,IF(J432="USD",I432*USD_BDT,IF(J432="RMB",I432*RMB_BDT,""))))</f>
        <v/>
      </c>
      <c r="L432" s="25" t="n"/>
      <c r="M432" s="26" t="n"/>
      <c r="N432" s="25" t="n"/>
      <c r="O432" s="25">
        <f>IF(K432="","",K432+IFERROR(L432,0)+(K432*IF(M432="",CUSTOMS_PCT,M432))+IF(N432="",MISC_FEE,N432))</f>
        <v/>
      </c>
      <c r="P432" s="25">
        <f>IF(O432="","",ROUND(O432*(1+MARKUP_PCT),-1)-1)</f>
        <v/>
      </c>
      <c r="Q432" s="25">
        <f>IF(P432="","",P432-O432)</f>
        <v/>
      </c>
      <c r="R432" s="26">
        <f>IF(OR(P432="",P432=0),"",Q432/P432)</f>
        <v/>
      </c>
      <c r="S432" s="23" t="n"/>
      <c r="T432" s="23" t="n"/>
      <c r="U432" s="23" t="n"/>
      <c r="V432" s="23" t="n"/>
      <c r="W432" s="23" t="n"/>
      <c r="X432" s="23" t="n"/>
      <c r="Y432" s="23" t="n"/>
      <c r="Z432" s="23" t="n"/>
      <c r="AA432" s="23" t="n"/>
      <c r="AB432" s="23" t="n"/>
      <c r="AC432" s="27">
        <f>IF(COUNT(S432:AB432)&lt;10,"",(S432*W_FEMININE+T432*W_TREND+U432*W_AESTHETIC+V432*W_STYLE+W432*W_LIGHT+X432*W_REELS+Y432*W_GIFT+Z432*W_PRICEFIT+AA432*W_DEMAND+AB432*W_QUALITY)/5*100)</f>
        <v/>
      </c>
      <c r="AD432" s="23">
        <f>IF(P432="","",IF(P432&gt;HARD_REJECT_PRICE,"Reject",IF(P432&gt;MAX_PRICE,"Price Review",IF(AC432="","",IF(AND(AC432&gt;=BUY_THRESHOLD,OR(AB432&lt;=2,U432&lt;=2)),"Maybe",IF(AC432&gt;=BUY_THRESHOLD,"Buy",IF(AC432&gt;=MAYBE_THRESHOLD,"Maybe","Reject")))))))</f>
        <v/>
      </c>
      <c r="AE432" s="23" t="n"/>
      <c r="AF432" s="23" t="n"/>
      <c r="AG432" s="23" t="n"/>
      <c r="AH432" s="23" t="n"/>
      <c r="AI432" s="24" t="n"/>
      <c r="AJ432">
        <f>IF(AC432="",-9999-ROW()*0.0000001,AC432-ROW()*0.0000001)</f>
        <v/>
      </c>
      <c r="AK432">
        <f>IF(OR(AC432="",P432="",P432&gt;MAX_PRICE),-9999-ROW()*0.0000001,AC432-ROW()*0.0000001)</f>
        <v/>
      </c>
      <c r="AL432">
        <f>IF(AC432="",-9999-ROW()*0.0000001,X432*1000+AC432-ROW()*0.0000001)</f>
        <v/>
      </c>
      <c r="AM432">
        <f>IF(AC432="",-9999-ROW()*0.0000001,Y432*1000+AC432-ROW()*0.0000001)</f>
        <v/>
      </c>
      <c r="AN432">
        <f>IF(AND(OR(AD432="Maybe",AD432="Price Review"),AG432&lt;&gt;"Approved",AG432&lt;&gt;"Rejected"),IF(AC432="",0,AC432)-ROW()*0.0000001,-9999-ROW()*0.0000001)</f>
        <v/>
      </c>
      <c r="AO432" s="28" t="n"/>
      <c r="AP432" s="28" t="n"/>
      <c r="AQ432" s="29" t="n"/>
      <c r="AR432" s="29" t="n"/>
      <c r="AS432" s="23" t="n"/>
      <c r="AT432" s="29" t="n"/>
      <c r="AU432" s="29" t="n"/>
      <c r="AV432" s="29" t="n"/>
      <c r="AW432" s="25">
        <f>IF(OR(O432="",AV432=""),"",O432*AV432)</f>
        <v/>
      </c>
      <c r="AX432" s="23" t="n"/>
      <c r="AY432" s="23" t="n"/>
      <c r="AZ432" s="23" t="n"/>
      <c r="BA432" s="23" t="n"/>
      <c r="BB432" s="23" t="n"/>
      <c r="BC432" s="25" t="n"/>
      <c r="BD432" s="23" t="n"/>
      <c r="BE432" s="23">
        <f>IF(C432="","",IF(AND(ISNUMBER(P432),P432&gt;MAX_PRICE),"Price too high",IF(AND(ISNUMBER(AB432),AB432&lt;=2),"Quality risk",IF(AND(ISNUMBER(U432),U432&lt;=2),"Aesthetic mismatch",IF(AY432="High","Too fragile",IF(AND(ISNUMBER(R432),R432&lt;LOW_PROFIT_PCT),"Low profit",IF(AND(ISNUMBER(AT432),AT432&gt;MOQ_WARNING),"MOQ too high",IF(OR(AD432="Maybe",AD432="Price Review"),"Needs partner review",IF(AD432="Buy","Good candidate","")))))))))</f>
        <v/>
      </c>
      <c r="BF432" s="23" t="n"/>
      <c r="BG432" s="23" t="n"/>
      <c r="BH432" s="23" t="n"/>
      <c r="BI432" s="23" t="n"/>
      <c r="BJ432" s="23" t="n"/>
      <c r="BK432" s="23" t="n"/>
      <c r="BL432" s="23">
        <f>IF(C432="","",IF(AND(BG432="Yes",BH432="Yes",BI432="Yes",BJ432="Yes",BK432="Yes"),"Yes","No"))</f>
        <v/>
      </c>
      <c r="BM432" s="25" t="n"/>
      <c r="BN432" s="25" t="n"/>
      <c r="BO432" s="25">
        <f>IF(OR(BM432="",BN432=""),"",BM432+BN432)</f>
        <v/>
      </c>
      <c r="BP432" s="25" t="n"/>
      <c r="BQ432" s="25">
        <f>IF(OR(BP432="",BO432=""),"",BP432-BO432)</f>
        <v/>
      </c>
      <c r="BR432" s="26">
        <f>IF(OR(BP432="",BP432=0,BQ432=""),"",BQ432/BP432)</f>
        <v/>
      </c>
      <c r="BS432" s="24" t="n"/>
      <c r="BT432" s="29" t="n"/>
      <c r="BU432" s="29" t="n"/>
      <c r="BV432" s="23" t="n"/>
      <c r="BW432" s="23" t="n"/>
      <c r="BX432" s="29">
        <f>IF(OR(BT432="",BU432=""),"",BT432-BU432)</f>
        <v/>
      </c>
      <c r="BY432" s="23" t="n"/>
      <c r="BZ432" s="24" t="n"/>
      <c r="CA432" s="23" t="n"/>
      <c r="CB432" s="23" t="n"/>
    </row>
    <row r="433">
      <c r="A433" s="16">
        <f>IF(C433="","","AYN-"&amp;IFERROR(VLOOKUP(E433,CATEGORY_PREFIX_TABLE,2,FALSE),"OTH")&amp;"-"&amp;TEXT(ROW()-2,"0000"))</f>
        <v/>
      </c>
      <c r="B433" s="17" t="n"/>
      <c r="C433" s="16" t="n"/>
      <c r="D433" s="16" t="n"/>
      <c r="E433" s="16" t="n"/>
      <c r="F433" s="16" t="n"/>
      <c r="G433" s="16" t="n"/>
      <c r="H433" s="16" t="n"/>
      <c r="I433" s="16" t="n"/>
      <c r="J433" s="16" t="n"/>
      <c r="K433" s="18">
        <f>IF(I433="","",IF(J433="BDT",I433,IF(J433="USD",I433*USD_BDT,IF(J433="RMB",I433*RMB_BDT,""))))</f>
        <v/>
      </c>
      <c r="L433" s="18" t="n"/>
      <c r="M433" s="19" t="n"/>
      <c r="N433" s="18" t="n"/>
      <c r="O433" s="18">
        <f>IF(K433="","",K433+IFERROR(L433,0)+(K433*IF(M433="",CUSTOMS_PCT,M433))+IF(N433="",MISC_FEE,N433))</f>
        <v/>
      </c>
      <c r="P433" s="18">
        <f>IF(O433="","",ROUND(O433*(1+MARKUP_PCT),-1)-1)</f>
        <v/>
      </c>
      <c r="Q433" s="18">
        <f>IF(P433="","",P433-O433)</f>
        <v/>
      </c>
      <c r="R433" s="19">
        <f>IF(OR(P433="",P433=0),"",Q433/P433)</f>
        <v/>
      </c>
      <c r="S433" s="16" t="n"/>
      <c r="T433" s="16" t="n"/>
      <c r="U433" s="16" t="n"/>
      <c r="V433" s="16" t="n"/>
      <c r="W433" s="16" t="n"/>
      <c r="X433" s="16" t="n"/>
      <c r="Y433" s="16" t="n"/>
      <c r="Z433" s="16" t="n"/>
      <c r="AA433" s="16" t="n"/>
      <c r="AB433" s="16" t="n"/>
      <c r="AC433" s="20">
        <f>IF(COUNT(S433:AB433)&lt;10,"",(S433*W_FEMININE+T433*W_TREND+U433*W_AESTHETIC+V433*W_STYLE+W433*W_LIGHT+X433*W_REELS+Y433*W_GIFT+Z433*W_PRICEFIT+AA433*W_DEMAND+AB433*W_QUALITY)/5*100)</f>
        <v/>
      </c>
      <c r="AD433" s="16">
        <f>IF(P433="","",IF(P433&gt;HARD_REJECT_PRICE,"Reject",IF(P433&gt;MAX_PRICE,"Price Review",IF(AC433="","",IF(AND(AC433&gt;=BUY_THRESHOLD,OR(AB433&lt;=2,U433&lt;=2)),"Maybe",IF(AC433&gt;=BUY_THRESHOLD,"Buy",IF(AC433&gt;=MAYBE_THRESHOLD,"Maybe","Reject")))))))</f>
        <v/>
      </c>
      <c r="AE433" s="16" t="n"/>
      <c r="AF433" s="16" t="n"/>
      <c r="AG433" s="16" t="n"/>
      <c r="AH433" s="16" t="n"/>
      <c r="AI433" s="17" t="n"/>
      <c r="AJ433">
        <f>IF(AC433="",-9999-ROW()*0.0000001,AC433-ROW()*0.0000001)</f>
        <v/>
      </c>
      <c r="AK433">
        <f>IF(OR(AC433="",P433="",P433&gt;MAX_PRICE),-9999-ROW()*0.0000001,AC433-ROW()*0.0000001)</f>
        <v/>
      </c>
      <c r="AL433">
        <f>IF(AC433="",-9999-ROW()*0.0000001,X433*1000+AC433-ROW()*0.0000001)</f>
        <v/>
      </c>
      <c r="AM433">
        <f>IF(AC433="",-9999-ROW()*0.0000001,Y433*1000+AC433-ROW()*0.0000001)</f>
        <v/>
      </c>
      <c r="AN433">
        <f>IF(AND(OR(AD433="Maybe",AD433="Price Review"),AG433&lt;&gt;"Approved",AG433&lt;&gt;"Rejected"),IF(AC433="",0,AC433)-ROW()*0.0000001,-9999-ROW()*0.0000001)</f>
        <v/>
      </c>
      <c r="AO433" s="21" t="n"/>
      <c r="AP433" s="21" t="n"/>
      <c r="AQ433" s="22" t="n"/>
      <c r="AR433" s="22" t="n"/>
      <c r="AS433" s="16" t="n"/>
      <c r="AT433" s="22" t="n"/>
      <c r="AU433" s="22" t="n"/>
      <c r="AV433" s="22" t="n"/>
      <c r="AW433" s="18">
        <f>IF(OR(O433="",AV433=""),"",O433*AV433)</f>
        <v/>
      </c>
      <c r="AX433" s="16" t="n"/>
      <c r="AY433" s="16" t="n"/>
      <c r="AZ433" s="16" t="n"/>
      <c r="BA433" s="16" t="n"/>
      <c r="BB433" s="16" t="n"/>
      <c r="BC433" s="18" t="n"/>
      <c r="BD433" s="16" t="n"/>
      <c r="BE433" s="16">
        <f>IF(C433="","",IF(AND(ISNUMBER(P433),P433&gt;MAX_PRICE),"Price too high",IF(AND(ISNUMBER(AB433),AB433&lt;=2),"Quality risk",IF(AND(ISNUMBER(U433),U433&lt;=2),"Aesthetic mismatch",IF(AY433="High","Too fragile",IF(AND(ISNUMBER(R433),R433&lt;LOW_PROFIT_PCT),"Low profit",IF(AND(ISNUMBER(AT433),AT433&gt;MOQ_WARNING),"MOQ too high",IF(OR(AD433="Maybe",AD433="Price Review"),"Needs partner review",IF(AD433="Buy","Good candidate","")))))))))</f>
        <v/>
      </c>
      <c r="BF433" s="16" t="n"/>
      <c r="BG433" s="16" t="n"/>
      <c r="BH433" s="16" t="n"/>
      <c r="BI433" s="16" t="n"/>
      <c r="BJ433" s="16" t="n"/>
      <c r="BK433" s="16" t="n"/>
      <c r="BL433" s="16">
        <f>IF(C433="","",IF(AND(BG433="Yes",BH433="Yes",BI433="Yes",BJ433="Yes",BK433="Yes"),"Yes","No"))</f>
        <v/>
      </c>
      <c r="BM433" s="18" t="n"/>
      <c r="BN433" s="18" t="n"/>
      <c r="BO433" s="18">
        <f>IF(OR(BM433="",BN433=""),"",BM433+BN433)</f>
        <v/>
      </c>
      <c r="BP433" s="18" t="n"/>
      <c r="BQ433" s="18">
        <f>IF(OR(BP433="",BO433=""),"",BP433-BO433)</f>
        <v/>
      </c>
      <c r="BR433" s="19">
        <f>IF(OR(BP433="",BP433=0,BQ433=""),"",BQ433/BP433)</f>
        <v/>
      </c>
      <c r="BS433" s="17" t="n"/>
      <c r="BT433" s="22" t="n"/>
      <c r="BU433" s="22" t="n"/>
      <c r="BV433" s="16" t="n"/>
      <c r="BW433" s="16" t="n"/>
      <c r="BX433" s="22">
        <f>IF(OR(BT433="",BU433=""),"",BT433-BU433)</f>
        <v/>
      </c>
      <c r="BY433" s="16" t="n"/>
      <c r="BZ433" s="17" t="n"/>
      <c r="CA433" s="16" t="n"/>
      <c r="CB433" s="16" t="n"/>
    </row>
    <row r="434">
      <c r="A434" s="23">
        <f>IF(C434="","","AYN-"&amp;IFERROR(VLOOKUP(E434,CATEGORY_PREFIX_TABLE,2,FALSE),"OTH")&amp;"-"&amp;TEXT(ROW()-2,"0000"))</f>
        <v/>
      </c>
      <c r="B434" s="24" t="n"/>
      <c r="C434" s="23" t="n"/>
      <c r="D434" s="23" t="n"/>
      <c r="E434" s="23" t="n"/>
      <c r="F434" s="23" t="n"/>
      <c r="G434" s="23" t="n"/>
      <c r="H434" s="23" t="n"/>
      <c r="I434" s="23" t="n"/>
      <c r="J434" s="23" t="n"/>
      <c r="K434" s="25">
        <f>IF(I434="","",IF(J434="BDT",I434,IF(J434="USD",I434*USD_BDT,IF(J434="RMB",I434*RMB_BDT,""))))</f>
        <v/>
      </c>
      <c r="L434" s="25" t="n"/>
      <c r="M434" s="26" t="n"/>
      <c r="N434" s="25" t="n"/>
      <c r="O434" s="25">
        <f>IF(K434="","",K434+IFERROR(L434,0)+(K434*IF(M434="",CUSTOMS_PCT,M434))+IF(N434="",MISC_FEE,N434))</f>
        <v/>
      </c>
      <c r="P434" s="25">
        <f>IF(O434="","",ROUND(O434*(1+MARKUP_PCT),-1)-1)</f>
        <v/>
      </c>
      <c r="Q434" s="25">
        <f>IF(P434="","",P434-O434)</f>
        <v/>
      </c>
      <c r="R434" s="26">
        <f>IF(OR(P434="",P434=0),"",Q434/P434)</f>
        <v/>
      </c>
      <c r="S434" s="23" t="n"/>
      <c r="T434" s="23" t="n"/>
      <c r="U434" s="23" t="n"/>
      <c r="V434" s="23" t="n"/>
      <c r="W434" s="23" t="n"/>
      <c r="X434" s="23" t="n"/>
      <c r="Y434" s="23" t="n"/>
      <c r="Z434" s="23" t="n"/>
      <c r="AA434" s="23" t="n"/>
      <c r="AB434" s="23" t="n"/>
      <c r="AC434" s="27">
        <f>IF(COUNT(S434:AB434)&lt;10,"",(S434*W_FEMININE+T434*W_TREND+U434*W_AESTHETIC+V434*W_STYLE+W434*W_LIGHT+X434*W_REELS+Y434*W_GIFT+Z434*W_PRICEFIT+AA434*W_DEMAND+AB434*W_QUALITY)/5*100)</f>
        <v/>
      </c>
      <c r="AD434" s="23">
        <f>IF(P434="","",IF(P434&gt;HARD_REJECT_PRICE,"Reject",IF(P434&gt;MAX_PRICE,"Price Review",IF(AC434="","",IF(AND(AC434&gt;=BUY_THRESHOLD,OR(AB434&lt;=2,U434&lt;=2)),"Maybe",IF(AC434&gt;=BUY_THRESHOLD,"Buy",IF(AC434&gt;=MAYBE_THRESHOLD,"Maybe","Reject")))))))</f>
        <v/>
      </c>
      <c r="AE434" s="23" t="n"/>
      <c r="AF434" s="23" t="n"/>
      <c r="AG434" s="23" t="n"/>
      <c r="AH434" s="23" t="n"/>
      <c r="AI434" s="24" t="n"/>
      <c r="AJ434">
        <f>IF(AC434="",-9999-ROW()*0.0000001,AC434-ROW()*0.0000001)</f>
        <v/>
      </c>
      <c r="AK434">
        <f>IF(OR(AC434="",P434="",P434&gt;MAX_PRICE),-9999-ROW()*0.0000001,AC434-ROW()*0.0000001)</f>
        <v/>
      </c>
      <c r="AL434">
        <f>IF(AC434="",-9999-ROW()*0.0000001,X434*1000+AC434-ROW()*0.0000001)</f>
        <v/>
      </c>
      <c r="AM434">
        <f>IF(AC434="",-9999-ROW()*0.0000001,Y434*1000+AC434-ROW()*0.0000001)</f>
        <v/>
      </c>
      <c r="AN434">
        <f>IF(AND(OR(AD434="Maybe",AD434="Price Review"),AG434&lt;&gt;"Approved",AG434&lt;&gt;"Rejected"),IF(AC434="",0,AC434)-ROW()*0.0000001,-9999-ROW()*0.0000001)</f>
        <v/>
      </c>
      <c r="AO434" s="28" t="n"/>
      <c r="AP434" s="28" t="n"/>
      <c r="AQ434" s="29" t="n"/>
      <c r="AR434" s="29" t="n"/>
      <c r="AS434" s="23" t="n"/>
      <c r="AT434" s="29" t="n"/>
      <c r="AU434" s="29" t="n"/>
      <c r="AV434" s="29" t="n"/>
      <c r="AW434" s="25">
        <f>IF(OR(O434="",AV434=""),"",O434*AV434)</f>
        <v/>
      </c>
      <c r="AX434" s="23" t="n"/>
      <c r="AY434" s="23" t="n"/>
      <c r="AZ434" s="23" t="n"/>
      <c r="BA434" s="23" t="n"/>
      <c r="BB434" s="23" t="n"/>
      <c r="BC434" s="25" t="n"/>
      <c r="BD434" s="23" t="n"/>
      <c r="BE434" s="23">
        <f>IF(C434="","",IF(AND(ISNUMBER(P434),P434&gt;MAX_PRICE),"Price too high",IF(AND(ISNUMBER(AB434),AB434&lt;=2),"Quality risk",IF(AND(ISNUMBER(U434),U434&lt;=2),"Aesthetic mismatch",IF(AY434="High","Too fragile",IF(AND(ISNUMBER(R434),R434&lt;LOW_PROFIT_PCT),"Low profit",IF(AND(ISNUMBER(AT434),AT434&gt;MOQ_WARNING),"MOQ too high",IF(OR(AD434="Maybe",AD434="Price Review"),"Needs partner review",IF(AD434="Buy","Good candidate","")))))))))</f>
        <v/>
      </c>
      <c r="BF434" s="23" t="n"/>
      <c r="BG434" s="23" t="n"/>
      <c r="BH434" s="23" t="n"/>
      <c r="BI434" s="23" t="n"/>
      <c r="BJ434" s="23" t="n"/>
      <c r="BK434" s="23" t="n"/>
      <c r="BL434" s="23">
        <f>IF(C434="","",IF(AND(BG434="Yes",BH434="Yes",BI434="Yes",BJ434="Yes",BK434="Yes"),"Yes","No"))</f>
        <v/>
      </c>
      <c r="BM434" s="25" t="n"/>
      <c r="BN434" s="25" t="n"/>
      <c r="BO434" s="25">
        <f>IF(OR(BM434="",BN434=""),"",BM434+BN434)</f>
        <v/>
      </c>
      <c r="BP434" s="25" t="n"/>
      <c r="BQ434" s="25">
        <f>IF(OR(BP434="",BO434=""),"",BP434-BO434)</f>
        <v/>
      </c>
      <c r="BR434" s="26">
        <f>IF(OR(BP434="",BP434=0,BQ434=""),"",BQ434/BP434)</f>
        <v/>
      </c>
      <c r="BS434" s="24" t="n"/>
      <c r="BT434" s="29" t="n"/>
      <c r="BU434" s="29" t="n"/>
      <c r="BV434" s="23" t="n"/>
      <c r="BW434" s="23" t="n"/>
      <c r="BX434" s="29">
        <f>IF(OR(BT434="",BU434=""),"",BT434-BU434)</f>
        <v/>
      </c>
      <c r="BY434" s="23" t="n"/>
      <c r="BZ434" s="24" t="n"/>
      <c r="CA434" s="23" t="n"/>
      <c r="CB434" s="23" t="n"/>
    </row>
    <row r="435">
      <c r="A435" s="16">
        <f>IF(C435="","","AYN-"&amp;IFERROR(VLOOKUP(E435,CATEGORY_PREFIX_TABLE,2,FALSE),"OTH")&amp;"-"&amp;TEXT(ROW()-2,"0000"))</f>
        <v/>
      </c>
      <c r="B435" s="17" t="n"/>
      <c r="C435" s="16" t="n"/>
      <c r="D435" s="16" t="n"/>
      <c r="E435" s="16" t="n"/>
      <c r="F435" s="16" t="n"/>
      <c r="G435" s="16" t="n"/>
      <c r="H435" s="16" t="n"/>
      <c r="I435" s="16" t="n"/>
      <c r="J435" s="16" t="n"/>
      <c r="K435" s="18">
        <f>IF(I435="","",IF(J435="BDT",I435,IF(J435="USD",I435*USD_BDT,IF(J435="RMB",I435*RMB_BDT,""))))</f>
        <v/>
      </c>
      <c r="L435" s="18" t="n"/>
      <c r="M435" s="19" t="n"/>
      <c r="N435" s="18" t="n"/>
      <c r="O435" s="18">
        <f>IF(K435="","",K435+IFERROR(L435,0)+(K435*IF(M435="",CUSTOMS_PCT,M435))+IF(N435="",MISC_FEE,N435))</f>
        <v/>
      </c>
      <c r="P435" s="18">
        <f>IF(O435="","",ROUND(O435*(1+MARKUP_PCT),-1)-1)</f>
        <v/>
      </c>
      <c r="Q435" s="18">
        <f>IF(P435="","",P435-O435)</f>
        <v/>
      </c>
      <c r="R435" s="19">
        <f>IF(OR(P435="",P435=0),"",Q435/P435)</f>
        <v/>
      </c>
      <c r="S435" s="16" t="n"/>
      <c r="T435" s="16" t="n"/>
      <c r="U435" s="16" t="n"/>
      <c r="V435" s="16" t="n"/>
      <c r="W435" s="16" t="n"/>
      <c r="X435" s="16" t="n"/>
      <c r="Y435" s="16" t="n"/>
      <c r="Z435" s="16" t="n"/>
      <c r="AA435" s="16" t="n"/>
      <c r="AB435" s="16" t="n"/>
      <c r="AC435" s="20">
        <f>IF(COUNT(S435:AB435)&lt;10,"",(S435*W_FEMININE+T435*W_TREND+U435*W_AESTHETIC+V435*W_STYLE+W435*W_LIGHT+X435*W_REELS+Y435*W_GIFT+Z435*W_PRICEFIT+AA435*W_DEMAND+AB435*W_QUALITY)/5*100)</f>
        <v/>
      </c>
      <c r="AD435" s="16">
        <f>IF(P435="","",IF(P435&gt;HARD_REJECT_PRICE,"Reject",IF(P435&gt;MAX_PRICE,"Price Review",IF(AC435="","",IF(AND(AC435&gt;=BUY_THRESHOLD,OR(AB435&lt;=2,U435&lt;=2)),"Maybe",IF(AC435&gt;=BUY_THRESHOLD,"Buy",IF(AC435&gt;=MAYBE_THRESHOLD,"Maybe","Reject")))))))</f>
        <v/>
      </c>
      <c r="AE435" s="16" t="n"/>
      <c r="AF435" s="16" t="n"/>
      <c r="AG435" s="16" t="n"/>
      <c r="AH435" s="16" t="n"/>
      <c r="AI435" s="17" t="n"/>
      <c r="AJ435">
        <f>IF(AC435="",-9999-ROW()*0.0000001,AC435-ROW()*0.0000001)</f>
        <v/>
      </c>
      <c r="AK435">
        <f>IF(OR(AC435="",P435="",P435&gt;MAX_PRICE),-9999-ROW()*0.0000001,AC435-ROW()*0.0000001)</f>
        <v/>
      </c>
      <c r="AL435">
        <f>IF(AC435="",-9999-ROW()*0.0000001,X435*1000+AC435-ROW()*0.0000001)</f>
        <v/>
      </c>
      <c r="AM435">
        <f>IF(AC435="",-9999-ROW()*0.0000001,Y435*1000+AC435-ROW()*0.0000001)</f>
        <v/>
      </c>
      <c r="AN435">
        <f>IF(AND(OR(AD435="Maybe",AD435="Price Review"),AG435&lt;&gt;"Approved",AG435&lt;&gt;"Rejected"),IF(AC435="",0,AC435)-ROW()*0.0000001,-9999-ROW()*0.0000001)</f>
        <v/>
      </c>
      <c r="AO435" s="21" t="n"/>
      <c r="AP435" s="21" t="n"/>
      <c r="AQ435" s="22" t="n"/>
      <c r="AR435" s="22" t="n"/>
      <c r="AS435" s="16" t="n"/>
      <c r="AT435" s="22" t="n"/>
      <c r="AU435" s="22" t="n"/>
      <c r="AV435" s="22" t="n"/>
      <c r="AW435" s="18">
        <f>IF(OR(O435="",AV435=""),"",O435*AV435)</f>
        <v/>
      </c>
      <c r="AX435" s="16" t="n"/>
      <c r="AY435" s="16" t="n"/>
      <c r="AZ435" s="16" t="n"/>
      <c r="BA435" s="16" t="n"/>
      <c r="BB435" s="16" t="n"/>
      <c r="BC435" s="18" t="n"/>
      <c r="BD435" s="16" t="n"/>
      <c r="BE435" s="16">
        <f>IF(C435="","",IF(AND(ISNUMBER(P435),P435&gt;MAX_PRICE),"Price too high",IF(AND(ISNUMBER(AB435),AB435&lt;=2),"Quality risk",IF(AND(ISNUMBER(U435),U435&lt;=2),"Aesthetic mismatch",IF(AY435="High","Too fragile",IF(AND(ISNUMBER(R435),R435&lt;LOW_PROFIT_PCT),"Low profit",IF(AND(ISNUMBER(AT435),AT435&gt;MOQ_WARNING),"MOQ too high",IF(OR(AD435="Maybe",AD435="Price Review"),"Needs partner review",IF(AD435="Buy","Good candidate","")))))))))</f>
        <v/>
      </c>
      <c r="BF435" s="16" t="n"/>
      <c r="BG435" s="16" t="n"/>
      <c r="BH435" s="16" t="n"/>
      <c r="BI435" s="16" t="n"/>
      <c r="BJ435" s="16" t="n"/>
      <c r="BK435" s="16" t="n"/>
      <c r="BL435" s="16">
        <f>IF(C435="","",IF(AND(BG435="Yes",BH435="Yes",BI435="Yes",BJ435="Yes",BK435="Yes"),"Yes","No"))</f>
        <v/>
      </c>
      <c r="BM435" s="18" t="n"/>
      <c r="BN435" s="18" t="n"/>
      <c r="BO435" s="18">
        <f>IF(OR(BM435="",BN435=""),"",BM435+BN435)</f>
        <v/>
      </c>
      <c r="BP435" s="18" t="n"/>
      <c r="BQ435" s="18">
        <f>IF(OR(BP435="",BO435=""),"",BP435-BO435)</f>
        <v/>
      </c>
      <c r="BR435" s="19">
        <f>IF(OR(BP435="",BP435=0,BQ435=""),"",BQ435/BP435)</f>
        <v/>
      </c>
      <c r="BS435" s="17" t="n"/>
      <c r="BT435" s="22" t="n"/>
      <c r="BU435" s="22" t="n"/>
      <c r="BV435" s="16" t="n"/>
      <c r="BW435" s="16" t="n"/>
      <c r="BX435" s="22">
        <f>IF(OR(BT435="",BU435=""),"",BT435-BU435)</f>
        <v/>
      </c>
      <c r="BY435" s="16" t="n"/>
      <c r="BZ435" s="17" t="n"/>
      <c r="CA435" s="16" t="n"/>
      <c r="CB435" s="16" t="n"/>
    </row>
    <row r="436">
      <c r="A436" s="23">
        <f>IF(C436="","","AYN-"&amp;IFERROR(VLOOKUP(E436,CATEGORY_PREFIX_TABLE,2,FALSE),"OTH")&amp;"-"&amp;TEXT(ROW()-2,"0000"))</f>
        <v/>
      </c>
      <c r="B436" s="24" t="n"/>
      <c r="C436" s="23" t="n"/>
      <c r="D436" s="23" t="n"/>
      <c r="E436" s="23" t="n"/>
      <c r="F436" s="23" t="n"/>
      <c r="G436" s="23" t="n"/>
      <c r="H436" s="23" t="n"/>
      <c r="I436" s="23" t="n"/>
      <c r="J436" s="23" t="n"/>
      <c r="K436" s="25">
        <f>IF(I436="","",IF(J436="BDT",I436,IF(J436="USD",I436*USD_BDT,IF(J436="RMB",I436*RMB_BDT,""))))</f>
        <v/>
      </c>
      <c r="L436" s="25" t="n"/>
      <c r="M436" s="26" t="n"/>
      <c r="N436" s="25" t="n"/>
      <c r="O436" s="25">
        <f>IF(K436="","",K436+IFERROR(L436,0)+(K436*IF(M436="",CUSTOMS_PCT,M436))+IF(N436="",MISC_FEE,N436))</f>
        <v/>
      </c>
      <c r="P436" s="25">
        <f>IF(O436="","",ROUND(O436*(1+MARKUP_PCT),-1)-1)</f>
        <v/>
      </c>
      <c r="Q436" s="25">
        <f>IF(P436="","",P436-O436)</f>
        <v/>
      </c>
      <c r="R436" s="26">
        <f>IF(OR(P436="",P436=0),"",Q436/P436)</f>
        <v/>
      </c>
      <c r="S436" s="23" t="n"/>
      <c r="T436" s="23" t="n"/>
      <c r="U436" s="23" t="n"/>
      <c r="V436" s="23" t="n"/>
      <c r="W436" s="23" t="n"/>
      <c r="X436" s="23" t="n"/>
      <c r="Y436" s="23" t="n"/>
      <c r="Z436" s="23" t="n"/>
      <c r="AA436" s="23" t="n"/>
      <c r="AB436" s="23" t="n"/>
      <c r="AC436" s="27">
        <f>IF(COUNT(S436:AB436)&lt;10,"",(S436*W_FEMININE+T436*W_TREND+U436*W_AESTHETIC+V436*W_STYLE+W436*W_LIGHT+X436*W_REELS+Y436*W_GIFT+Z436*W_PRICEFIT+AA436*W_DEMAND+AB436*W_QUALITY)/5*100)</f>
        <v/>
      </c>
      <c r="AD436" s="23">
        <f>IF(P436="","",IF(P436&gt;HARD_REJECT_PRICE,"Reject",IF(P436&gt;MAX_PRICE,"Price Review",IF(AC436="","",IF(AND(AC436&gt;=BUY_THRESHOLD,OR(AB436&lt;=2,U436&lt;=2)),"Maybe",IF(AC436&gt;=BUY_THRESHOLD,"Buy",IF(AC436&gt;=MAYBE_THRESHOLD,"Maybe","Reject")))))))</f>
        <v/>
      </c>
      <c r="AE436" s="23" t="n"/>
      <c r="AF436" s="23" t="n"/>
      <c r="AG436" s="23" t="n"/>
      <c r="AH436" s="23" t="n"/>
      <c r="AI436" s="24" t="n"/>
      <c r="AJ436">
        <f>IF(AC436="",-9999-ROW()*0.0000001,AC436-ROW()*0.0000001)</f>
        <v/>
      </c>
      <c r="AK436">
        <f>IF(OR(AC436="",P436="",P436&gt;MAX_PRICE),-9999-ROW()*0.0000001,AC436-ROW()*0.0000001)</f>
        <v/>
      </c>
      <c r="AL436">
        <f>IF(AC436="",-9999-ROW()*0.0000001,X436*1000+AC436-ROW()*0.0000001)</f>
        <v/>
      </c>
      <c r="AM436">
        <f>IF(AC436="",-9999-ROW()*0.0000001,Y436*1000+AC436-ROW()*0.0000001)</f>
        <v/>
      </c>
      <c r="AN436">
        <f>IF(AND(OR(AD436="Maybe",AD436="Price Review"),AG436&lt;&gt;"Approved",AG436&lt;&gt;"Rejected"),IF(AC436="",0,AC436)-ROW()*0.0000001,-9999-ROW()*0.0000001)</f>
        <v/>
      </c>
      <c r="AO436" s="28" t="n"/>
      <c r="AP436" s="28" t="n"/>
      <c r="AQ436" s="29" t="n"/>
      <c r="AR436" s="29" t="n"/>
      <c r="AS436" s="23" t="n"/>
      <c r="AT436" s="29" t="n"/>
      <c r="AU436" s="29" t="n"/>
      <c r="AV436" s="29" t="n"/>
      <c r="AW436" s="25">
        <f>IF(OR(O436="",AV436=""),"",O436*AV436)</f>
        <v/>
      </c>
      <c r="AX436" s="23" t="n"/>
      <c r="AY436" s="23" t="n"/>
      <c r="AZ436" s="23" t="n"/>
      <c r="BA436" s="23" t="n"/>
      <c r="BB436" s="23" t="n"/>
      <c r="BC436" s="25" t="n"/>
      <c r="BD436" s="23" t="n"/>
      <c r="BE436" s="23">
        <f>IF(C436="","",IF(AND(ISNUMBER(P436),P436&gt;MAX_PRICE),"Price too high",IF(AND(ISNUMBER(AB436),AB436&lt;=2),"Quality risk",IF(AND(ISNUMBER(U436),U436&lt;=2),"Aesthetic mismatch",IF(AY436="High","Too fragile",IF(AND(ISNUMBER(R436),R436&lt;LOW_PROFIT_PCT),"Low profit",IF(AND(ISNUMBER(AT436),AT436&gt;MOQ_WARNING),"MOQ too high",IF(OR(AD436="Maybe",AD436="Price Review"),"Needs partner review",IF(AD436="Buy","Good candidate","")))))))))</f>
        <v/>
      </c>
      <c r="BF436" s="23" t="n"/>
      <c r="BG436" s="23" t="n"/>
      <c r="BH436" s="23" t="n"/>
      <c r="BI436" s="23" t="n"/>
      <c r="BJ436" s="23" t="n"/>
      <c r="BK436" s="23" t="n"/>
      <c r="BL436" s="23">
        <f>IF(C436="","",IF(AND(BG436="Yes",BH436="Yes",BI436="Yes",BJ436="Yes",BK436="Yes"),"Yes","No"))</f>
        <v/>
      </c>
      <c r="BM436" s="25" t="n"/>
      <c r="BN436" s="25" t="n"/>
      <c r="BO436" s="25">
        <f>IF(OR(BM436="",BN436=""),"",BM436+BN436)</f>
        <v/>
      </c>
      <c r="BP436" s="25" t="n"/>
      <c r="BQ436" s="25">
        <f>IF(OR(BP436="",BO436=""),"",BP436-BO436)</f>
        <v/>
      </c>
      <c r="BR436" s="26">
        <f>IF(OR(BP436="",BP436=0,BQ436=""),"",BQ436/BP436)</f>
        <v/>
      </c>
      <c r="BS436" s="24" t="n"/>
      <c r="BT436" s="29" t="n"/>
      <c r="BU436" s="29" t="n"/>
      <c r="BV436" s="23" t="n"/>
      <c r="BW436" s="23" t="n"/>
      <c r="BX436" s="29">
        <f>IF(OR(BT436="",BU436=""),"",BT436-BU436)</f>
        <v/>
      </c>
      <c r="BY436" s="23" t="n"/>
      <c r="BZ436" s="24" t="n"/>
      <c r="CA436" s="23" t="n"/>
      <c r="CB436" s="23" t="n"/>
    </row>
    <row r="437">
      <c r="A437" s="16">
        <f>IF(C437="","","AYN-"&amp;IFERROR(VLOOKUP(E437,CATEGORY_PREFIX_TABLE,2,FALSE),"OTH")&amp;"-"&amp;TEXT(ROW()-2,"0000"))</f>
        <v/>
      </c>
      <c r="B437" s="17" t="n"/>
      <c r="C437" s="16" t="n"/>
      <c r="D437" s="16" t="n"/>
      <c r="E437" s="16" t="n"/>
      <c r="F437" s="16" t="n"/>
      <c r="G437" s="16" t="n"/>
      <c r="H437" s="16" t="n"/>
      <c r="I437" s="16" t="n"/>
      <c r="J437" s="16" t="n"/>
      <c r="K437" s="18">
        <f>IF(I437="","",IF(J437="BDT",I437,IF(J437="USD",I437*USD_BDT,IF(J437="RMB",I437*RMB_BDT,""))))</f>
        <v/>
      </c>
      <c r="L437" s="18" t="n"/>
      <c r="M437" s="19" t="n"/>
      <c r="N437" s="18" t="n"/>
      <c r="O437" s="18">
        <f>IF(K437="","",K437+IFERROR(L437,0)+(K437*IF(M437="",CUSTOMS_PCT,M437))+IF(N437="",MISC_FEE,N437))</f>
        <v/>
      </c>
      <c r="P437" s="18">
        <f>IF(O437="","",ROUND(O437*(1+MARKUP_PCT),-1)-1)</f>
        <v/>
      </c>
      <c r="Q437" s="18">
        <f>IF(P437="","",P437-O437)</f>
        <v/>
      </c>
      <c r="R437" s="19">
        <f>IF(OR(P437="",P437=0),"",Q437/P437)</f>
        <v/>
      </c>
      <c r="S437" s="16" t="n"/>
      <c r="T437" s="16" t="n"/>
      <c r="U437" s="16" t="n"/>
      <c r="V437" s="16" t="n"/>
      <c r="W437" s="16" t="n"/>
      <c r="X437" s="16" t="n"/>
      <c r="Y437" s="16" t="n"/>
      <c r="Z437" s="16" t="n"/>
      <c r="AA437" s="16" t="n"/>
      <c r="AB437" s="16" t="n"/>
      <c r="AC437" s="20">
        <f>IF(COUNT(S437:AB437)&lt;10,"",(S437*W_FEMININE+T437*W_TREND+U437*W_AESTHETIC+V437*W_STYLE+W437*W_LIGHT+X437*W_REELS+Y437*W_GIFT+Z437*W_PRICEFIT+AA437*W_DEMAND+AB437*W_QUALITY)/5*100)</f>
        <v/>
      </c>
      <c r="AD437" s="16">
        <f>IF(P437="","",IF(P437&gt;HARD_REJECT_PRICE,"Reject",IF(P437&gt;MAX_PRICE,"Price Review",IF(AC437="","",IF(AND(AC437&gt;=BUY_THRESHOLD,OR(AB437&lt;=2,U437&lt;=2)),"Maybe",IF(AC437&gt;=BUY_THRESHOLD,"Buy",IF(AC437&gt;=MAYBE_THRESHOLD,"Maybe","Reject")))))))</f>
        <v/>
      </c>
      <c r="AE437" s="16" t="n"/>
      <c r="AF437" s="16" t="n"/>
      <c r="AG437" s="16" t="n"/>
      <c r="AH437" s="16" t="n"/>
      <c r="AI437" s="17" t="n"/>
      <c r="AJ437">
        <f>IF(AC437="",-9999-ROW()*0.0000001,AC437-ROW()*0.0000001)</f>
        <v/>
      </c>
      <c r="AK437">
        <f>IF(OR(AC437="",P437="",P437&gt;MAX_PRICE),-9999-ROW()*0.0000001,AC437-ROW()*0.0000001)</f>
        <v/>
      </c>
      <c r="AL437">
        <f>IF(AC437="",-9999-ROW()*0.0000001,X437*1000+AC437-ROW()*0.0000001)</f>
        <v/>
      </c>
      <c r="AM437">
        <f>IF(AC437="",-9999-ROW()*0.0000001,Y437*1000+AC437-ROW()*0.0000001)</f>
        <v/>
      </c>
      <c r="AN437">
        <f>IF(AND(OR(AD437="Maybe",AD437="Price Review"),AG437&lt;&gt;"Approved",AG437&lt;&gt;"Rejected"),IF(AC437="",0,AC437)-ROW()*0.0000001,-9999-ROW()*0.0000001)</f>
        <v/>
      </c>
      <c r="AO437" s="21" t="n"/>
      <c r="AP437" s="21" t="n"/>
      <c r="AQ437" s="22" t="n"/>
      <c r="AR437" s="22" t="n"/>
      <c r="AS437" s="16" t="n"/>
      <c r="AT437" s="22" t="n"/>
      <c r="AU437" s="22" t="n"/>
      <c r="AV437" s="22" t="n"/>
      <c r="AW437" s="18">
        <f>IF(OR(O437="",AV437=""),"",O437*AV437)</f>
        <v/>
      </c>
      <c r="AX437" s="16" t="n"/>
      <c r="AY437" s="16" t="n"/>
      <c r="AZ437" s="16" t="n"/>
      <c r="BA437" s="16" t="n"/>
      <c r="BB437" s="16" t="n"/>
      <c r="BC437" s="18" t="n"/>
      <c r="BD437" s="16" t="n"/>
      <c r="BE437" s="16">
        <f>IF(C437="","",IF(AND(ISNUMBER(P437),P437&gt;MAX_PRICE),"Price too high",IF(AND(ISNUMBER(AB437),AB437&lt;=2),"Quality risk",IF(AND(ISNUMBER(U437),U437&lt;=2),"Aesthetic mismatch",IF(AY437="High","Too fragile",IF(AND(ISNUMBER(R437),R437&lt;LOW_PROFIT_PCT),"Low profit",IF(AND(ISNUMBER(AT437),AT437&gt;MOQ_WARNING),"MOQ too high",IF(OR(AD437="Maybe",AD437="Price Review"),"Needs partner review",IF(AD437="Buy","Good candidate","")))))))))</f>
        <v/>
      </c>
      <c r="BF437" s="16" t="n"/>
      <c r="BG437" s="16" t="n"/>
      <c r="BH437" s="16" t="n"/>
      <c r="BI437" s="16" t="n"/>
      <c r="BJ437" s="16" t="n"/>
      <c r="BK437" s="16" t="n"/>
      <c r="BL437" s="16">
        <f>IF(C437="","",IF(AND(BG437="Yes",BH437="Yes",BI437="Yes",BJ437="Yes",BK437="Yes"),"Yes","No"))</f>
        <v/>
      </c>
      <c r="BM437" s="18" t="n"/>
      <c r="BN437" s="18" t="n"/>
      <c r="BO437" s="18">
        <f>IF(OR(BM437="",BN437=""),"",BM437+BN437)</f>
        <v/>
      </c>
      <c r="BP437" s="18" t="n"/>
      <c r="BQ437" s="18">
        <f>IF(OR(BP437="",BO437=""),"",BP437-BO437)</f>
        <v/>
      </c>
      <c r="BR437" s="19">
        <f>IF(OR(BP437="",BP437=0,BQ437=""),"",BQ437/BP437)</f>
        <v/>
      </c>
      <c r="BS437" s="17" t="n"/>
      <c r="BT437" s="22" t="n"/>
      <c r="BU437" s="22" t="n"/>
      <c r="BV437" s="16" t="n"/>
      <c r="BW437" s="16" t="n"/>
      <c r="BX437" s="22">
        <f>IF(OR(BT437="",BU437=""),"",BT437-BU437)</f>
        <v/>
      </c>
      <c r="BY437" s="16" t="n"/>
      <c r="BZ437" s="17" t="n"/>
      <c r="CA437" s="16" t="n"/>
      <c r="CB437" s="16" t="n"/>
    </row>
    <row r="438">
      <c r="A438" s="23">
        <f>IF(C438="","","AYN-"&amp;IFERROR(VLOOKUP(E438,CATEGORY_PREFIX_TABLE,2,FALSE),"OTH")&amp;"-"&amp;TEXT(ROW()-2,"0000"))</f>
        <v/>
      </c>
      <c r="B438" s="24" t="n"/>
      <c r="C438" s="23" t="n"/>
      <c r="D438" s="23" t="n"/>
      <c r="E438" s="23" t="n"/>
      <c r="F438" s="23" t="n"/>
      <c r="G438" s="23" t="n"/>
      <c r="H438" s="23" t="n"/>
      <c r="I438" s="23" t="n"/>
      <c r="J438" s="23" t="n"/>
      <c r="K438" s="25">
        <f>IF(I438="","",IF(J438="BDT",I438,IF(J438="USD",I438*USD_BDT,IF(J438="RMB",I438*RMB_BDT,""))))</f>
        <v/>
      </c>
      <c r="L438" s="25" t="n"/>
      <c r="M438" s="26" t="n"/>
      <c r="N438" s="25" t="n"/>
      <c r="O438" s="25">
        <f>IF(K438="","",K438+IFERROR(L438,0)+(K438*IF(M438="",CUSTOMS_PCT,M438))+IF(N438="",MISC_FEE,N438))</f>
        <v/>
      </c>
      <c r="P438" s="25">
        <f>IF(O438="","",ROUND(O438*(1+MARKUP_PCT),-1)-1)</f>
        <v/>
      </c>
      <c r="Q438" s="25">
        <f>IF(P438="","",P438-O438)</f>
        <v/>
      </c>
      <c r="R438" s="26">
        <f>IF(OR(P438="",P438=0),"",Q438/P438)</f>
        <v/>
      </c>
      <c r="S438" s="23" t="n"/>
      <c r="T438" s="23" t="n"/>
      <c r="U438" s="23" t="n"/>
      <c r="V438" s="23" t="n"/>
      <c r="W438" s="23" t="n"/>
      <c r="X438" s="23" t="n"/>
      <c r="Y438" s="23" t="n"/>
      <c r="Z438" s="23" t="n"/>
      <c r="AA438" s="23" t="n"/>
      <c r="AB438" s="23" t="n"/>
      <c r="AC438" s="27">
        <f>IF(COUNT(S438:AB438)&lt;10,"",(S438*W_FEMININE+T438*W_TREND+U438*W_AESTHETIC+V438*W_STYLE+W438*W_LIGHT+X438*W_REELS+Y438*W_GIFT+Z438*W_PRICEFIT+AA438*W_DEMAND+AB438*W_QUALITY)/5*100)</f>
        <v/>
      </c>
      <c r="AD438" s="23">
        <f>IF(P438="","",IF(P438&gt;HARD_REJECT_PRICE,"Reject",IF(P438&gt;MAX_PRICE,"Price Review",IF(AC438="","",IF(AND(AC438&gt;=BUY_THRESHOLD,OR(AB438&lt;=2,U438&lt;=2)),"Maybe",IF(AC438&gt;=BUY_THRESHOLD,"Buy",IF(AC438&gt;=MAYBE_THRESHOLD,"Maybe","Reject")))))))</f>
        <v/>
      </c>
      <c r="AE438" s="23" t="n"/>
      <c r="AF438" s="23" t="n"/>
      <c r="AG438" s="23" t="n"/>
      <c r="AH438" s="23" t="n"/>
      <c r="AI438" s="24" t="n"/>
      <c r="AJ438">
        <f>IF(AC438="",-9999-ROW()*0.0000001,AC438-ROW()*0.0000001)</f>
        <v/>
      </c>
      <c r="AK438">
        <f>IF(OR(AC438="",P438="",P438&gt;MAX_PRICE),-9999-ROW()*0.0000001,AC438-ROW()*0.0000001)</f>
        <v/>
      </c>
      <c r="AL438">
        <f>IF(AC438="",-9999-ROW()*0.0000001,X438*1000+AC438-ROW()*0.0000001)</f>
        <v/>
      </c>
      <c r="AM438">
        <f>IF(AC438="",-9999-ROW()*0.0000001,Y438*1000+AC438-ROW()*0.0000001)</f>
        <v/>
      </c>
      <c r="AN438">
        <f>IF(AND(OR(AD438="Maybe",AD438="Price Review"),AG438&lt;&gt;"Approved",AG438&lt;&gt;"Rejected"),IF(AC438="",0,AC438)-ROW()*0.0000001,-9999-ROW()*0.0000001)</f>
        <v/>
      </c>
      <c r="AO438" s="28" t="n"/>
      <c r="AP438" s="28" t="n"/>
      <c r="AQ438" s="29" t="n"/>
      <c r="AR438" s="29" t="n"/>
      <c r="AS438" s="23" t="n"/>
      <c r="AT438" s="29" t="n"/>
      <c r="AU438" s="29" t="n"/>
      <c r="AV438" s="29" t="n"/>
      <c r="AW438" s="25">
        <f>IF(OR(O438="",AV438=""),"",O438*AV438)</f>
        <v/>
      </c>
      <c r="AX438" s="23" t="n"/>
      <c r="AY438" s="23" t="n"/>
      <c r="AZ438" s="23" t="n"/>
      <c r="BA438" s="23" t="n"/>
      <c r="BB438" s="23" t="n"/>
      <c r="BC438" s="25" t="n"/>
      <c r="BD438" s="23" t="n"/>
      <c r="BE438" s="23">
        <f>IF(C438="","",IF(AND(ISNUMBER(P438),P438&gt;MAX_PRICE),"Price too high",IF(AND(ISNUMBER(AB438),AB438&lt;=2),"Quality risk",IF(AND(ISNUMBER(U438),U438&lt;=2),"Aesthetic mismatch",IF(AY438="High","Too fragile",IF(AND(ISNUMBER(R438),R438&lt;LOW_PROFIT_PCT),"Low profit",IF(AND(ISNUMBER(AT438),AT438&gt;MOQ_WARNING),"MOQ too high",IF(OR(AD438="Maybe",AD438="Price Review"),"Needs partner review",IF(AD438="Buy","Good candidate","")))))))))</f>
        <v/>
      </c>
      <c r="BF438" s="23" t="n"/>
      <c r="BG438" s="23" t="n"/>
      <c r="BH438" s="23" t="n"/>
      <c r="BI438" s="23" t="n"/>
      <c r="BJ438" s="23" t="n"/>
      <c r="BK438" s="23" t="n"/>
      <c r="BL438" s="23">
        <f>IF(C438="","",IF(AND(BG438="Yes",BH438="Yes",BI438="Yes",BJ438="Yes",BK438="Yes"),"Yes","No"))</f>
        <v/>
      </c>
      <c r="BM438" s="25" t="n"/>
      <c r="BN438" s="25" t="n"/>
      <c r="BO438" s="25">
        <f>IF(OR(BM438="",BN438=""),"",BM438+BN438)</f>
        <v/>
      </c>
      <c r="BP438" s="25" t="n"/>
      <c r="BQ438" s="25">
        <f>IF(OR(BP438="",BO438=""),"",BP438-BO438)</f>
        <v/>
      </c>
      <c r="BR438" s="26">
        <f>IF(OR(BP438="",BP438=0,BQ438=""),"",BQ438/BP438)</f>
        <v/>
      </c>
      <c r="BS438" s="24" t="n"/>
      <c r="BT438" s="29" t="n"/>
      <c r="BU438" s="29" t="n"/>
      <c r="BV438" s="23" t="n"/>
      <c r="BW438" s="23" t="n"/>
      <c r="BX438" s="29">
        <f>IF(OR(BT438="",BU438=""),"",BT438-BU438)</f>
        <v/>
      </c>
      <c r="BY438" s="23" t="n"/>
      <c r="BZ438" s="24" t="n"/>
      <c r="CA438" s="23" t="n"/>
      <c r="CB438" s="23" t="n"/>
    </row>
    <row r="439">
      <c r="A439" s="16">
        <f>IF(C439="","","AYN-"&amp;IFERROR(VLOOKUP(E439,CATEGORY_PREFIX_TABLE,2,FALSE),"OTH")&amp;"-"&amp;TEXT(ROW()-2,"0000"))</f>
        <v/>
      </c>
      <c r="B439" s="17" t="n"/>
      <c r="C439" s="16" t="n"/>
      <c r="D439" s="16" t="n"/>
      <c r="E439" s="16" t="n"/>
      <c r="F439" s="16" t="n"/>
      <c r="G439" s="16" t="n"/>
      <c r="H439" s="16" t="n"/>
      <c r="I439" s="16" t="n"/>
      <c r="J439" s="16" t="n"/>
      <c r="K439" s="18">
        <f>IF(I439="","",IF(J439="BDT",I439,IF(J439="USD",I439*USD_BDT,IF(J439="RMB",I439*RMB_BDT,""))))</f>
        <v/>
      </c>
      <c r="L439" s="18" t="n"/>
      <c r="M439" s="19" t="n"/>
      <c r="N439" s="18" t="n"/>
      <c r="O439" s="18">
        <f>IF(K439="","",K439+IFERROR(L439,0)+(K439*IF(M439="",CUSTOMS_PCT,M439))+IF(N439="",MISC_FEE,N439))</f>
        <v/>
      </c>
      <c r="P439" s="18">
        <f>IF(O439="","",ROUND(O439*(1+MARKUP_PCT),-1)-1)</f>
        <v/>
      </c>
      <c r="Q439" s="18">
        <f>IF(P439="","",P439-O439)</f>
        <v/>
      </c>
      <c r="R439" s="19">
        <f>IF(OR(P439="",P439=0),"",Q439/P439)</f>
        <v/>
      </c>
      <c r="S439" s="16" t="n"/>
      <c r="T439" s="16" t="n"/>
      <c r="U439" s="16" t="n"/>
      <c r="V439" s="16" t="n"/>
      <c r="W439" s="16" t="n"/>
      <c r="X439" s="16" t="n"/>
      <c r="Y439" s="16" t="n"/>
      <c r="Z439" s="16" t="n"/>
      <c r="AA439" s="16" t="n"/>
      <c r="AB439" s="16" t="n"/>
      <c r="AC439" s="20">
        <f>IF(COUNT(S439:AB439)&lt;10,"",(S439*W_FEMININE+T439*W_TREND+U439*W_AESTHETIC+V439*W_STYLE+W439*W_LIGHT+X439*W_REELS+Y439*W_GIFT+Z439*W_PRICEFIT+AA439*W_DEMAND+AB439*W_QUALITY)/5*100)</f>
        <v/>
      </c>
      <c r="AD439" s="16">
        <f>IF(P439="","",IF(P439&gt;HARD_REJECT_PRICE,"Reject",IF(P439&gt;MAX_PRICE,"Price Review",IF(AC439="","",IF(AND(AC439&gt;=BUY_THRESHOLD,OR(AB439&lt;=2,U439&lt;=2)),"Maybe",IF(AC439&gt;=BUY_THRESHOLD,"Buy",IF(AC439&gt;=MAYBE_THRESHOLD,"Maybe","Reject")))))))</f>
        <v/>
      </c>
      <c r="AE439" s="16" t="n"/>
      <c r="AF439" s="16" t="n"/>
      <c r="AG439" s="16" t="n"/>
      <c r="AH439" s="16" t="n"/>
      <c r="AI439" s="17" t="n"/>
      <c r="AJ439">
        <f>IF(AC439="",-9999-ROW()*0.0000001,AC439-ROW()*0.0000001)</f>
        <v/>
      </c>
      <c r="AK439">
        <f>IF(OR(AC439="",P439="",P439&gt;MAX_PRICE),-9999-ROW()*0.0000001,AC439-ROW()*0.0000001)</f>
        <v/>
      </c>
      <c r="AL439">
        <f>IF(AC439="",-9999-ROW()*0.0000001,X439*1000+AC439-ROW()*0.0000001)</f>
        <v/>
      </c>
      <c r="AM439">
        <f>IF(AC439="",-9999-ROW()*0.0000001,Y439*1000+AC439-ROW()*0.0000001)</f>
        <v/>
      </c>
      <c r="AN439">
        <f>IF(AND(OR(AD439="Maybe",AD439="Price Review"),AG439&lt;&gt;"Approved",AG439&lt;&gt;"Rejected"),IF(AC439="",0,AC439)-ROW()*0.0000001,-9999-ROW()*0.0000001)</f>
        <v/>
      </c>
      <c r="AO439" s="21" t="n"/>
      <c r="AP439" s="21" t="n"/>
      <c r="AQ439" s="22" t="n"/>
      <c r="AR439" s="22" t="n"/>
      <c r="AS439" s="16" t="n"/>
      <c r="AT439" s="22" t="n"/>
      <c r="AU439" s="22" t="n"/>
      <c r="AV439" s="22" t="n"/>
      <c r="AW439" s="18">
        <f>IF(OR(O439="",AV439=""),"",O439*AV439)</f>
        <v/>
      </c>
      <c r="AX439" s="16" t="n"/>
      <c r="AY439" s="16" t="n"/>
      <c r="AZ439" s="16" t="n"/>
      <c r="BA439" s="16" t="n"/>
      <c r="BB439" s="16" t="n"/>
      <c r="BC439" s="18" t="n"/>
      <c r="BD439" s="16" t="n"/>
      <c r="BE439" s="16">
        <f>IF(C439="","",IF(AND(ISNUMBER(P439),P439&gt;MAX_PRICE),"Price too high",IF(AND(ISNUMBER(AB439),AB439&lt;=2),"Quality risk",IF(AND(ISNUMBER(U439),U439&lt;=2),"Aesthetic mismatch",IF(AY439="High","Too fragile",IF(AND(ISNUMBER(R439),R439&lt;LOW_PROFIT_PCT),"Low profit",IF(AND(ISNUMBER(AT439),AT439&gt;MOQ_WARNING),"MOQ too high",IF(OR(AD439="Maybe",AD439="Price Review"),"Needs partner review",IF(AD439="Buy","Good candidate","")))))))))</f>
        <v/>
      </c>
      <c r="BF439" s="16" t="n"/>
      <c r="BG439" s="16" t="n"/>
      <c r="BH439" s="16" t="n"/>
      <c r="BI439" s="16" t="n"/>
      <c r="BJ439" s="16" t="n"/>
      <c r="BK439" s="16" t="n"/>
      <c r="BL439" s="16">
        <f>IF(C439="","",IF(AND(BG439="Yes",BH439="Yes",BI439="Yes",BJ439="Yes",BK439="Yes"),"Yes","No"))</f>
        <v/>
      </c>
      <c r="BM439" s="18" t="n"/>
      <c r="BN439" s="18" t="n"/>
      <c r="BO439" s="18">
        <f>IF(OR(BM439="",BN439=""),"",BM439+BN439)</f>
        <v/>
      </c>
      <c r="BP439" s="18" t="n"/>
      <c r="BQ439" s="18">
        <f>IF(OR(BP439="",BO439=""),"",BP439-BO439)</f>
        <v/>
      </c>
      <c r="BR439" s="19">
        <f>IF(OR(BP439="",BP439=0,BQ439=""),"",BQ439/BP439)</f>
        <v/>
      </c>
      <c r="BS439" s="17" t="n"/>
      <c r="BT439" s="22" t="n"/>
      <c r="BU439" s="22" t="n"/>
      <c r="BV439" s="16" t="n"/>
      <c r="BW439" s="16" t="n"/>
      <c r="BX439" s="22">
        <f>IF(OR(BT439="",BU439=""),"",BT439-BU439)</f>
        <v/>
      </c>
      <c r="BY439" s="16" t="n"/>
      <c r="BZ439" s="17" t="n"/>
      <c r="CA439" s="16" t="n"/>
      <c r="CB439" s="16" t="n"/>
    </row>
    <row r="440">
      <c r="A440" s="23">
        <f>IF(C440="","","AYN-"&amp;IFERROR(VLOOKUP(E440,CATEGORY_PREFIX_TABLE,2,FALSE),"OTH")&amp;"-"&amp;TEXT(ROW()-2,"0000"))</f>
        <v/>
      </c>
      <c r="B440" s="24" t="n"/>
      <c r="C440" s="23" t="n"/>
      <c r="D440" s="23" t="n"/>
      <c r="E440" s="23" t="n"/>
      <c r="F440" s="23" t="n"/>
      <c r="G440" s="23" t="n"/>
      <c r="H440" s="23" t="n"/>
      <c r="I440" s="23" t="n"/>
      <c r="J440" s="23" t="n"/>
      <c r="K440" s="25">
        <f>IF(I440="","",IF(J440="BDT",I440,IF(J440="USD",I440*USD_BDT,IF(J440="RMB",I440*RMB_BDT,""))))</f>
        <v/>
      </c>
      <c r="L440" s="25" t="n"/>
      <c r="M440" s="26" t="n"/>
      <c r="N440" s="25" t="n"/>
      <c r="O440" s="25">
        <f>IF(K440="","",K440+IFERROR(L440,0)+(K440*IF(M440="",CUSTOMS_PCT,M440))+IF(N440="",MISC_FEE,N440))</f>
        <v/>
      </c>
      <c r="P440" s="25">
        <f>IF(O440="","",ROUND(O440*(1+MARKUP_PCT),-1)-1)</f>
        <v/>
      </c>
      <c r="Q440" s="25">
        <f>IF(P440="","",P440-O440)</f>
        <v/>
      </c>
      <c r="R440" s="26">
        <f>IF(OR(P440="",P440=0),"",Q440/P440)</f>
        <v/>
      </c>
      <c r="S440" s="23" t="n"/>
      <c r="T440" s="23" t="n"/>
      <c r="U440" s="23" t="n"/>
      <c r="V440" s="23" t="n"/>
      <c r="W440" s="23" t="n"/>
      <c r="X440" s="23" t="n"/>
      <c r="Y440" s="23" t="n"/>
      <c r="Z440" s="23" t="n"/>
      <c r="AA440" s="23" t="n"/>
      <c r="AB440" s="23" t="n"/>
      <c r="AC440" s="27">
        <f>IF(COUNT(S440:AB440)&lt;10,"",(S440*W_FEMININE+T440*W_TREND+U440*W_AESTHETIC+V440*W_STYLE+W440*W_LIGHT+X440*W_REELS+Y440*W_GIFT+Z440*W_PRICEFIT+AA440*W_DEMAND+AB440*W_QUALITY)/5*100)</f>
        <v/>
      </c>
      <c r="AD440" s="23">
        <f>IF(P440="","",IF(P440&gt;HARD_REJECT_PRICE,"Reject",IF(P440&gt;MAX_PRICE,"Price Review",IF(AC440="","",IF(AND(AC440&gt;=BUY_THRESHOLD,OR(AB440&lt;=2,U440&lt;=2)),"Maybe",IF(AC440&gt;=BUY_THRESHOLD,"Buy",IF(AC440&gt;=MAYBE_THRESHOLD,"Maybe","Reject")))))))</f>
        <v/>
      </c>
      <c r="AE440" s="23" t="n"/>
      <c r="AF440" s="23" t="n"/>
      <c r="AG440" s="23" t="n"/>
      <c r="AH440" s="23" t="n"/>
      <c r="AI440" s="24" t="n"/>
      <c r="AJ440">
        <f>IF(AC440="",-9999-ROW()*0.0000001,AC440-ROW()*0.0000001)</f>
        <v/>
      </c>
      <c r="AK440">
        <f>IF(OR(AC440="",P440="",P440&gt;MAX_PRICE),-9999-ROW()*0.0000001,AC440-ROW()*0.0000001)</f>
        <v/>
      </c>
      <c r="AL440">
        <f>IF(AC440="",-9999-ROW()*0.0000001,X440*1000+AC440-ROW()*0.0000001)</f>
        <v/>
      </c>
      <c r="AM440">
        <f>IF(AC440="",-9999-ROW()*0.0000001,Y440*1000+AC440-ROW()*0.0000001)</f>
        <v/>
      </c>
      <c r="AN440">
        <f>IF(AND(OR(AD440="Maybe",AD440="Price Review"),AG440&lt;&gt;"Approved",AG440&lt;&gt;"Rejected"),IF(AC440="",0,AC440)-ROW()*0.0000001,-9999-ROW()*0.0000001)</f>
        <v/>
      </c>
      <c r="AO440" s="28" t="n"/>
      <c r="AP440" s="28" t="n"/>
      <c r="AQ440" s="29" t="n"/>
      <c r="AR440" s="29" t="n"/>
      <c r="AS440" s="23" t="n"/>
      <c r="AT440" s="29" t="n"/>
      <c r="AU440" s="29" t="n"/>
      <c r="AV440" s="29" t="n"/>
      <c r="AW440" s="25">
        <f>IF(OR(O440="",AV440=""),"",O440*AV440)</f>
        <v/>
      </c>
      <c r="AX440" s="23" t="n"/>
      <c r="AY440" s="23" t="n"/>
      <c r="AZ440" s="23" t="n"/>
      <c r="BA440" s="23" t="n"/>
      <c r="BB440" s="23" t="n"/>
      <c r="BC440" s="25" t="n"/>
      <c r="BD440" s="23" t="n"/>
      <c r="BE440" s="23">
        <f>IF(C440="","",IF(AND(ISNUMBER(P440),P440&gt;MAX_PRICE),"Price too high",IF(AND(ISNUMBER(AB440),AB440&lt;=2),"Quality risk",IF(AND(ISNUMBER(U440),U440&lt;=2),"Aesthetic mismatch",IF(AY440="High","Too fragile",IF(AND(ISNUMBER(R440),R440&lt;LOW_PROFIT_PCT),"Low profit",IF(AND(ISNUMBER(AT440),AT440&gt;MOQ_WARNING),"MOQ too high",IF(OR(AD440="Maybe",AD440="Price Review"),"Needs partner review",IF(AD440="Buy","Good candidate","")))))))))</f>
        <v/>
      </c>
      <c r="BF440" s="23" t="n"/>
      <c r="BG440" s="23" t="n"/>
      <c r="BH440" s="23" t="n"/>
      <c r="BI440" s="23" t="n"/>
      <c r="BJ440" s="23" t="n"/>
      <c r="BK440" s="23" t="n"/>
      <c r="BL440" s="23">
        <f>IF(C440="","",IF(AND(BG440="Yes",BH440="Yes",BI440="Yes",BJ440="Yes",BK440="Yes"),"Yes","No"))</f>
        <v/>
      </c>
      <c r="BM440" s="25" t="n"/>
      <c r="BN440" s="25" t="n"/>
      <c r="BO440" s="25">
        <f>IF(OR(BM440="",BN440=""),"",BM440+BN440)</f>
        <v/>
      </c>
      <c r="BP440" s="25" t="n"/>
      <c r="BQ440" s="25">
        <f>IF(OR(BP440="",BO440=""),"",BP440-BO440)</f>
        <v/>
      </c>
      <c r="BR440" s="26">
        <f>IF(OR(BP440="",BP440=0,BQ440=""),"",BQ440/BP440)</f>
        <v/>
      </c>
      <c r="BS440" s="24" t="n"/>
      <c r="BT440" s="29" t="n"/>
      <c r="BU440" s="29" t="n"/>
      <c r="BV440" s="23" t="n"/>
      <c r="BW440" s="23" t="n"/>
      <c r="BX440" s="29">
        <f>IF(OR(BT440="",BU440=""),"",BT440-BU440)</f>
        <v/>
      </c>
      <c r="BY440" s="23" t="n"/>
      <c r="BZ440" s="24" t="n"/>
      <c r="CA440" s="23" t="n"/>
      <c r="CB440" s="23" t="n"/>
    </row>
    <row r="441">
      <c r="A441" s="16">
        <f>IF(C441="","","AYN-"&amp;IFERROR(VLOOKUP(E441,CATEGORY_PREFIX_TABLE,2,FALSE),"OTH")&amp;"-"&amp;TEXT(ROW()-2,"0000"))</f>
        <v/>
      </c>
      <c r="B441" s="17" t="n"/>
      <c r="C441" s="16" t="n"/>
      <c r="D441" s="16" t="n"/>
      <c r="E441" s="16" t="n"/>
      <c r="F441" s="16" t="n"/>
      <c r="G441" s="16" t="n"/>
      <c r="H441" s="16" t="n"/>
      <c r="I441" s="16" t="n"/>
      <c r="J441" s="16" t="n"/>
      <c r="K441" s="18">
        <f>IF(I441="","",IF(J441="BDT",I441,IF(J441="USD",I441*USD_BDT,IF(J441="RMB",I441*RMB_BDT,""))))</f>
        <v/>
      </c>
      <c r="L441" s="18" t="n"/>
      <c r="M441" s="19" t="n"/>
      <c r="N441" s="18" t="n"/>
      <c r="O441" s="18">
        <f>IF(K441="","",K441+IFERROR(L441,0)+(K441*IF(M441="",CUSTOMS_PCT,M441))+IF(N441="",MISC_FEE,N441))</f>
        <v/>
      </c>
      <c r="P441" s="18">
        <f>IF(O441="","",ROUND(O441*(1+MARKUP_PCT),-1)-1)</f>
        <v/>
      </c>
      <c r="Q441" s="18">
        <f>IF(P441="","",P441-O441)</f>
        <v/>
      </c>
      <c r="R441" s="19">
        <f>IF(OR(P441="",P441=0),"",Q441/P441)</f>
        <v/>
      </c>
      <c r="S441" s="16" t="n"/>
      <c r="T441" s="16" t="n"/>
      <c r="U441" s="16" t="n"/>
      <c r="V441" s="16" t="n"/>
      <c r="W441" s="16" t="n"/>
      <c r="X441" s="16" t="n"/>
      <c r="Y441" s="16" t="n"/>
      <c r="Z441" s="16" t="n"/>
      <c r="AA441" s="16" t="n"/>
      <c r="AB441" s="16" t="n"/>
      <c r="AC441" s="20">
        <f>IF(COUNT(S441:AB441)&lt;10,"",(S441*W_FEMININE+T441*W_TREND+U441*W_AESTHETIC+V441*W_STYLE+W441*W_LIGHT+X441*W_REELS+Y441*W_GIFT+Z441*W_PRICEFIT+AA441*W_DEMAND+AB441*W_QUALITY)/5*100)</f>
        <v/>
      </c>
      <c r="AD441" s="16">
        <f>IF(P441="","",IF(P441&gt;HARD_REJECT_PRICE,"Reject",IF(P441&gt;MAX_PRICE,"Price Review",IF(AC441="","",IF(AND(AC441&gt;=BUY_THRESHOLD,OR(AB441&lt;=2,U441&lt;=2)),"Maybe",IF(AC441&gt;=BUY_THRESHOLD,"Buy",IF(AC441&gt;=MAYBE_THRESHOLD,"Maybe","Reject")))))))</f>
        <v/>
      </c>
      <c r="AE441" s="16" t="n"/>
      <c r="AF441" s="16" t="n"/>
      <c r="AG441" s="16" t="n"/>
      <c r="AH441" s="16" t="n"/>
      <c r="AI441" s="17" t="n"/>
      <c r="AJ441">
        <f>IF(AC441="",-9999-ROW()*0.0000001,AC441-ROW()*0.0000001)</f>
        <v/>
      </c>
      <c r="AK441">
        <f>IF(OR(AC441="",P441="",P441&gt;MAX_PRICE),-9999-ROW()*0.0000001,AC441-ROW()*0.0000001)</f>
        <v/>
      </c>
      <c r="AL441">
        <f>IF(AC441="",-9999-ROW()*0.0000001,X441*1000+AC441-ROW()*0.0000001)</f>
        <v/>
      </c>
      <c r="AM441">
        <f>IF(AC441="",-9999-ROW()*0.0000001,Y441*1000+AC441-ROW()*0.0000001)</f>
        <v/>
      </c>
      <c r="AN441">
        <f>IF(AND(OR(AD441="Maybe",AD441="Price Review"),AG441&lt;&gt;"Approved",AG441&lt;&gt;"Rejected"),IF(AC441="",0,AC441)-ROW()*0.0000001,-9999-ROW()*0.0000001)</f>
        <v/>
      </c>
      <c r="AO441" s="21" t="n"/>
      <c r="AP441" s="21" t="n"/>
      <c r="AQ441" s="22" t="n"/>
      <c r="AR441" s="22" t="n"/>
      <c r="AS441" s="16" t="n"/>
      <c r="AT441" s="22" t="n"/>
      <c r="AU441" s="22" t="n"/>
      <c r="AV441" s="22" t="n"/>
      <c r="AW441" s="18">
        <f>IF(OR(O441="",AV441=""),"",O441*AV441)</f>
        <v/>
      </c>
      <c r="AX441" s="16" t="n"/>
      <c r="AY441" s="16" t="n"/>
      <c r="AZ441" s="16" t="n"/>
      <c r="BA441" s="16" t="n"/>
      <c r="BB441" s="16" t="n"/>
      <c r="BC441" s="18" t="n"/>
      <c r="BD441" s="16" t="n"/>
      <c r="BE441" s="16">
        <f>IF(C441="","",IF(AND(ISNUMBER(P441),P441&gt;MAX_PRICE),"Price too high",IF(AND(ISNUMBER(AB441),AB441&lt;=2),"Quality risk",IF(AND(ISNUMBER(U441),U441&lt;=2),"Aesthetic mismatch",IF(AY441="High","Too fragile",IF(AND(ISNUMBER(R441),R441&lt;LOW_PROFIT_PCT),"Low profit",IF(AND(ISNUMBER(AT441),AT441&gt;MOQ_WARNING),"MOQ too high",IF(OR(AD441="Maybe",AD441="Price Review"),"Needs partner review",IF(AD441="Buy","Good candidate","")))))))))</f>
        <v/>
      </c>
      <c r="BF441" s="16" t="n"/>
      <c r="BG441" s="16" t="n"/>
      <c r="BH441" s="16" t="n"/>
      <c r="BI441" s="16" t="n"/>
      <c r="BJ441" s="16" t="n"/>
      <c r="BK441" s="16" t="n"/>
      <c r="BL441" s="16">
        <f>IF(C441="","",IF(AND(BG441="Yes",BH441="Yes",BI441="Yes",BJ441="Yes",BK441="Yes"),"Yes","No"))</f>
        <v/>
      </c>
      <c r="BM441" s="18" t="n"/>
      <c r="BN441" s="18" t="n"/>
      <c r="BO441" s="18">
        <f>IF(OR(BM441="",BN441=""),"",BM441+BN441)</f>
        <v/>
      </c>
      <c r="BP441" s="18" t="n"/>
      <c r="BQ441" s="18">
        <f>IF(OR(BP441="",BO441=""),"",BP441-BO441)</f>
        <v/>
      </c>
      <c r="BR441" s="19">
        <f>IF(OR(BP441="",BP441=0,BQ441=""),"",BQ441/BP441)</f>
        <v/>
      </c>
      <c r="BS441" s="17" t="n"/>
      <c r="BT441" s="22" t="n"/>
      <c r="BU441" s="22" t="n"/>
      <c r="BV441" s="16" t="n"/>
      <c r="BW441" s="16" t="n"/>
      <c r="BX441" s="22">
        <f>IF(OR(BT441="",BU441=""),"",BT441-BU441)</f>
        <v/>
      </c>
      <c r="BY441" s="16" t="n"/>
      <c r="BZ441" s="17" t="n"/>
      <c r="CA441" s="16" t="n"/>
      <c r="CB441" s="16" t="n"/>
    </row>
    <row r="442">
      <c r="A442" s="23">
        <f>IF(C442="","","AYN-"&amp;IFERROR(VLOOKUP(E442,CATEGORY_PREFIX_TABLE,2,FALSE),"OTH")&amp;"-"&amp;TEXT(ROW()-2,"0000"))</f>
        <v/>
      </c>
      <c r="B442" s="24" t="n"/>
      <c r="C442" s="23" t="n"/>
      <c r="D442" s="23" t="n"/>
      <c r="E442" s="23" t="n"/>
      <c r="F442" s="23" t="n"/>
      <c r="G442" s="23" t="n"/>
      <c r="H442" s="23" t="n"/>
      <c r="I442" s="23" t="n"/>
      <c r="J442" s="23" t="n"/>
      <c r="K442" s="25">
        <f>IF(I442="","",IF(J442="BDT",I442,IF(J442="USD",I442*USD_BDT,IF(J442="RMB",I442*RMB_BDT,""))))</f>
        <v/>
      </c>
      <c r="L442" s="25" t="n"/>
      <c r="M442" s="26" t="n"/>
      <c r="N442" s="25" t="n"/>
      <c r="O442" s="25">
        <f>IF(K442="","",K442+IFERROR(L442,0)+(K442*IF(M442="",CUSTOMS_PCT,M442))+IF(N442="",MISC_FEE,N442))</f>
        <v/>
      </c>
      <c r="P442" s="25">
        <f>IF(O442="","",ROUND(O442*(1+MARKUP_PCT),-1)-1)</f>
        <v/>
      </c>
      <c r="Q442" s="25">
        <f>IF(P442="","",P442-O442)</f>
        <v/>
      </c>
      <c r="R442" s="26">
        <f>IF(OR(P442="",P442=0),"",Q442/P442)</f>
        <v/>
      </c>
      <c r="S442" s="23" t="n"/>
      <c r="T442" s="23" t="n"/>
      <c r="U442" s="23" t="n"/>
      <c r="V442" s="23" t="n"/>
      <c r="W442" s="23" t="n"/>
      <c r="X442" s="23" t="n"/>
      <c r="Y442" s="23" t="n"/>
      <c r="Z442" s="23" t="n"/>
      <c r="AA442" s="23" t="n"/>
      <c r="AB442" s="23" t="n"/>
      <c r="AC442" s="27">
        <f>IF(COUNT(S442:AB442)&lt;10,"",(S442*W_FEMININE+T442*W_TREND+U442*W_AESTHETIC+V442*W_STYLE+W442*W_LIGHT+X442*W_REELS+Y442*W_GIFT+Z442*W_PRICEFIT+AA442*W_DEMAND+AB442*W_QUALITY)/5*100)</f>
        <v/>
      </c>
      <c r="AD442" s="23">
        <f>IF(P442="","",IF(P442&gt;HARD_REJECT_PRICE,"Reject",IF(P442&gt;MAX_PRICE,"Price Review",IF(AC442="","",IF(AND(AC442&gt;=BUY_THRESHOLD,OR(AB442&lt;=2,U442&lt;=2)),"Maybe",IF(AC442&gt;=BUY_THRESHOLD,"Buy",IF(AC442&gt;=MAYBE_THRESHOLD,"Maybe","Reject")))))))</f>
        <v/>
      </c>
      <c r="AE442" s="23" t="n"/>
      <c r="AF442" s="23" t="n"/>
      <c r="AG442" s="23" t="n"/>
      <c r="AH442" s="23" t="n"/>
      <c r="AI442" s="24" t="n"/>
      <c r="AJ442">
        <f>IF(AC442="",-9999-ROW()*0.0000001,AC442-ROW()*0.0000001)</f>
        <v/>
      </c>
      <c r="AK442">
        <f>IF(OR(AC442="",P442="",P442&gt;MAX_PRICE),-9999-ROW()*0.0000001,AC442-ROW()*0.0000001)</f>
        <v/>
      </c>
      <c r="AL442">
        <f>IF(AC442="",-9999-ROW()*0.0000001,X442*1000+AC442-ROW()*0.0000001)</f>
        <v/>
      </c>
      <c r="AM442">
        <f>IF(AC442="",-9999-ROW()*0.0000001,Y442*1000+AC442-ROW()*0.0000001)</f>
        <v/>
      </c>
      <c r="AN442">
        <f>IF(AND(OR(AD442="Maybe",AD442="Price Review"),AG442&lt;&gt;"Approved",AG442&lt;&gt;"Rejected"),IF(AC442="",0,AC442)-ROW()*0.0000001,-9999-ROW()*0.0000001)</f>
        <v/>
      </c>
      <c r="AO442" s="28" t="n"/>
      <c r="AP442" s="28" t="n"/>
      <c r="AQ442" s="29" t="n"/>
      <c r="AR442" s="29" t="n"/>
      <c r="AS442" s="23" t="n"/>
      <c r="AT442" s="29" t="n"/>
      <c r="AU442" s="29" t="n"/>
      <c r="AV442" s="29" t="n"/>
      <c r="AW442" s="25">
        <f>IF(OR(O442="",AV442=""),"",O442*AV442)</f>
        <v/>
      </c>
      <c r="AX442" s="23" t="n"/>
      <c r="AY442" s="23" t="n"/>
      <c r="AZ442" s="23" t="n"/>
      <c r="BA442" s="23" t="n"/>
      <c r="BB442" s="23" t="n"/>
      <c r="BC442" s="25" t="n"/>
      <c r="BD442" s="23" t="n"/>
      <c r="BE442" s="23">
        <f>IF(C442="","",IF(AND(ISNUMBER(P442),P442&gt;MAX_PRICE),"Price too high",IF(AND(ISNUMBER(AB442),AB442&lt;=2),"Quality risk",IF(AND(ISNUMBER(U442),U442&lt;=2),"Aesthetic mismatch",IF(AY442="High","Too fragile",IF(AND(ISNUMBER(R442),R442&lt;LOW_PROFIT_PCT),"Low profit",IF(AND(ISNUMBER(AT442),AT442&gt;MOQ_WARNING),"MOQ too high",IF(OR(AD442="Maybe",AD442="Price Review"),"Needs partner review",IF(AD442="Buy","Good candidate","")))))))))</f>
        <v/>
      </c>
      <c r="BF442" s="23" t="n"/>
      <c r="BG442" s="23" t="n"/>
      <c r="BH442" s="23" t="n"/>
      <c r="BI442" s="23" t="n"/>
      <c r="BJ442" s="23" t="n"/>
      <c r="BK442" s="23" t="n"/>
      <c r="BL442" s="23">
        <f>IF(C442="","",IF(AND(BG442="Yes",BH442="Yes",BI442="Yes",BJ442="Yes",BK442="Yes"),"Yes","No"))</f>
        <v/>
      </c>
      <c r="BM442" s="25" t="n"/>
      <c r="BN442" s="25" t="n"/>
      <c r="BO442" s="25">
        <f>IF(OR(BM442="",BN442=""),"",BM442+BN442)</f>
        <v/>
      </c>
      <c r="BP442" s="25" t="n"/>
      <c r="BQ442" s="25">
        <f>IF(OR(BP442="",BO442=""),"",BP442-BO442)</f>
        <v/>
      </c>
      <c r="BR442" s="26">
        <f>IF(OR(BP442="",BP442=0,BQ442=""),"",BQ442/BP442)</f>
        <v/>
      </c>
      <c r="BS442" s="24" t="n"/>
      <c r="BT442" s="29" t="n"/>
      <c r="BU442" s="29" t="n"/>
      <c r="BV442" s="23" t="n"/>
      <c r="BW442" s="23" t="n"/>
      <c r="BX442" s="29">
        <f>IF(OR(BT442="",BU442=""),"",BT442-BU442)</f>
        <v/>
      </c>
      <c r="BY442" s="23" t="n"/>
      <c r="BZ442" s="24" t="n"/>
      <c r="CA442" s="23" t="n"/>
      <c r="CB442" s="23" t="n"/>
    </row>
    <row r="443">
      <c r="A443" s="16">
        <f>IF(C443="","","AYN-"&amp;IFERROR(VLOOKUP(E443,CATEGORY_PREFIX_TABLE,2,FALSE),"OTH")&amp;"-"&amp;TEXT(ROW()-2,"0000"))</f>
        <v/>
      </c>
      <c r="B443" s="17" t="n"/>
      <c r="C443" s="16" t="n"/>
      <c r="D443" s="16" t="n"/>
      <c r="E443" s="16" t="n"/>
      <c r="F443" s="16" t="n"/>
      <c r="G443" s="16" t="n"/>
      <c r="H443" s="16" t="n"/>
      <c r="I443" s="16" t="n"/>
      <c r="J443" s="16" t="n"/>
      <c r="K443" s="18">
        <f>IF(I443="","",IF(J443="BDT",I443,IF(J443="USD",I443*USD_BDT,IF(J443="RMB",I443*RMB_BDT,""))))</f>
        <v/>
      </c>
      <c r="L443" s="18" t="n"/>
      <c r="M443" s="19" t="n"/>
      <c r="N443" s="18" t="n"/>
      <c r="O443" s="18">
        <f>IF(K443="","",K443+IFERROR(L443,0)+(K443*IF(M443="",CUSTOMS_PCT,M443))+IF(N443="",MISC_FEE,N443))</f>
        <v/>
      </c>
      <c r="P443" s="18">
        <f>IF(O443="","",ROUND(O443*(1+MARKUP_PCT),-1)-1)</f>
        <v/>
      </c>
      <c r="Q443" s="18">
        <f>IF(P443="","",P443-O443)</f>
        <v/>
      </c>
      <c r="R443" s="19">
        <f>IF(OR(P443="",P443=0),"",Q443/P443)</f>
        <v/>
      </c>
      <c r="S443" s="16" t="n"/>
      <c r="T443" s="16" t="n"/>
      <c r="U443" s="16" t="n"/>
      <c r="V443" s="16" t="n"/>
      <c r="W443" s="16" t="n"/>
      <c r="X443" s="16" t="n"/>
      <c r="Y443" s="16" t="n"/>
      <c r="Z443" s="16" t="n"/>
      <c r="AA443" s="16" t="n"/>
      <c r="AB443" s="16" t="n"/>
      <c r="AC443" s="20">
        <f>IF(COUNT(S443:AB443)&lt;10,"",(S443*W_FEMININE+T443*W_TREND+U443*W_AESTHETIC+V443*W_STYLE+W443*W_LIGHT+X443*W_REELS+Y443*W_GIFT+Z443*W_PRICEFIT+AA443*W_DEMAND+AB443*W_QUALITY)/5*100)</f>
        <v/>
      </c>
      <c r="AD443" s="16">
        <f>IF(P443="","",IF(P443&gt;HARD_REJECT_PRICE,"Reject",IF(P443&gt;MAX_PRICE,"Price Review",IF(AC443="","",IF(AND(AC443&gt;=BUY_THRESHOLD,OR(AB443&lt;=2,U443&lt;=2)),"Maybe",IF(AC443&gt;=BUY_THRESHOLD,"Buy",IF(AC443&gt;=MAYBE_THRESHOLD,"Maybe","Reject")))))))</f>
        <v/>
      </c>
      <c r="AE443" s="16" t="n"/>
      <c r="AF443" s="16" t="n"/>
      <c r="AG443" s="16" t="n"/>
      <c r="AH443" s="16" t="n"/>
      <c r="AI443" s="17" t="n"/>
      <c r="AJ443">
        <f>IF(AC443="",-9999-ROW()*0.0000001,AC443-ROW()*0.0000001)</f>
        <v/>
      </c>
      <c r="AK443">
        <f>IF(OR(AC443="",P443="",P443&gt;MAX_PRICE),-9999-ROW()*0.0000001,AC443-ROW()*0.0000001)</f>
        <v/>
      </c>
      <c r="AL443">
        <f>IF(AC443="",-9999-ROW()*0.0000001,X443*1000+AC443-ROW()*0.0000001)</f>
        <v/>
      </c>
      <c r="AM443">
        <f>IF(AC443="",-9999-ROW()*0.0000001,Y443*1000+AC443-ROW()*0.0000001)</f>
        <v/>
      </c>
      <c r="AN443">
        <f>IF(AND(OR(AD443="Maybe",AD443="Price Review"),AG443&lt;&gt;"Approved",AG443&lt;&gt;"Rejected"),IF(AC443="",0,AC443)-ROW()*0.0000001,-9999-ROW()*0.0000001)</f>
        <v/>
      </c>
      <c r="AO443" s="21" t="n"/>
      <c r="AP443" s="21" t="n"/>
      <c r="AQ443" s="22" t="n"/>
      <c r="AR443" s="22" t="n"/>
      <c r="AS443" s="16" t="n"/>
      <c r="AT443" s="22" t="n"/>
      <c r="AU443" s="22" t="n"/>
      <c r="AV443" s="22" t="n"/>
      <c r="AW443" s="18">
        <f>IF(OR(O443="",AV443=""),"",O443*AV443)</f>
        <v/>
      </c>
      <c r="AX443" s="16" t="n"/>
      <c r="AY443" s="16" t="n"/>
      <c r="AZ443" s="16" t="n"/>
      <c r="BA443" s="16" t="n"/>
      <c r="BB443" s="16" t="n"/>
      <c r="BC443" s="18" t="n"/>
      <c r="BD443" s="16" t="n"/>
      <c r="BE443" s="16">
        <f>IF(C443="","",IF(AND(ISNUMBER(P443),P443&gt;MAX_PRICE),"Price too high",IF(AND(ISNUMBER(AB443),AB443&lt;=2),"Quality risk",IF(AND(ISNUMBER(U443),U443&lt;=2),"Aesthetic mismatch",IF(AY443="High","Too fragile",IF(AND(ISNUMBER(R443),R443&lt;LOW_PROFIT_PCT),"Low profit",IF(AND(ISNUMBER(AT443),AT443&gt;MOQ_WARNING),"MOQ too high",IF(OR(AD443="Maybe",AD443="Price Review"),"Needs partner review",IF(AD443="Buy","Good candidate","")))))))))</f>
        <v/>
      </c>
      <c r="BF443" s="16" t="n"/>
      <c r="BG443" s="16" t="n"/>
      <c r="BH443" s="16" t="n"/>
      <c r="BI443" s="16" t="n"/>
      <c r="BJ443" s="16" t="n"/>
      <c r="BK443" s="16" t="n"/>
      <c r="BL443" s="16">
        <f>IF(C443="","",IF(AND(BG443="Yes",BH443="Yes",BI443="Yes",BJ443="Yes",BK443="Yes"),"Yes","No"))</f>
        <v/>
      </c>
      <c r="BM443" s="18" t="n"/>
      <c r="BN443" s="18" t="n"/>
      <c r="BO443" s="18">
        <f>IF(OR(BM443="",BN443=""),"",BM443+BN443)</f>
        <v/>
      </c>
      <c r="BP443" s="18" t="n"/>
      <c r="BQ443" s="18">
        <f>IF(OR(BP443="",BO443=""),"",BP443-BO443)</f>
        <v/>
      </c>
      <c r="BR443" s="19">
        <f>IF(OR(BP443="",BP443=0,BQ443=""),"",BQ443/BP443)</f>
        <v/>
      </c>
      <c r="BS443" s="17" t="n"/>
      <c r="BT443" s="22" t="n"/>
      <c r="BU443" s="22" t="n"/>
      <c r="BV443" s="16" t="n"/>
      <c r="BW443" s="16" t="n"/>
      <c r="BX443" s="22">
        <f>IF(OR(BT443="",BU443=""),"",BT443-BU443)</f>
        <v/>
      </c>
      <c r="BY443" s="16" t="n"/>
      <c r="BZ443" s="17" t="n"/>
      <c r="CA443" s="16" t="n"/>
      <c r="CB443" s="16" t="n"/>
    </row>
    <row r="444">
      <c r="A444" s="23">
        <f>IF(C444="","","AYN-"&amp;IFERROR(VLOOKUP(E444,CATEGORY_PREFIX_TABLE,2,FALSE),"OTH")&amp;"-"&amp;TEXT(ROW()-2,"0000"))</f>
        <v/>
      </c>
      <c r="B444" s="24" t="n"/>
      <c r="C444" s="23" t="n"/>
      <c r="D444" s="23" t="n"/>
      <c r="E444" s="23" t="n"/>
      <c r="F444" s="23" t="n"/>
      <c r="G444" s="23" t="n"/>
      <c r="H444" s="23" t="n"/>
      <c r="I444" s="23" t="n"/>
      <c r="J444" s="23" t="n"/>
      <c r="K444" s="25">
        <f>IF(I444="","",IF(J444="BDT",I444,IF(J444="USD",I444*USD_BDT,IF(J444="RMB",I444*RMB_BDT,""))))</f>
        <v/>
      </c>
      <c r="L444" s="25" t="n"/>
      <c r="M444" s="26" t="n"/>
      <c r="N444" s="25" t="n"/>
      <c r="O444" s="25">
        <f>IF(K444="","",K444+IFERROR(L444,0)+(K444*IF(M444="",CUSTOMS_PCT,M444))+IF(N444="",MISC_FEE,N444))</f>
        <v/>
      </c>
      <c r="P444" s="25">
        <f>IF(O444="","",ROUND(O444*(1+MARKUP_PCT),-1)-1)</f>
        <v/>
      </c>
      <c r="Q444" s="25">
        <f>IF(P444="","",P444-O444)</f>
        <v/>
      </c>
      <c r="R444" s="26">
        <f>IF(OR(P444="",P444=0),"",Q444/P444)</f>
        <v/>
      </c>
      <c r="S444" s="23" t="n"/>
      <c r="T444" s="23" t="n"/>
      <c r="U444" s="23" t="n"/>
      <c r="V444" s="23" t="n"/>
      <c r="W444" s="23" t="n"/>
      <c r="X444" s="23" t="n"/>
      <c r="Y444" s="23" t="n"/>
      <c r="Z444" s="23" t="n"/>
      <c r="AA444" s="23" t="n"/>
      <c r="AB444" s="23" t="n"/>
      <c r="AC444" s="27">
        <f>IF(COUNT(S444:AB444)&lt;10,"",(S444*W_FEMININE+T444*W_TREND+U444*W_AESTHETIC+V444*W_STYLE+W444*W_LIGHT+X444*W_REELS+Y444*W_GIFT+Z444*W_PRICEFIT+AA444*W_DEMAND+AB444*W_QUALITY)/5*100)</f>
        <v/>
      </c>
      <c r="AD444" s="23">
        <f>IF(P444="","",IF(P444&gt;HARD_REJECT_PRICE,"Reject",IF(P444&gt;MAX_PRICE,"Price Review",IF(AC444="","",IF(AND(AC444&gt;=BUY_THRESHOLD,OR(AB444&lt;=2,U444&lt;=2)),"Maybe",IF(AC444&gt;=BUY_THRESHOLD,"Buy",IF(AC444&gt;=MAYBE_THRESHOLD,"Maybe","Reject")))))))</f>
        <v/>
      </c>
      <c r="AE444" s="23" t="n"/>
      <c r="AF444" s="23" t="n"/>
      <c r="AG444" s="23" t="n"/>
      <c r="AH444" s="23" t="n"/>
      <c r="AI444" s="24" t="n"/>
      <c r="AJ444">
        <f>IF(AC444="",-9999-ROW()*0.0000001,AC444-ROW()*0.0000001)</f>
        <v/>
      </c>
      <c r="AK444">
        <f>IF(OR(AC444="",P444="",P444&gt;MAX_PRICE),-9999-ROW()*0.0000001,AC444-ROW()*0.0000001)</f>
        <v/>
      </c>
      <c r="AL444">
        <f>IF(AC444="",-9999-ROW()*0.0000001,X444*1000+AC444-ROW()*0.0000001)</f>
        <v/>
      </c>
      <c r="AM444">
        <f>IF(AC444="",-9999-ROW()*0.0000001,Y444*1000+AC444-ROW()*0.0000001)</f>
        <v/>
      </c>
      <c r="AN444">
        <f>IF(AND(OR(AD444="Maybe",AD444="Price Review"),AG444&lt;&gt;"Approved",AG444&lt;&gt;"Rejected"),IF(AC444="",0,AC444)-ROW()*0.0000001,-9999-ROW()*0.0000001)</f>
        <v/>
      </c>
      <c r="AO444" s="28" t="n"/>
      <c r="AP444" s="28" t="n"/>
      <c r="AQ444" s="29" t="n"/>
      <c r="AR444" s="29" t="n"/>
      <c r="AS444" s="23" t="n"/>
      <c r="AT444" s="29" t="n"/>
      <c r="AU444" s="29" t="n"/>
      <c r="AV444" s="29" t="n"/>
      <c r="AW444" s="25">
        <f>IF(OR(O444="",AV444=""),"",O444*AV444)</f>
        <v/>
      </c>
      <c r="AX444" s="23" t="n"/>
      <c r="AY444" s="23" t="n"/>
      <c r="AZ444" s="23" t="n"/>
      <c r="BA444" s="23" t="n"/>
      <c r="BB444" s="23" t="n"/>
      <c r="BC444" s="25" t="n"/>
      <c r="BD444" s="23" t="n"/>
      <c r="BE444" s="23">
        <f>IF(C444="","",IF(AND(ISNUMBER(P444),P444&gt;MAX_PRICE),"Price too high",IF(AND(ISNUMBER(AB444),AB444&lt;=2),"Quality risk",IF(AND(ISNUMBER(U444),U444&lt;=2),"Aesthetic mismatch",IF(AY444="High","Too fragile",IF(AND(ISNUMBER(R444),R444&lt;LOW_PROFIT_PCT),"Low profit",IF(AND(ISNUMBER(AT444),AT444&gt;MOQ_WARNING),"MOQ too high",IF(OR(AD444="Maybe",AD444="Price Review"),"Needs partner review",IF(AD444="Buy","Good candidate","")))))))))</f>
        <v/>
      </c>
      <c r="BF444" s="23" t="n"/>
      <c r="BG444" s="23" t="n"/>
      <c r="BH444" s="23" t="n"/>
      <c r="BI444" s="23" t="n"/>
      <c r="BJ444" s="23" t="n"/>
      <c r="BK444" s="23" t="n"/>
      <c r="BL444" s="23">
        <f>IF(C444="","",IF(AND(BG444="Yes",BH444="Yes",BI444="Yes",BJ444="Yes",BK444="Yes"),"Yes","No"))</f>
        <v/>
      </c>
      <c r="BM444" s="25" t="n"/>
      <c r="BN444" s="25" t="n"/>
      <c r="BO444" s="25">
        <f>IF(OR(BM444="",BN444=""),"",BM444+BN444)</f>
        <v/>
      </c>
      <c r="BP444" s="25" t="n"/>
      <c r="BQ444" s="25">
        <f>IF(OR(BP444="",BO444=""),"",BP444-BO444)</f>
        <v/>
      </c>
      <c r="BR444" s="26">
        <f>IF(OR(BP444="",BP444=0,BQ444=""),"",BQ444/BP444)</f>
        <v/>
      </c>
      <c r="BS444" s="24" t="n"/>
      <c r="BT444" s="29" t="n"/>
      <c r="BU444" s="29" t="n"/>
      <c r="BV444" s="23" t="n"/>
      <c r="BW444" s="23" t="n"/>
      <c r="BX444" s="29">
        <f>IF(OR(BT444="",BU444=""),"",BT444-BU444)</f>
        <v/>
      </c>
      <c r="BY444" s="23" t="n"/>
      <c r="BZ444" s="24" t="n"/>
      <c r="CA444" s="23" t="n"/>
      <c r="CB444" s="23" t="n"/>
    </row>
    <row r="445">
      <c r="A445" s="16">
        <f>IF(C445="","","AYN-"&amp;IFERROR(VLOOKUP(E445,CATEGORY_PREFIX_TABLE,2,FALSE),"OTH")&amp;"-"&amp;TEXT(ROW()-2,"0000"))</f>
        <v/>
      </c>
      <c r="B445" s="17" t="n"/>
      <c r="C445" s="16" t="n"/>
      <c r="D445" s="16" t="n"/>
      <c r="E445" s="16" t="n"/>
      <c r="F445" s="16" t="n"/>
      <c r="G445" s="16" t="n"/>
      <c r="H445" s="16" t="n"/>
      <c r="I445" s="16" t="n"/>
      <c r="J445" s="16" t="n"/>
      <c r="K445" s="18">
        <f>IF(I445="","",IF(J445="BDT",I445,IF(J445="USD",I445*USD_BDT,IF(J445="RMB",I445*RMB_BDT,""))))</f>
        <v/>
      </c>
      <c r="L445" s="18" t="n"/>
      <c r="M445" s="19" t="n"/>
      <c r="N445" s="18" t="n"/>
      <c r="O445" s="18">
        <f>IF(K445="","",K445+IFERROR(L445,0)+(K445*IF(M445="",CUSTOMS_PCT,M445))+IF(N445="",MISC_FEE,N445))</f>
        <v/>
      </c>
      <c r="P445" s="18">
        <f>IF(O445="","",ROUND(O445*(1+MARKUP_PCT),-1)-1)</f>
        <v/>
      </c>
      <c r="Q445" s="18">
        <f>IF(P445="","",P445-O445)</f>
        <v/>
      </c>
      <c r="R445" s="19">
        <f>IF(OR(P445="",P445=0),"",Q445/P445)</f>
        <v/>
      </c>
      <c r="S445" s="16" t="n"/>
      <c r="T445" s="16" t="n"/>
      <c r="U445" s="16" t="n"/>
      <c r="V445" s="16" t="n"/>
      <c r="W445" s="16" t="n"/>
      <c r="X445" s="16" t="n"/>
      <c r="Y445" s="16" t="n"/>
      <c r="Z445" s="16" t="n"/>
      <c r="AA445" s="16" t="n"/>
      <c r="AB445" s="16" t="n"/>
      <c r="AC445" s="20">
        <f>IF(COUNT(S445:AB445)&lt;10,"",(S445*W_FEMININE+T445*W_TREND+U445*W_AESTHETIC+V445*W_STYLE+W445*W_LIGHT+X445*W_REELS+Y445*W_GIFT+Z445*W_PRICEFIT+AA445*W_DEMAND+AB445*W_QUALITY)/5*100)</f>
        <v/>
      </c>
      <c r="AD445" s="16">
        <f>IF(P445="","",IF(P445&gt;HARD_REJECT_PRICE,"Reject",IF(P445&gt;MAX_PRICE,"Price Review",IF(AC445="","",IF(AND(AC445&gt;=BUY_THRESHOLD,OR(AB445&lt;=2,U445&lt;=2)),"Maybe",IF(AC445&gt;=BUY_THRESHOLD,"Buy",IF(AC445&gt;=MAYBE_THRESHOLD,"Maybe","Reject")))))))</f>
        <v/>
      </c>
      <c r="AE445" s="16" t="n"/>
      <c r="AF445" s="16" t="n"/>
      <c r="AG445" s="16" t="n"/>
      <c r="AH445" s="16" t="n"/>
      <c r="AI445" s="17" t="n"/>
      <c r="AJ445">
        <f>IF(AC445="",-9999-ROW()*0.0000001,AC445-ROW()*0.0000001)</f>
        <v/>
      </c>
      <c r="AK445">
        <f>IF(OR(AC445="",P445="",P445&gt;MAX_PRICE),-9999-ROW()*0.0000001,AC445-ROW()*0.0000001)</f>
        <v/>
      </c>
      <c r="AL445">
        <f>IF(AC445="",-9999-ROW()*0.0000001,X445*1000+AC445-ROW()*0.0000001)</f>
        <v/>
      </c>
      <c r="AM445">
        <f>IF(AC445="",-9999-ROW()*0.0000001,Y445*1000+AC445-ROW()*0.0000001)</f>
        <v/>
      </c>
      <c r="AN445">
        <f>IF(AND(OR(AD445="Maybe",AD445="Price Review"),AG445&lt;&gt;"Approved",AG445&lt;&gt;"Rejected"),IF(AC445="",0,AC445)-ROW()*0.0000001,-9999-ROW()*0.0000001)</f>
        <v/>
      </c>
      <c r="AO445" s="21" t="n"/>
      <c r="AP445" s="21" t="n"/>
      <c r="AQ445" s="22" t="n"/>
      <c r="AR445" s="22" t="n"/>
      <c r="AS445" s="16" t="n"/>
      <c r="AT445" s="22" t="n"/>
      <c r="AU445" s="22" t="n"/>
      <c r="AV445" s="22" t="n"/>
      <c r="AW445" s="18">
        <f>IF(OR(O445="",AV445=""),"",O445*AV445)</f>
        <v/>
      </c>
      <c r="AX445" s="16" t="n"/>
      <c r="AY445" s="16" t="n"/>
      <c r="AZ445" s="16" t="n"/>
      <c r="BA445" s="16" t="n"/>
      <c r="BB445" s="16" t="n"/>
      <c r="BC445" s="18" t="n"/>
      <c r="BD445" s="16" t="n"/>
      <c r="BE445" s="16">
        <f>IF(C445="","",IF(AND(ISNUMBER(P445),P445&gt;MAX_PRICE),"Price too high",IF(AND(ISNUMBER(AB445),AB445&lt;=2),"Quality risk",IF(AND(ISNUMBER(U445),U445&lt;=2),"Aesthetic mismatch",IF(AY445="High","Too fragile",IF(AND(ISNUMBER(R445),R445&lt;LOW_PROFIT_PCT),"Low profit",IF(AND(ISNUMBER(AT445),AT445&gt;MOQ_WARNING),"MOQ too high",IF(OR(AD445="Maybe",AD445="Price Review"),"Needs partner review",IF(AD445="Buy","Good candidate","")))))))))</f>
        <v/>
      </c>
      <c r="BF445" s="16" t="n"/>
      <c r="BG445" s="16" t="n"/>
      <c r="BH445" s="16" t="n"/>
      <c r="BI445" s="16" t="n"/>
      <c r="BJ445" s="16" t="n"/>
      <c r="BK445" s="16" t="n"/>
      <c r="BL445" s="16">
        <f>IF(C445="","",IF(AND(BG445="Yes",BH445="Yes",BI445="Yes",BJ445="Yes",BK445="Yes"),"Yes","No"))</f>
        <v/>
      </c>
      <c r="BM445" s="18" t="n"/>
      <c r="BN445" s="18" t="n"/>
      <c r="BO445" s="18">
        <f>IF(OR(BM445="",BN445=""),"",BM445+BN445)</f>
        <v/>
      </c>
      <c r="BP445" s="18" t="n"/>
      <c r="BQ445" s="18">
        <f>IF(OR(BP445="",BO445=""),"",BP445-BO445)</f>
        <v/>
      </c>
      <c r="BR445" s="19">
        <f>IF(OR(BP445="",BP445=0,BQ445=""),"",BQ445/BP445)</f>
        <v/>
      </c>
      <c r="BS445" s="17" t="n"/>
      <c r="BT445" s="22" t="n"/>
      <c r="BU445" s="22" t="n"/>
      <c r="BV445" s="16" t="n"/>
      <c r="BW445" s="16" t="n"/>
      <c r="BX445" s="22">
        <f>IF(OR(BT445="",BU445=""),"",BT445-BU445)</f>
        <v/>
      </c>
      <c r="BY445" s="16" t="n"/>
      <c r="BZ445" s="17" t="n"/>
      <c r="CA445" s="16" t="n"/>
      <c r="CB445" s="16" t="n"/>
    </row>
    <row r="446">
      <c r="A446" s="23">
        <f>IF(C446="","","AYN-"&amp;IFERROR(VLOOKUP(E446,CATEGORY_PREFIX_TABLE,2,FALSE),"OTH")&amp;"-"&amp;TEXT(ROW()-2,"0000"))</f>
        <v/>
      </c>
      <c r="B446" s="24" t="n"/>
      <c r="C446" s="23" t="n"/>
      <c r="D446" s="23" t="n"/>
      <c r="E446" s="23" t="n"/>
      <c r="F446" s="23" t="n"/>
      <c r="G446" s="23" t="n"/>
      <c r="H446" s="23" t="n"/>
      <c r="I446" s="23" t="n"/>
      <c r="J446" s="23" t="n"/>
      <c r="K446" s="25">
        <f>IF(I446="","",IF(J446="BDT",I446,IF(J446="USD",I446*USD_BDT,IF(J446="RMB",I446*RMB_BDT,""))))</f>
        <v/>
      </c>
      <c r="L446" s="25" t="n"/>
      <c r="M446" s="26" t="n"/>
      <c r="N446" s="25" t="n"/>
      <c r="O446" s="25">
        <f>IF(K446="","",K446+IFERROR(L446,0)+(K446*IF(M446="",CUSTOMS_PCT,M446))+IF(N446="",MISC_FEE,N446))</f>
        <v/>
      </c>
      <c r="P446" s="25">
        <f>IF(O446="","",ROUND(O446*(1+MARKUP_PCT),-1)-1)</f>
        <v/>
      </c>
      <c r="Q446" s="25">
        <f>IF(P446="","",P446-O446)</f>
        <v/>
      </c>
      <c r="R446" s="26">
        <f>IF(OR(P446="",P446=0),"",Q446/P446)</f>
        <v/>
      </c>
      <c r="S446" s="23" t="n"/>
      <c r="T446" s="23" t="n"/>
      <c r="U446" s="23" t="n"/>
      <c r="V446" s="23" t="n"/>
      <c r="W446" s="23" t="n"/>
      <c r="X446" s="23" t="n"/>
      <c r="Y446" s="23" t="n"/>
      <c r="Z446" s="23" t="n"/>
      <c r="AA446" s="23" t="n"/>
      <c r="AB446" s="23" t="n"/>
      <c r="AC446" s="27">
        <f>IF(COUNT(S446:AB446)&lt;10,"",(S446*W_FEMININE+T446*W_TREND+U446*W_AESTHETIC+V446*W_STYLE+W446*W_LIGHT+X446*W_REELS+Y446*W_GIFT+Z446*W_PRICEFIT+AA446*W_DEMAND+AB446*W_QUALITY)/5*100)</f>
        <v/>
      </c>
      <c r="AD446" s="23">
        <f>IF(P446="","",IF(P446&gt;HARD_REJECT_PRICE,"Reject",IF(P446&gt;MAX_PRICE,"Price Review",IF(AC446="","",IF(AND(AC446&gt;=BUY_THRESHOLD,OR(AB446&lt;=2,U446&lt;=2)),"Maybe",IF(AC446&gt;=BUY_THRESHOLD,"Buy",IF(AC446&gt;=MAYBE_THRESHOLD,"Maybe","Reject")))))))</f>
        <v/>
      </c>
      <c r="AE446" s="23" t="n"/>
      <c r="AF446" s="23" t="n"/>
      <c r="AG446" s="23" t="n"/>
      <c r="AH446" s="23" t="n"/>
      <c r="AI446" s="24" t="n"/>
      <c r="AJ446">
        <f>IF(AC446="",-9999-ROW()*0.0000001,AC446-ROW()*0.0000001)</f>
        <v/>
      </c>
      <c r="AK446">
        <f>IF(OR(AC446="",P446="",P446&gt;MAX_PRICE),-9999-ROW()*0.0000001,AC446-ROW()*0.0000001)</f>
        <v/>
      </c>
      <c r="AL446">
        <f>IF(AC446="",-9999-ROW()*0.0000001,X446*1000+AC446-ROW()*0.0000001)</f>
        <v/>
      </c>
      <c r="AM446">
        <f>IF(AC446="",-9999-ROW()*0.0000001,Y446*1000+AC446-ROW()*0.0000001)</f>
        <v/>
      </c>
      <c r="AN446">
        <f>IF(AND(OR(AD446="Maybe",AD446="Price Review"),AG446&lt;&gt;"Approved",AG446&lt;&gt;"Rejected"),IF(AC446="",0,AC446)-ROW()*0.0000001,-9999-ROW()*0.0000001)</f>
        <v/>
      </c>
      <c r="AO446" s="28" t="n"/>
      <c r="AP446" s="28" t="n"/>
      <c r="AQ446" s="29" t="n"/>
      <c r="AR446" s="29" t="n"/>
      <c r="AS446" s="23" t="n"/>
      <c r="AT446" s="29" t="n"/>
      <c r="AU446" s="29" t="n"/>
      <c r="AV446" s="29" t="n"/>
      <c r="AW446" s="25">
        <f>IF(OR(O446="",AV446=""),"",O446*AV446)</f>
        <v/>
      </c>
      <c r="AX446" s="23" t="n"/>
      <c r="AY446" s="23" t="n"/>
      <c r="AZ446" s="23" t="n"/>
      <c r="BA446" s="23" t="n"/>
      <c r="BB446" s="23" t="n"/>
      <c r="BC446" s="25" t="n"/>
      <c r="BD446" s="23" t="n"/>
      <c r="BE446" s="23">
        <f>IF(C446="","",IF(AND(ISNUMBER(P446),P446&gt;MAX_PRICE),"Price too high",IF(AND(ISNUMBER(AB446),AB446&lt;=2),"Quality risk",IF(AND(ISNUMBER(U446),U446&lt;=2),"Aesthetic mismatch",IF(AY446="High","Too fragile",IF(AND(ISNUMBER(R446),R446&lt;LOW_PROFIT_PCT),"Low profit",IF(AND(ISNUMBER(AT446),AT446&gt;MOQ_WARNING),"MOQ too high",IF(OR(AD446="Maybe",AD446="Price Review"),"Needs partner review",IF(AD446="Buy","Good candidate","")))))))))</f>
        <v/>
      </c>
      <c r="BF446" s="23" t="n"/>
      <c r="BG446" s="23" t="n"/>
      <c r="BH446" s="23" t="n"/>
      <c r="BI446" s="23" t="n"/>
      <c r="BJ446" s="23" t="n"/>
      <c r="BK446" s="23" t="n"/>
      <c r="BL446" s="23">
        <f>IF(C446="","",IF(AND(BG446="Yes",BH446="Yes",BI446="Yes",BJ446="Yes",BK446="Yes"),"Yes","No"))</f>
        <v/>
      </c>
      <c r="BM446" s="25" t="n"/>
      <c r="BN446" s="25" t="n"/>
      <c r="BO446" s="25">
        <f>IF(OR(BM446="",BN446=""),"",BM446+BN446)</f>
        <v/>
      </c>
      <c r="BP446" s="25" t="n"/>
      <c r="BQ446" s="25">
        <f>IF(OR(BP446="",BO446=""),"",BP446-BO446)</f>
        <v/>
      </c>
      <c r="BR446" s="26">
        <f>IF(OR(BP446="",BP446=0,BQ446=""),"",BQ446/BP446)</f>
        <v/>
      </c>
      <c r="BS446" s="24" t="n"/>
      <c r="BT446" s="29" t="n"/>
      <c r="BU446" s="29" t="n"/>
      <c r="BV446" s="23" t="n"/>
      <c r="BW446" s="23" t="n"/>
      <c r="BX446" s="29">
        <f>IF(OR(BT446="",BU446=""),"",BT446-BU446)</f>
        <v/>
      </c>
      <c r="BY446" s="23" t="n"/>
      <c r="BZ446" s="24" t="n"/>
      <c r="CA446" s="23" t="n"/>
      <c r="CB446" s="23" t="n"/>
    </row>
    <row r="447">
      <c r="A447" s="16">
        <f>IF(C447="","","AYN-"&amp;IFERROR(VLOOKUP(E447,CATEGORY_PREFIX_TABLE,2,FALSE),"OTH")&amp;"-"&amp;TEXT(ROW()-2,"0000"))</f>
        <v/>
      </c>
      <c r="B447" s="17" t="n"/>
      <c r="C447" s="16" t="n"/>
      <c r="D447" s="16" t="n"/>
      <c r="E447" s="16" t="n"/>
      <c r="F447" s="16" t="n"/>
      <c r="G447" s="16" t="n"/>
      <c r="H447" s="16" t="n"/>
      <c r="I447" s="16" t="n"/>
      <c r="J447" s="16" t="n"/>
      <c r="K447" s="18">
        <f>IF(I447="","",IF(J447="BDT",I447,IF(J447="USD",I447*USD_BDT,IF(J447="RMB",I447*RMB_BDT,""))))</f>
        <v/>
      </c>
      <c r="L447" s="18" t="n"/>
      <c r="M447" s="19" t="n"/>
      <c r="N447" s="18" t="n"/>
      <c r="O447" s="18">
        <f>IF(K447="","",K447+IFERROR(L447,0)+(K447*IF(M447="",CUSTOMS_PCT,M447))+IF(N447="",MISC_FEE,N447))</f>
        <v/>
      </c>
      <c r="P447" s="18">
        <f>IF(O447="","",ROUND(O447*(1+MARKUP_PCT),-1)-1)</f>
        <v/>
      </c>
      <c r="Q447" s="18">
        <f>IF(P447="","",P447-O447)</f>
        <v/>
      </c>
      <c r="R447" s="19">
        <f>IF(OR(P447="",P447=0),"",Q447/P447)</f>
        <v/>
      </c>
      <c r="S447" s="16" t="n"/>
      <c r="T447" s="16" t="n"/>
      <c r="U447" s="16" t="n"/>
      <c r="V447" s="16" t="n"/>
      <c r="W447" s="16" t="n"/>
      <c r="X447" s="16" t="n"/>
      <c r="Y447" s="16" t="n"/>
      <c r="Z447" s="16" t="n"/>
      <c r="AA447" s="16" t="n"/>
      <c r="AB447" s="16" t="n"/>
      <c r="AC447" s="20">
        <f>IF(COUNT(S447:AB447)&lt;10,"",(S447*W_FEMININE+T447*W_TREND+U447*W_AESTHETIC+V447*W_STYLE+W447*W_LIGHT+X447*W_REELS+Y447*W_GIFT+Z447*W_PRICEFIT+AA447*W_DEMAND+AB447*W_QUALITY)/5*100)</f>
        <v/>
      </c>
      <c r="AD447" s="16">
        <f>IF(P447="","",IF(P447&gt;HARD_REJECT_PRICE,"Reject",IF(P447&gt;MAX_PRICE,"Price Review",IF(AC447="","",IF(AND(AC447&gt;=BUY_THRESHOLD,OR(AB447&lt;=2,U447&lt;=2)),"Maybe",IF(AC447&gt;=BUY_THRESHOLD,"Buy",IF(AC447&gt;=MAYBE_THRESHOLD,"Maybe","Reject")))))))</f>
        <v/>
      </c>
      <c r="AE447" s="16" t="n"/>
      <c r="AF447" s="16" t="n"/>
      <c r="AG447" s="16" t="n"/>
      <c r="AH447" s="16" t="n"/>
      <c r="AI447" s="17" t="n"/>
      <c r="AJ447">
        <f>IF(AC447="",-9999-ROW()*0.0000001,AC447-ROW()*0.0000001)</f>
        <v/>
      </c>
      <c r="AK447">
        <f>IF(OR(AC447="",P447="",P447&gt;MAX_PRICE),-9999-ROW()*0.0000001,AC447-ROW()*0.0000001)</f>
        <v/>
      </c>
      <c r="AL447">
        <f>IF(AC447="",-9999-ROW()*0.0000001,X447*1000+AC447-ROW()*0.0000001)</f>
        <v/>
      </c>
      <c r="AM447">
        <f>IF(AC447="",-9999-ROW()*0.0000001,Y447*1000+AC447-ROW()*0.0000001)</f>
        <v/>
      </c>
      <c r="AN447">
        <f>IF(AND(OR(AD447="Maybe",AD447="Price Review"),AG447&lt;&gt;"Approved",AG447&lt;&gt;"Rejected"),IF(AC447="",0,AC447)-ROW()*0.0000001,-9999-ROW()*0.0000001)</f>
        <v/>
      </c>
      <c r="AO447" s="21" t="n"/>
      <c r="AP447" s="21" t="n"/>
      <c r="AQ447" s="22" t="n"/>
      <c r="AR447" s="22" t="n"/>
      <c r="AS447" s="16" t="n"/>
      <c r="AT447" s="22" t="n"/>
      <c r="AU447" s="22" t="n"/>
      <c r="AV447" s="22" t="n"/>
      <c r="AW447" s="18">
        <f>IF(OR(O447="",AV447=""),"",O447*AV447)</f>
        <v/>
      </c>
      <c r="AX447" s="16" t="n"/>
      <c r="AY447" s="16" t="n"/>
      <c r="AZ447" s="16" t="n"/>
      <c r="BA447" s="16" t="n"/>
      <c r="BB447" s="16" t="n"/>
      <c r="BC447" s="18" t="n"/>
      <c r="BD447" s="16" t="n"/>
      <c r="BE447" s="16">
        <f>IF(C447="","",IF(AND(ISNUMBER(P447),P447&gt;MAX_PRICE),"Price too high",IF(AND(ISNUMBER(AB447),AB447&lt;=2),"Quality risk",IF(AND(ISNUMBER(U447),U447&lt;=2),"Aesthetic mismatch",IF(AY447="High","Too fragile",IF(AND(ISNUMBER(R447),R447&lt;LOW_PROFIT_PCT),"Low profit",IF(AND(ISNUMBER(AT447),AT447&gt;MOQ_WARNING),"MOQ too high",IF(OR(AD447="Maybe",AD447="Price Review"),"Needs partner review",IF(AD447="Buy","Good candidate","")))))))))</f>
        <v/>
      </c>
      <c r="BF447" s="16" t="n"/>
      <c r="BG447" s="16" t="n"/>
      <c r="BH447" s="16" t="n"/>
      <c r="BI447" s="16" t="n"/>
      <c r="BJ447" s="16" t="n"/>
      <c r="BK447" s="16" t="n"/>
      <c r="BL447" s="16">
        <f>IF(C447="","",IF(AND(BG447="Yes",BH447="Yes",BI447="Yes",BJ447="Yes",BK447="Yes"),"Yes","No"))</f>
        <v/>
      </c>
      <c r="BM447" s="18" t="n"/>
      <c r="BN447" s="18" t="n"/>
      <c r="BO447" s="18">
        <f>IF(OR(BM447="",BN447=""),"",BM447+BN447)</f>
        <v/>
      </c>
      <c r="BP447" s="18" t="n"/>
      <c r="BQ447" s="18">
        <f>IF(OR(BP447="",BO447=""),"",BP447-BO447)</f>
        <v/>
      </c>
      <c r="BR447" s="19">
        <f>IF(OR(BP447="",BP447=0,BQ447=""),"",BQ447/BP447)</f>
        <v/>
      </c>
      <c r="BS447" s="17" t="n"/>
      <c r="BT447" s="22" t="n"/>
      <c r="BU447" s="22" t="n"/>
      <c r="BV447" s="16" t="n"/>
      <c r="BW447" s="16" t="n"/>
      <c r="BX447" s="22">
        <f>IF(OR(BT447="",BU447=""),"",BT447-BU447)</f>
        <v/>
      </c>
      <c r="BY447" s="16" t="n"/>
      <c r="BZ447" s="17" t="n"/>
      <c r="CA447" s="16" t="n"/>
      <c r="CB447" s="16" t="n"/>
    </row>
    <row r="448">
      <c r="A448" s="23">
        <f>IF(C448="","","AYN-"&amp;IFERROR(VLOOKUP(E448,CATEGORY_PREFIX_TABLE,2,FALSE),"OTH")&amp;"-"&amp;TEXT(ROW()-2,"0000"))</f>
        <v/>
      </c>
      <c r="B448" s="24" t="n"/>
      <c r="C448" s="23" t="n"/>
      <c r="D448" s="23" t="n"/>
      <c r="E448" s="23" t="n"/>
      <c r="F448" s="23" t="n"/>
      <c r="G448" s="23" t="n"/>
      <c r="H448" s="23" t="n"/>
      <c r="I448" s="23" t="n"/>
      <c r="J448" s="23" t="n"/>
      <c r="K448" s="25">
        <f>IF(I448="","",IF(J448="BDT",I448,IF(J448="USD",I448*USD_BDT,IF(J448="RMB",I448*RMB_BDT,""))))</f>
        <v/>
      </c>
      <c r="L448" s="25" t="n"/>
      <c r="M448" s="26" t="n"/>
      <c r="N448" s="25" t="n"/>
      <c r="O448" s="25">
        <f>IF(K448="","",K448+IFERROR(L448,0)+(K448*IF(M448="",CUSTOMS_PCT,M448))+IF(N448="",MISC_FEE,N448))</f>
        <v/>
      </c>
      <c r="P448" s="25">
        <f>IF(O448="","",ROUND(O448*(1+MARKUP_PCT),-1)-1)</f>
        <v/>
      </c>
      <c r="Q448" s="25">
        <f>IF(P448="","",P448-O448)</f>
        <v/>
      </c>
      <c r="R448" s="26">
        <f>IF(OR(P448="",P448=0),"",Q448/P448)</f>
        <v/>
      </c>
      <c r="S448" s="23" t="n"/>
      <c r="T448" s="23" t="n"/>
      <c r="U448" s="23" t="n"/>
      <c r="V448" s="23" t="n"/>
      <c r="W448" s="23" t="n"/>
      <c r="X448" s="23" t="n"/>
      <c r="Y448" s="23" t="n"/>
      <c r="Z448" s="23" t="n"/>
      <c r="AA448" s="23" t="n"/>
      <c r="AB448" s="23" t="n"/>
      <c r="AC448" s="27">
        <f>IF(COUNT(S448:AB448)&lt;10,"",(S448*W_FEMININE+T448*W_TREND+U448*W_AESTHETIC+V448*W_STYLE+W448*W_LIGHT+X448*W_REELS+Y448*W_GIFT+Z448*W_PRICEFIT+AA448*W_DEMAND+AB448*W_QUALITY)/5*100)</f>
        <v/>
      </c>
      <c r="AD448" s="23">
        <f>IF(P448="","",IF(P448&gt;HARD_REJECT_PRICE,"Reject",IF(P448&gt;MAX_PRICE,"Price Review",IF(AC448="","",IF(AND(AC448&gt;=BUY_THRESHOLD,OR(AB448&lt;=2,U448&lt;=2)),"Maybe",IF(AC448&gt;=BUY_THRESHOLD,"Buy",IF(AC448&gt;=MAYBE_THRESHOLD,"Maybe","Reject")))))))</f>
        <v/>
      </c>
      <c r="AE448" s="23" t="n"/>
      <c r="AF448" s="23" t="n"/>
      <c r="AG448" s="23" t="n"/>
      <c r="AH448" s="23" t="n"/>
      <c r="AI448" s="24" t="n"/>
      <c r="AJ448">
        <f>IF(AC448="",-9999-ROW()*0.0000001,AC448-ROW()*0.0000001)</f>
        <v/>
      </c>
      <c r="AK448">
        <f>IF(OR(AC448="",P448="",P448&gt;MAX_PRICE),-9999-ROW()*0.0000001,AC448-ROW()*0.0000001)</f>
        <v/>
      </c>
      <c r="AL448">
        <f>IF(AC448="",-9999-ROW()*0.0000001,X448*1000+AC448-ROW()*0.0000001)</f>
        <v/>
      </c>
      <c r="AM448">
        <f>IF(AC448="",-9999-ROW()*0.0000001,Y448*1000+AC448-ROW()*0.0000001)</f>
        <v/>
      </c>
      <c r="AN448">
        <f>IF(AND(OR(AD448="Maybe",AD448="Price Review"),AG448&lt;&gt;"Approved",AG448&lt;&gt;"Rejected"),IF(AC448="",0,AC448)-ROW()*0.0000001,-9999-ROW()*0.0000001)</f>
        <v/>
      </c>
      <c r="AO448" s="28" t="n"/>
      <c r="AP448" s="28" t="n"/>
      <c r="AQ448" s="29" t="n"/>
      <c r="AR448" s="29" t="n"/>
      <c r="AS448" s="23" t="n"/>
      <c r="AT448" s="29" t="n"/>
      <c r="AU448" s="29" t="n"/>
      <c r="AV448" s="29" t="n"/>
      <c r="AW448" s="25">
        <f>IF(OR(O448="",AV448=""),"",O448*AV448)</f>
        <v/>
      </c>
      <c r="AX448" s="23" t="n"/>
      <c r="AY448" s="23" t="n"/>
      <c r="AZ448" s="23" t="n"/>
      <c r="BA448" s="23" t="n"/>
      <c r="BB448" s="23" t="n"/>
      <c r="BC448" s="25" t="n"/>
      <c r="BD448" s="23" t="n"/>
      <c r="BE448" s="23">
        <f>IF(C448="","",IF(AND(ISNUMBER(P448),P448&gt;MAX_PRICE),"Price too high",IF(AND(ISNUMBER(AB448),AB448&lt;=2),"Quality risk",IF(AND(ISNUMBER(U448),U448&lt;=2),"Aesthetic mismatch",IF(AY448="High","Too fragile",IF(AND(ISNUMBER(R448),R448&lt;LOW_PROFIT_PCT),"Low profit",IF(AND(ISNUMBER(AT448),AT448&gt;MOQ_WARNING),"MOQ too high",IF(OR(AD448="Maybe",AD448="Price Review"),"Needs partner review",IF(AD448="Buy","Good candidate","")))))))))</f>
        <v/>
      </c>
      <c r="BF448" s="23" t="n"/>
      <c r="BG448" s="23" t="n"/>
      <c r="BH448" s="23" t="n"/>
      <c r="BI448" s="23" t="n"/>
      <c r="BJ448" s="23" t="n"/>
      <c r="BK448" s="23" t="n"/>
      <c r="BL448" s="23">
        <f>IF(C448="","",IF(AND(BG448="Yes",BH448="Yes",BI448="Yes",BJ448="Yes",BK448="Yes"),"Yes","No"))</f>
        <v/>
      </c>
      <c r="BM448" s="25" t="n"/>
      <c r="BN448" s="25" t="n"/>
      <c r="BO448" s="25">
        <f>IF(OR(BM448="",BN448=""),"",BM448+BN448)</f>
        <v/>
      </c>
      <c r="BP448" s="25" t="n"/>
      <c r="BQ448" s="25">
        <f>IF(OR(BP448="",BO448=""),"",BP448-BO448)</f>
        <v/>
      </c>
      <c r="BR448" s="26">
        <f>IF(OR(BP448="",BP448=0,BQ448=""),"",BQ448/BP448)</f>
        <v/>
      </c>
      <c r="BS448" s="24" t="n"/>
      <c r="BT448" s="29" t="n"/>
      <c r="BU448" s="29" t="n"/>
      <c r="BV448" s="23" t="n"/>
      <c r="BW448" s="23" t="n"/>
      <c r="BX448" s="29">
        <f>IF(OR(BT448="",BU448=""),"",BT448-BU448)</f>
        <v/>
      </c>
      <c r="BY448" s="23" t="n"/>
      <c r="BZ448" s="24" t="n"/>
      <c r="CA448" s="23" t="n"/>
      <c r="CB448" s="23" t="n"/>
    </row>
    <row r="449">
      <c r="A449" s="16">
        <f>IF(C449="","","AYN-"&amp;IFERROR(VLOOKUP(E449,CATEGORY_PREFIX_TABLE,2,FALSE),"OTH")&amp;"-"&amp;TEXT(ROW()-2,"0000"))</f>
        <v/>
      </c>
      <c r="B449" s="17" t="n"/>
      <c r="C449" s="16" t="n"/>
      <c r="D449" s="16" t="n"/>
      <c r="E449" s="16" t="n"/>
      <c r="F449" s="16" t="n"/>
      <c r="G449" s="16" t="n"/>
      <c r="H449" s="16" t="n"/>
      <c r="I449" s="16" t="n"/>
      <c r="J449" s="16" t="n"/>
      <c r="K449" s="18">
        <f>IF(I449="","",IF(J449="BDT",I449,IF(J449="USD",I449*USD_BDT,IF(J449="RMB",I449*RMB_BDT,""))))</f>
        <v/>
      </c>
      <c r="L449" s="18" t="n"/>
      <c r="M449" s="19" t="n"/>
      <c r="N449" s="18" t="n"/>
      <c r="O449" s="18">
        <f>IF(K449="","",K449+IFERROR(L449,0)+(K449*IF(M449="",CUSTOMS_PCT,M449))+IF(N449="",MISC_FEE,N449))</f>
        <v/>
      </c>
      <c r="P449" s="18">
        <f>IF(O449="","",ROUND(O449*(1+MARKUP_PCT),-1)-1)</f>
        <v/>
      </c>
      <c r="Q449" s="18">
        <f>IF(P449="","",P449-O449)</f>
        <v/>
      </c>
      <c r="R449" s="19">
        <f>IF(OR(P449="",P449=0),"",Q449/P449)</f>
        <v/>
      </c>
      <c r="S449" s="16" t="n"/>
      <c r="T449" s="16" t="n"/>
      <c r="U449" s="16" t="n"/>
      <c r="V449" s="16" t="n"/>
      <c r="W449" s="16" t="n"/>
      <c r="X449" s="16" t="n"/>
      <c r="Y449" s="16" t="n"/>
      <c r="Z449" s="16" t="n"/>
      <c r="AA449" s="16" t="n"/>
      <c r="AB449" s="16" t="n"/>
      <c r="AC449" s="20">
        <f>IF(COUNT(S449:AB449)&lt;10,"",(S449*W_FEMININE+T449*W_TREND+U449*W_AESTHETIC+V449*W_STYLE+W449*W_LIGHT+X449*W_REELS+Y449*W_GIFT+Z449*W_PRICEFIT+AA449*W_DEMAND+AB449*W_QUALITY)/5*100)</f>
        <v/>
      </c>
      <c r="AD449" s="16">
        <f>IF(P449="","",IF(P449&gt;HARD_REJECT_PRICE,"Reject",IF(P449&gt;MAX_PRICE,"Price Review",IF(AC449="","",IF(AND(AC449&gt;=BUY_THRESHOLD,OR(AB449&lt;=2,U449&lt;=2)),"Maybe",IF(AC449&gt;=BUY_THRESHOLD,"Buy",IF(AC449&gt;=MAYBE_THRESHOLD,"Maybe","Reject")))))))</f>
        <v/>
      </c>
      <c r="AE449" s="16" t="n"/>
      <c r="AF449" s="16" t="n"/>
      <c r="AG449" s="16" t="n"/>
      <c r="AH449" s="16" t="n"/>
      <c r="AI449" s="17" t="n"/>
      <c r="AJ449">
        <f>IF(AC449="",-9999-ROW()*0.0000001,AC449-ROW()*0.0000001)</f>
        <v/>
      </c>
      <c r="AK449">
        <f>IF(OR(AC449="",P449="",P449&gt;MAX_PRICE),-9999-ROW()*0.0000001,AC449-ROW()*0.0000001)</f>
        <v/>
      </c>
      <c r="AL449">
        <f>IF(AC449="",-9999-ROW()*0.0000001,X449*1000+AC449-ROW()*0.0000001)</f>
        <v/>
      </c>
      <c r="AM449">
        <f>IF(AC449="",-9999-ROW()*0.0000001,Y449*1000+AC449-ROW()*0.0000001)</f>
        <v/>
      </c>
      <c r="AN449">
        <f>IF(AND(OR(AD449="Maybe",AD449="Price Review"),AG449&lt;&gt;"Approved",AG449&lt;&gt;"Rejected"),IF(AC449="",0,AC449)-ROW()*0.0000001,-9999-ROW()*0.0000001)</f>
        <v/>
      </c>
      <c r="AO449" s="21" t="n"/>
      <c r="AP449" s="21" t="n"/>
      <c r="AQ449" s="22" t="n"/>
      <c r="AR449" s="22" t="n"/>
      <c r="AS449" s="16" t="n"/>
      <c r="AT449" s="22" t="n"/>
      <c r="AU449" s="22" t="n"/>
      <c r="AV449" s="22" t="n"/>
      <c r="AW449" s="18">
        <f>IF(OR(O449="",AV449=""),"",O449*AV449)</f>
        <v/>
      </c>
      <c r="AX449" s="16" t="n"/>
      <c r="AY449" s="16" t="n"/>
      <c r="AZ449" s="16" t="n"/>
      <c r="BA449" s="16" t="n"/>
      <c r="BB449" s="16" t="n"/>
      <c r="BC449" s="18" t="n"/>
      <c r="BD449" s="16" t="n"/>
      <c r="BE449" s="16">
        <f>IF(C449="","",IF(AND(ISNUMBER(P449),P449&gt;MAX_PRICE),"Price too high",IF(AND(ISNUMBER(AB449),AB449&lt;=2),"Quality risk",IF(AND(ISNUMBER(U449),U449&lt;=2),"Aesthetic mismatch",IF(AY449="High","Too fragile",IF(AND(ISNUMBER(R449),R449&lt;LOW_PROFIT_PCT),"Low profit",IF(AND(ISNUMBER(AT449),AT449&gt;MOQ_WARNING),"MOQ too high",IF(OR(AD449="Maybe",AD449="Price Review"),"Needs partner review",IF(AD449="Buy","Good candidate","")))))))))</f>
        <v/>
      </c>
      <c r="BF449" s="16" t="n"/>
      <c r="BG449" s="16" t="n"/>
      <c r="BH449" s="16" t="n"/>
      <c r="BI449" s="16" t="n"/>
      <c r="BJ449" s="16" t="n"/>
      <c r="BK449" s="16" t="n"/>
      <c r="BL449" s="16">
        <f>IF(C449="","",IF(AND(BG449="Yes",BH449="Yes",BI449="Yes",BJ449="Yes",BK449="Yes"),"Yes","No"))</f>
        <v/>
      </c>
      <c r="BM449" s="18" t="n"/>
      <c r="BN449" s="18" t="n"/>
      <c r="BO449" s="18">
        <f>IF(OR(BM449="",BN449=""),"",BM449+BN449)</f>
        <v/>
      </c>
      <c r="BP449" s="18" t="n"/>
      <c r="BQ449" s="18">
        <f>IF(OR(BP449="",BO449=""),"",BP449-BO449)</f>
        <v/>
      </c>
      <c r="BR449" s="19">
        <f>IF(OR(BP449="",BP449=0,BQ449=""),"",BQ449/BP449)</f>
        <v/>
      </c>
      <c r="BS449" s="17" t="n"/>
      <c r="BT449" s="22" t="n"/>
      <c r="BU449" s="22" t="n"/>
      <c r="BV449" s="16" t="n"/>
      <c r="BW449" s="16" t="n"/>
      <c r="BX449" s="22">
        <f>IF(OR(BT449="",BU449=""),"",BT449-BU449)</f>
        <v/>
      </c>
      <c r="BY449" s="16" t="n"/>
      <c r="BZ449" s="17" t="n"/>
      <c r="CA449" s="16" t="n"/>
      <c r="CB449" s="16" t="n"/>
    </row>
    <row r="450">
      <c r="A450" s="23">
        <f>IF(C450="","","AYN-"&amp;IFERROR(VLOOKUP(E450,CATEGORY_PREFIX_TABLE,2,FALSE),"OTH")&amp;"-"&amp;TEXT(ROW()-2,"0000"))</f>
        <v/>
      </c>
      <c r="B450" s="24" t="n"/>
      <c r="C450" s="23" t="n"/>
      <c r="D450" s="23" t="n"/>
      <c r="E450" s="23" t="n"/>
      <c r="F450" s="23" t="n"/>
      <c r="G450" s="23" t="n"/>
      <c r="H450" s="23" t="n"/>
      <c r="I450" s="23" t="n"/>
      <c r="J450" s="23" t="n"/>
      <c r="K450" s="25">
        <f>IF(I450="","",IF(J450="BDT",I450,IF(J450="USD",I450*USD_BDT,IF(J450="RMB",I450*RMB_BDT,""))))</f>
        <v/>
      </c>
      <c r="L450" s="25" t="n"/>
      <c r="M450" s="26" t="n"/>
      <c r="N450" s="25" t="n"/>
      <c r="O450" s="25">
        <f>IF(K450="","",K450+IFERROR(L450,0)+(K450*IF(M450="",CUSTOMS_PCT,M450))+IF(N450="",MISC_FEE,N450))</f>
        <v/>
      </c>
      <c r="P450" s="25">
        <f>IF(O450="","",ROUND(O450*(1+MARKUP_PCT),-1)-1)</f>
        <v/>
      </c>
      <c r="Q450" s="25">
        <f>IF(P450="","",P450-O450)</f>
        <v/>
      </c>
      <c r="R450" s="26">
        <f>IF(OR(P450="",P450=0),"",Q450/P450)</f>
        <v/>
      </c>
      <c r="S450" s="23" t="n"/>
      <c r="T450" s="23" t="n"/>
      <c r="U450" s="23" t="n"/>
      <c r="V450" s="23" t="n"/>
      <c r="W450" s="23" t="n"/>
      <c r="X450" s="23" t="n"/>
      <c r="Y450" s="23" t="n"/>
      <c r="Z450" s="23" t="n"/>
      <c r="AA450" s="23" t="n"/>
      <c r="AB450" s="23" t="n"/>
      <c r="AC450" s="27">
        <f>IF(COUNT(S450:AB450)&lt;10,"",(S450*W_FEMININE+T450*W_TREND+U450*W_AESTHETIC+V450*W_STYLE+W450*W_LIGHT+X450*W_REELS+Y450*W_GIFT+Z450*W_PRICEFIT+AA450*W_DEMAND+AB450*W_QUALITY)/5*100)</f>
        <v/>
      </c>
      <c r="AD450" s="23">
        <f>IF(P450="","",IF(P450&gt;HARD_REJECT_PRICE,"Reject",IF(P450&gt;MAX_PRICE,"Price Review",IF(AC450="","",IF(AND(AC450&gt;=BUY_THRESHOLD,OR(AB450&lt;=2,U450&lt;=2)),"Maybe",IF(AC450&gt;=BUY_THRESHOLD,"Buy",IF(AC450&gt;=MAYBE_THRESHOLD,"Maybe","Reject")))))))</f>
        <v/>
      </c>
      <c r="AE450" s="23" t="n"/>
      <c r="AF450" s="23" t="n"/>
      <c r="AG450" s="23" t="n"/>
      <c r="AH450" s="23" t="n"/>
      <c r="AI450" s="24" t="n"/>
      <c r="AJ450">
        <f>IF(AC450="",-9999-ROW()*0.0000001,AC450-ROW()*0.0000001)</f>
        <v/>
      </c>
      <c r="AK450">
        <f>IF(OR(AC450="",P450="",P450&gt;MAX_PRICE),-9999-ROW()*0.0000001,AC450-ROW()*0.0000001)</f>
        <v/>
      </c>
      <c r="AL450">
        <f>IF(AC450="",-9999-ROW()*0.0000001,X450*1000+AC450-ROW()*0.0000001)</f>
        <v/>
      </c>
      <c r="AM450">
        <f>IF(AC450="",-9999-ROW()*0.0000001,Y450*1000+AC450-ROW()*0.0000001)</f>
        <v/>
      </c>
      <c r="AN450">
        <f>IF(AND(OR(AD450="Maybe",AD450="Price Review"),AG450&lt;&gt;"Approved",AG450&lt;&gt;"Rejected"),IF(AC450="",0,AC450)-ROW()*0.0000001,-9999-ROW()*0.0000001)</f>
        <v/>
      </c>
      <c r="AO450" s="28" t="n"/>
      <c r="AP450" s="28" t="n"/>
      <c r="AQ450" s="29" t="n"/>
      <c r="AR450" s="29" t="n"/>
      <c r="AS450" s="23" t="n"/>
      <c r="AT450" s="29" t="n"/>
      <c r="AU450" s="29" t="n"/>
      <c r="AV450" s="29" t="n"/>
      <c r="AW450" s="25">
        <f>IF(OR(O450="",AV450=""),"",O450*AV450)</f>
        <v/>
      </c>
      <c r="AX450" s="23" t="n"/>
      <c r="AY450" s="23" t="n"/>
      <c r="AZ450" s="23" t="n"/>
      <c r="BA450" s="23" t="n"/>
      <c r="BB450" s="23" t="n"/>
      <c r="BC450" s="25" t="n"/>
      <c r="BD450" s="23" t="n"/>
      <c r="BE450" s="23">
        <f>IF(C450="","",IF(AND(ISNUMBER(P450),P450&gt;MAX_PRICE),"Price too high",IF(AND(ISNUMBER(AB450),AB450&lt;=2),"Quality risk",IF(AND(ISNUMBER(U450),U450&lt;=2),"Aesthetic mismatch",IF(AY450="High","Too fragile",IF(AND(ISNUMBER(R450),R450&lt;LOW_PROFIT_PCT),"Low profit",IF(AND(ISNUMBER(AT450),AT450&gt;MOQ_WARNING),"MOQ too high",IF(OR(AD450="Maybe",AD450="Price Review"),"Needs partner review",IF(AD450="Buy","Good candidate","")))))))))</f>
        <v/>
      </c>
      <c r="BF450" s="23" t="n"/>
      <c r="BG450" s="23" t="n"/>
      <c r="BH450" s="23" t="n"/>
      <c r="BI450" s="23" t="n"/>
      <c r="BJ450" s="23" t="n"/>
      <c r="BK450" s="23" t="n"/>
      <c r="BL450" s="23">
        <f>IF(C450="","",IF(AND(BG450="Yes",BH450="Yes",BI450="Yes",BJ450="Yes",BK450="Yes"),"Yes","No"))</f>
        <v/>
      </c>
      <c r="BM450" s="25" t="n"/>
      <c r="BN450" s="25" t="n"/>
      <c r="BO450" s="25">
        <f>IF(OR(BM450="",BN450=""),"",BM450+BN450)</f>
        <v/>
      </c>
      <c r="BP450" s="25" t="n"/>
      <c r="BQ450" s="25">
        <f>IF(OR(BP450="",BO450=""),"",BP450-BO450)</f>
        <v/>
      </c>
      <c r="BR450" s="26">
        <f>IF(OR(BP450="",BP450=0,BQ450=""),"",BQ450/BP450)</f>
        <v/>
      </c>
      <c r="BS450" s="24" t="n"/>
      <c r="BT450" s="29" t="n"/>
      <c r="BU450" s="29" t="n"/>
      <c r="BV450" s="23" t="n"/>
      <c r="BW450" s="23" t="n"/>
      <c r="BX450" s="29">
        <f>IF(OR(BT450="",BU450=""),"",BT450-BU450)</f>
        <v/>
      </c>
      <c r="BY450" s="23" t="n"/>
      <c r="BZ450" s="24" t="n"/>
      <c r="CA450" s="23" t="n"/>
      <c r="CB450" s="23" t="n"/>
    </row>
    <row r="451">
      <c r="A451" s="16">
        <f>IF(C451="","","AYN-"&amp;IFERROR(VLOOKUP(E451,CATEGORY_PREFIX_TABLE,2,FALSE),"OTH")&amp;"-"&amp;TEXT(ROW()-2,"0000"))</f>
        <v/>
      </c>
      <c r="B451" s="17" t="n"/>
      <c r="C451" s="16" t="n"/>
      <c r="D451" s="16" t="n"/>
      <c r="E451" s="16" t="n"/>
      <c r="F451" s="16" t="n"/>
      <c r="G451" s="16" t="n"/>
      <c r="H451" s="16" t="n"/>
      <c r="I451" s="16" t="n"/>
      <c r="J451" s="16" t="n"/>
      <c r="K451" s="18">
        <f>IF(I451="","",IF(J451="BDT",I451,IF(J451="USD",I451*USD_BDT,IF(J451="RMB",I451*RMB_BDT,""))))</f>
        <v/>
      </c>
      <c r="L451" s="18" t="n"/>
      <c r="M451" s="19" t="n"/>
      <c r="N451" s="18" t="n"/>
      <c r="O451" s="18">
        <f>IF(K451="","",K451+IFERROR(L451,0)+(K451*IF(M451="",CUSTOMS_PCT,M451))+IF(N451="",MISC_FEE,N451))</f>
        <v/>
      </c>
      <c r="P451" s="18">
        <f>IF(O451="","",ROUND(O451*(1+MARKUP_PCT),-1)-1)</f>
        <v/>
      </c>
      <c r="Q451" s="18">
        <f>IF(P451="","",P451-O451)</f>
        <v/>
      </c>
      <c r="R451" s="19">
        <f>IF(OR(P451="",P451=0),"",Q451/P451)</f>
        <v/>
      </c>
      <c r="S451" s="16" t="n"/>
      <c r="T451" s="16" t="n"/>
      <c r="U451" s="16" t="n"/>
      <c r="V451" s="16" t="n"/>
      <c r="W451" s="16" t="n"/>
      <c r="X451" s="16" t="n"/>
      <c r="Y451" s="16" t="n"/>
      <c r="Z451" s="16" t="n"/>
      <c r="AA451" s="16" t="n"/>
      <c r="AB451" s="16" t="n"/>
      <c r="AC451" s="20">
        <f>IF(COUNT(S451:AB451)&lt;10,"",(S451*W_FEMININE+T451*W_TREND+U451*W_AESTHETIC+V451*W_STYLE+W451*W_LIGHT+X451*W_REELS+Y451*W_GIFT+Z451*W_PRICEFIT+AA451*W_DEMAND+AB451*W_QUALITY)/5*100)</f>
        <v/>
      </c>
      <c r="AD451" s="16">
        <f>IF(P451="","",IF(P451&gt;HARD_REJECT_PRICE,"Reject",IF(P451&gt;MAX_PRICE,"Price Review",IF(AC451="","",IF(AND(AC451&gt;=BUY_THRESHOLD,OR(AB451&lt;=2,U451&lt;=2)),"Maybe",IF(AC451&gt;=BUY_THRESHOLD,"Buy",IF(AC451&gt;=MAYBE_THRESHOLD,"Maybe","Reject")))))))</f>
        <v/>
      </c>
      <c r="AE451" s="16" t="n"/>
      <c r="AF451" s="16" t="n"/>
      <c r="AG451" s="16" t="n"/>
      <c r="AH451" s="16" t="n"/>
      <c r="AI451" s="17" t="n"/>
      <c r="AJ451">
        <f>IF(AC451="",-9999-ROW()*0.0000001,AC451-ROW()*0.0000001)</f>
        <v/>
      </c>
      <c r="AK451">
        <f>IF(OR(AC451="",P451="",P451&gt;MAX_PRICE),-9999-ROW()*0.0000001,AC451-ROW()*0.0000001)</f>
        <v/>
      </c>
      <c r="AL451">
        <f>IF(AC451="",-9999-ROW()*0.0000001,X451*1000+AC451-ROW()*0.0000001)</f>
        <v/>
      </c>
      <c r="AM451">
        <f>IF(AC451="",-9999-ROW()*0.0000001,Y451*1000+AC451-ROW()*0.0000001)</f>
        <v/>
      </c>
      <c r="AN451">
        <f>IF(AND(OR(AD451="Maybe",AD451="Price Review"),AG451&lt;&gt;"Approved",AG451&lt;&gt;"Rejected"),IF(AC451="",0,AC451)-ROW()*0.0000001,-9999-ROW()*0.0000001)</f>
        <v/>
      </c>
      <c r="AO451" s="21" t="n"/>
      <c r="AP451" s="21" t="n"/>
      <c r="AQ451" s="22" t="n"/>
      <c r="AR451" s="22" t="n"/>
      <c r="AS451" s="16" t="n"/>
      <c r="AT451" s="22" t="n"/>
      <c r="AU451" s="22" t="n"/>
      <c r="AV451" s="22" t="n"/>
      <c r="AW451" s="18">
        <f>IF(OR(O451="",AV451=""),"",O451*AV451)</f>
        <v/>
      </c>
      <c r="AX451" s="16" t="n"/>
      <c r="AY451" s="16" t="n"/>
      <c r="AZ451" s="16" t="n"/>
      <c r="BA451" s="16" t="n"/>
      <c r="BB451" s="16" t="n"/>
      <c r="BC451" s="18" t="n"/>
      <c r="BD451" s="16" t="n"/>
      <c r="BE451" s="16">
        <f>IF(C451="","",IF(AND(ISNUMBER(P451),P451&gt;MAX_PRICE),"Price too high",IF(AND(ISNUMBER(AB451),AB451&lt;=2),"Quality risk",IF(AND(ISNUMBER(U451),U451&lt;=2),"Aesthetic mismatch",IF(AY451="High","Too fragile",IF(AND(ISNUMBER(R451),R451&lt;LOW_PROFIT_PCT),"Low profit",IF(AND(ISNUMBER(AT451),AT451&gt;MOQ_WARNING),"MOQ too high",IF(OR(AD451="Maybe",AD451="Price Review"),"Needs partner review",IF(AD451="Buy","Good candidate","")))))))))</f>
        <v/>
      </c>
      <c r="BF451" s="16" t="n"/>
      <c r="BG451" s="16" t="n"/>
      <c r="BH451" s="16" t="n"/>
      <c r="BI451" s="16" t="n"/>
      <c r="BJ451" s="16" t="n"/>
      <c r="BK451" s="16" t="n"/>
      <c r="BL451" s="16">
        <f>IF(C451="","",IF(AND(BG451="Yes",BH451="Yes",BI451="Yes",BJ451="Yes",BK451="Yes"),"Yes","No"))</f>
        <v/>
      </c>
      <c r="BM451" s="18" t="n"/>
      <c r="BN451" s="18" t="n"/>
      <c r="BO451" s="18">
        <f>IF(OR(BM451="",BN451=""),"",BM451+BN451)</f>
        <v/>
      </c>
      <c r="BP451" s="18" t="n"/>
      <c r="BQ451" s="18">
        <f>IF(OR(BP451="",BO451=""),"",BP451-BO451)</f>
        <v/>
      </c>
      <c r="BR451" s="19">
        <f>IF(OR(BP451="",BP451=0,BQ451=""),"",BQ451/BP451)</f>
        <v/>
      </c>
      <c r="BS451" s="17" t="n"/>
      <c r="BT451" s="22" t="n"/>
      <c r="BU451" s="22" t="n"/>
      <c r="BV451" s="16" t="n"/>
      <c r="BW451" s="16" t="n"/>
      <c r="BX451" s="22">
        <f>IF(OR(BT451="",BU451=""),"",BT451-BU451)</f>
        <v/>
      </c>
      <c r="BY451" s="16" t="n"/>
      <c r="BZ451" s="17" t="n"/>
      <c r="CA451" s="16" t="n"/>
      <c r="CB451" s="16" t="n"/>
    </row>
    <row r="452">
      <c r="A452" s="23">
        <f>IF(C452="","","AYN-"&amp;IFERROR(VLOOKUP(E452,CATEGORY_PREFIX_TABLE,2,FALSE),"OTH")&amp;"-"&amp;TEXT(ROW()-2,"0000"))</f>
        <v/>
      </c>
      <c r="B452" s="24" t="n"/>
      <c r="C452" s="23" t="n"/>
      <c r="D452" s="23" t="n"/>
      <c r="E452" s="23" t="n"/>
      <c r="F452" s="23" t="n"/>
      <c r="G452" s="23" t="n"/>
      <c r="H452" s="23" t="n"/>
      <c r="I452" s="23" t="n"/>
      <c r="J452" s="23" t="n"/>
      <c r="K452" s="25">
        <f>IF(I452="","",IF(J452="BDT",I452,IF(J452="USD",I452*USD_BDT,IF(J452="RMB",I452*RMB_BDT,""))))</f>
        <v/>
      </c>
      <c r="L452" s="25" t="n"/>
      <c r="M452" s="26" t="n"/>
      <c r="N452" s="25" t="n"/>
      <c r="O452" s="25">
        <f>IF(K452="","",K452+IFERROR(L452,0)+(K452*IF(M452="",CUSTOMS_PCT,M452))+IF(N452="",MISC_FEE,N452))</f>
        <v/>
      </c>
      <c r="P452" s="25">
        <f>IF(O452="","",ROUND(O452*(1+MARKUP_PCT),-1)-1)</f>
        <v/>
      </c>
      <c r="Q452" s="25">
        <f>IF(P452="","",P452-O452)</f>
        <v/>
      </c>
      <c r="R452" s="26">
        <f>IF(OR(P452="",P452=0),"",Q452/P452)</f>
        <v/>
      </c>
      <c r="S452" s="23" t="n"/>
      <c r="T452" s="23" t="n"/>
      <c r="U452" s="23" t="n"/>
      <c r="V452" s="23" t="n"/>
      <c r="W452" s="23" t="n"/>
      <c r="X452" s="23" t="n"/>
      <c r="Y452" s="23" t="n"/>
      <c r="Z452" s="23" t="n"/>
      <c r="AA452" s="23" t="n"/>
      <c r="AB452" s="23" t="n"/>
      <c r="AC452" s="27">
        <f>IF(COUNT(S452:AB452)&lt;10,"",(S452*W_FEMININE+T452*W_TREND+U452*W_AESTHETIC+V452*W_STYLE+W452*W_LIGHT+X452*W_REELS+Y452*W_GIFT+Z452*W_PRICEFIT+AA452*W_DEMAND+AB452*W_QUALITY)/5*100)</f>
        <v/>
      </c>
      <c r="AD452" s="23">
        <f>IF(P452="","",IF(P452&gt;HARD_REJECT_PRICE,"Reject",IF(P452&gt;MAX_PRICE,"Price Review",IF(AC452="","",IF(AND(AC452&gt;=BUY_THRESHOLD,OR(AB452&lt;=2,U452&lt;=2)),"Maybe",IF(AC452&gt;=BUY_THRESHOLD,"Buy",IF(AC452&gt;=MAYBE_THRESHOLD,"Maybe","Reject")))))))</f>
        <v/>
      </c>
      <c r="AE452" s="23" t="n"/>
      <c r="AF452" s="23" t="n"/>
      <c r="AG452" s="23" t="n"/>
      <c r="AH452" s="23" t="n"/>
      <c r="AI452" s="24" t="n"/>
      <c r="AJ452">
        <f>IF(AC452="",-9999-ROW()*0.0000001,AC452-ROW()*0.0000001)</f>
        <v/>
      </c>
      <c r="AK452">
        <f>IF(OR(AC452="",P452="",P452&gt;MAX_PRICE),-9999-ROW()*0.0000001,AC452-ROW()*0.0000001)</f>
        <v/>
      </c>
      <c r="AL452">
        <f>IF(AC452="",-9999-ROW()*0.0000001,X452*1000+AC452-ROW()*0.0000001)</f>
        <v/>
      </c>
      <c r="AM452">
        <f>IF(AC452="",-9999-ROW()*0.0000001,Y452*1000+AC452-ROW()*0.0000001)</f>
        <v/>
      </c>
      <c r="AN452">
        <f>IF(AND(OR(AD452="Maybe",AD452="Price Review"),AG452&lt;&gt;"Approved",AG452&lt;&gt;"Rejected"),IF(AC452="",0,AC452)-ROW()*0.0000001,-9999-ROW()*0.0000001)</f>
        <v/>
      </c>
      <c r="AO452" s="28" t="n"/>
      <c r="AP452" s="28" t="n"/>
      <c r="AQ452" s="29" t="n"/>
      <c r="AR452" s="29" t="n"/>
      <c r="AS452" s="23" t="n"/>
      <c r="AT452" s="29" t="n"/>
      <c r="AU452" s="29" t="n"/>
      <c r="AV452" s="29" t="n"/>
      <c r="AW452" s="25">
        <f>IF(OR(O452="",AV452=""),"",O452*AV452)</f>
        <v/>
      </c>
      <c r="AX452" s="23" t="n"/>
      <c r="AY452" s="23" t="n"/>
      <c r="AZ452" s="23" t="n"/>
      <c r="BA452" s="23" t="n"/>
      <c r="BB452" s="23" t="n"/>
      <c r="BC452" s="25" t="n"/>
      <c r="BD452" s="23" t="n"/>
      <c r="BE452" s="23">
        <f>IF(C452="","",IF(AND(ISNUMBER(P452),P452&gt;MAX_PRICE),"Price too high",IF(AND(ISNUMBER(AB452),AB452&lt;=2),"Quality risk",IF(AND(ISNUMBER(U452),U452&lt;=2),"Aesthetic mismatch",IF(AY452="High","Too fragile",IF(AND(ISNUMBER(R452),R452&lt;LOW_PROFIT_PCT),"Low profit",IF(AND(ISNUMBER(AT452),AT452&gt;MOQ_WARNING),"MOQ too high",IF(OR(AD452="Maybe",AD452="Price Review"),"Needs partner review",IF(AD452="Buy","Good candidate","")))))))))</f>
        <v/>
      </c>
      <c r="BF452" s="23" t="n"/>
      <c r="BG452" s="23" t="n"/>
      <c r="BH452" s="23" t="n"/>
      <c r="BI452" s="23" t="n"/>
      <c r="BJ452" s="23" t="n"/>
      <c r="BK452" s="23" t="n"/>
      <c r="BL452" s="23">
        <f>IF(C452="","",IF(AND(BG452="Yes",BH452="Yes",BI452="Yes",BJ452="Yes",BK452="Yes"),"Yes","No"))</f>
        <v/>
      </c>
      <c r="BM452" s="25" t="n"/>
      <c r="BN452" s="25" t="n"/>
      <c r="BO452" s="25">
        <f>IF(OR(BM452="",BN452=""),"",BM452+BN452)</f>
        <v/>
      </c>
      <c r="BP452" s="25" t="n"/>
      <c r="BQ452" s="25">
        <f>IF(OR(BP452="",BO452=""),"",BP452-BO452)</f>
        <v/>
      </c>
      <c r="BR452" s="26">
        <f>IF(OR(BP452="",BP452=0,BQ452=""),"",BQ452/BP452)</f>
        <v/>
      </c>
      <c r="BS452" s="24" t="n"/>
      <c r="BT452" s="29" t="n"/>
      <c r="BU452" s="29" t="n"/>
      <c r="BV452" s="23" t="n"/>
      <c r="BW452" s="23" t="n"/>
      <c r="BX452" s="29">
        <f>IF(OR(BT452="",BU452=""),"",BT452-BU452)</f>
        <v/>
      </c>
      <c r="BY452" s="23" t="n"/>
      <c r="BZ452" s="24" t="n"/>
      <c r="CA452" s="23" t="n"/>
      <c r="CB452" s="23" t="n"/>
    </row>
    <row r="453">
      <c r="A453" s="16">
        <f>IF(C453="","","AYN-"&amp;IFERROR(VLOOKUP(E453,CATEGORY_PREFIX_TABLE,2,FALSE),"OTH")&amp;"-"&amp;TEXT(ROW()-2,"0000"))</f>
        <v/>
      </c>
      <c r="B453" s="17" t="n"/>
      <c r="C453" s="16" t="n"/>
      <c r="D453" s="16" t="n"/>
      <c r="E453" s="16" t="n"/>
      <c r="F453" s="16" t="n"/>
      <c r="G453" s="16" t="n"/>
      <c r="H453" s="16" t="n"/>
      <c r="I453" s="16" t="n"/>
      <c r="J453" s="16" t="n"/>
      <c r="K453" s="18">
        <f>IF(I453="","",IF(J453="BDT",I453,IF(J453="USD",I453*USD_BDT,IF(J453="RMB",I453*RMB_BDT,""))))</f>
        <v/>
      </c>
      <c r="L453" s="18" t="n"/>
      <c r="M453" s="19" t="n"/>
      <c r="N453" s="18" t="n"/>
      <c r="O453" s="18">
        <f>IF(K453="","",K453+IFERROR(L453,0)+(K453*IF(M453="",CUSTOMS_PCT,M453))+IF(N453="",MISC_FEE,N453))</f>
        <v/>
      </c>
      <c r="P453" s="18">
        <f>IF(O453="","",ROUND(O453*(1+MARKUP_PCT),-1)-1)</f>
        <v/>
      </c>
      <c r="Q453" s="18">
        <f>IF(P453="","",P453-O453)</f>
        <v/>
      </c>
      <c r="R453" s="19">
        <f>IF(OR(P453="",P453=0),"",Q453/P453)</f>
        <v/>
      </c>
      <c r="S453" s="16" t="n"/>
      <c r="T453" s="16" t="n"/>
      <c r="U453" s="16" t="n"/>
      <c r="V453" s="16" t="n"/>
      <c r="W453" s="16" t="n"/>
      <c r="X453" s="16" t="n"/>
      <c r="Y453" s="16" t="n"/>
      <c r="Z453" s="16" t="n"/>
      <c r="AA453" s="16" t="n"/>
      <c r="AB453" s="16" t="n"/>
      <c r="AC453" s="20">
        <f>IF(COUNT(S453:AB453)&lt;10,"",(S453*W_FEMININE+T453*W_TREND+U453*W_AESTHETIC+V453*W_STYLE+W453*W_LIGHT+X453*W_REELS+Y453*W_GIFT+Z453*W_PRICEFIT+AA453*W_DEMAND+AB453*W_QUALITY)/5*100)</f>
        <v/>
      </c>
      <c r="AD453" s="16">
        <f>IF(P453="","",IF(P453&gt;HARD_REJECT_PRICE,"Reject",IF(P453&gt;MAX_PRICE,"Price Review",IF(AC453="","",IF(AND(AC453&gt;=BUY_THRESHOLD,OR(AB453&lt;=2,U453&lt;=2)),"Maybe",IF(AC453&gt;=BUY_THRESHOLD,"Buy",IF(AC453&gt;=MAYBE_THRESHOLD,"Maybe","Reject")))))))</f>
        <v/>
      </c>
      <c r="AE453" s="16" t="n"/>
      <c r="AF453" s="16" t="n"/>
      <c r="AG453" s="16" t="n"/>
      <c r="AH453" s="16" t="n"/>
      <c r="AI453" s="17" t="n"/>
      <c r="AJ453">
        <f>IF(AC453="",-9999-ROW()*0.0000001,AC453-ROW()*0.0000001)</f>
        <v/>
      </c>
      <c r="AK453">
        <f>IF(OR(AC453="",P453="",P453&gt;MAX_PRICE),-9999-ROW()*0.0000001,AC453-ROW()*0.0000001)</f>
        <v/>
      </c>
      <c r="AL453">
        <f>IF(AC453="",-9999-ROW()*0.0000001,X453*1000+AC453-ROW()*0.0000001)</f>
        <v/>
      </c>
      <c r="AM453">
        <f>IF(AC453="",-9999-ROW()*0.0000001,Y453*1000+AC453-ROW()*0.0000001)</f>
        <v/>
      </c>
      <c r="AN453">
        <f>IF(AND(OR(AD453="Maybe",AD453="Price Review"),AG453&lt;&gt;"Approved",AG453&lt;&gt;"Rejected"),IF(AC453="",0,AC453)-ROW()*0.0000001,-9999-ROW()*0.0000001)</f>
        <v/>
      </c>
      <c r="AO453" s="21" t="n"/>
      <c r="AP453" s="21" t="n"/>
      <c r="AQ453" s="22" t="n"/>
      <c r="AR453" s="22" t="n"/>
      <c r="AS453" s="16" t="n"/>
      <c r="AT453" s="22" t="n"/>
      <c r="AU453" s="22" t="n"/>
      <c r="AV453" s="22" t="n"/>
      <c r="AW453" s="18">
        <f>IF(OR(O453="",AV453=""),"",O453*AV453)</f>
        <v/>
      </c>
      <c r="AX453" s="16" t="n"/>
      <c r="AY453" s="16" t="n"/>
      <c r="AZ453" s="16" t="n"/>
      <c r="BA453" s="16" t="n"/>
      <c r="BB453" s="16" t="n"/>
      <c r="BC453" s="18" t="n"/>
      <c r="BD453" s="16" t="n"/>
      <c r="BE453" s="16">
        <f>IF(C453="","",IF(AND(ISNUMBER(P453),P453&gt;MAX_PRICE),"Price too high",IF(AND(ISNUMBER(AB453),AB453&lt;=2),"Quality risk",IF(AND(ISNUMBER(U453),U453&lt;=2),"Aesthetic mismatch",IF(AY453="High","Too fragile",IF(AND(ISNUMBER(R453),R453&lt;LOW_PROFIT_PCT),"Low profit",IF(AND(ISNUMBER(AT453),AT453&gt;MOQ_WARNING),"MOQ too high",IF(OR(AD453="Maybe",AD453="Price Review"),"Needs partner review",IF(AD453="Buy","Good candidate","")))))))))</f>
        <v/>
      </c>
      <c r="BF453" s="16" t="n"/>
      <c r="BG453" s="16" t="n"/>
      <c r="BH453" s="16" t="n"/>
      <c r="BI453" s="16" t="n"/>
      <c r="BJ453" s="16" t="n"/>
      <c r="BK453" s="16" t="n"/>
      <c r="BL453" s="16">
        <f>IF(C453="","",IF(AND(BG453="Yes",BH453="Yes",BI453="Yes",BJ453="Yes",BK453="Yes"),"Yes","No"))</f>
        <v/>
      </c>
      <c r="BM453" s="18" t="n"/>
      <c r="BN453" s="18" t="n"/>
      <c r="BO453" s="18">
        <f>IF(OR(BM453="",BN453=""),"",BM453+BN453)</f>
        <v/>
      </c>
      <c r="BP453" s="18" t="n"/>
      <c r="BQ453" s="18">
        <f>IF(OR(BP453="",BO453=""),"",BP453-BO453)</f>
        <v/>
      </c>
      <c r="BR453" s="19">
        <f>IF(OR(BP453="",BP453=0,BQ453=""),"",BQ453/BP453)</f>
        <v/>
      </c>
      <c r="BS453" s="17" t="n"/>
      <c r="BT453" s="22" t="n"/>
      <c r="BU453" s="22" t="n"/>
      <c r="BV453" s="16" t="n"/>
      <c r="BW453" s="16" t="n"/>
      <c r="BX453" s="22">
        <f>IF(OR(BT453="",BU453=""),"",BT453-BU453)</f>
        <v/>
      </c>
      <c r="BY453" s="16" t="n"/>
      <c r="BZ453" s="17" t="n"/>
      <c r="CA453" s="16" t="n"/>
      <c r="CB453" s="16" t="n"/>
    </row>
    <row r="454">
      <c r="A454" s="23">
        <f>IF(C454="","","AYN-"&amp;IFERROR(VLOOKUP(E454,CATEGORY_PREFIX_TABLE,2,FALSE),"OTH")&amp;"-"&amp;TEXT(ROW()-2,"0000"))</f>
        <v/>
      </c>
      <c r="B454" s="24" t="n"/>
      <c r="C454" s="23" t="n"/>
      <c r="D454" s="23" t="n"/>
      <c r="E454" s="23" t="n"/>
      <c r="F454" s="23" t="n"/>
      <c r="G454" s="23" t="n"/>
      <c r="H454" s="23" t="n"/>
      <c r="I454" s="23" t="n"/>
      <c r="J454" s="23" t="n"/>
      <c r="K454" s="25">
        <f>IF(I454="","",IF(J454="BDT",I454,IF(J454="USD",I454*USD_BDT,IF(J454="RMB",I454*RMB_BDT,""))))</f>
        <v/>
      </c>
      <c r="L454" s="25" t="n"/>
      <c r="M454" s="26" t="n"/>
      <c r="N454" s="25" t="n"/>
      <c r="O454" s="25">
        <f>IF(K454="","",K454+IFERROR(L454,0)+(K454*IF(M454="",CUSTOMS_PCT,M454))+IF(N454="",MISC_FEE,N454))</f>
        <v/>
      </c>
      <c r="P454" s="25">
        <f>IF(O454="","",ROUND(O454*(1+MARKUP_PCT),-1)-1)</f>
        <v/>
      </c>
      <c r="Q454" s="25">
        <f>IF(P454="","",P454-O454)</f>
        <v/>
      </c>
      <c r="R454" s="26">
        <f>IF(OR(P454="",P454=0),"",Q454/P454)</f>
        <v/>
      </c>
      <c r="S454" s="23" t="n"/>
      <c r="T454" s="23" t="n"/>
      <c r="U454" s="23" t="n"/>
      <c r="V454" s="23" t="n"/>
      <c r="W454" s="23" t="n"/>
      <c r="X454" s="23" t="n"/>
      <c r="Y454" s="23" t="n"/>
      <c r="Z454" s="23" t="n"/>
      <c r="AA454" s="23" t="n"/>
      <c r="AB454" s="23" t="n"/>
      <c r="AC454" s="27">
        <f>IF(COUNT(S454:AB454)&lt;10,"",(S454*W_FEMININE+T454*W_TREND+U454*W_AESTHETIC+V454*W_STYLE+W454*W_LIGHT+X454*W_REELS+Y454*W_GIFT+Z454*W_PRICEFIT+AA454*W_DEMAND+AB454*W_QUALITY)/5*100)</f>
        <v/>
      </c>
      <c r="AD454" s="23">
        <f>IF(P454="","",IF(P454&gt;HARD_REJECT_PRICE,"Reject",IF(P454&gt;MAX_PRICE,"Price Review",IF(AC454="","",IF(AND(AC454&gt;=BUY_THRESHOLD,OR(AB454&lt;=2,U454&lt;=2)),"Maybe",IF(AC454&gt;=BUY_THRESHOLD,"Buy",IF(AC454&gt;=MAYBE_THRESHOLD,"Maybe","Reject")))))))</f>
        <v/>
      </c>
      <c r="AE454" s="23" t="n"/>
      <c r="AF454" s="23" t="n"/>
      <c r="AG454" s="23" t="n"/>
      <c r="AH454" s="23" t="n"/>
      <c r="AI454" s="24" t="n"/>
      <c r="AJ454">
        <f>IF(AC454="",-9999-ROW()*0.0000001,AC454-ROW()*0.0000001)</f>
        <v/>
      </c>
      <c r="AK454">
        <f>IF(OR(AC454="",P454="",P454&gt;MAX_PRICE),-9999-ROW()*0.0000001,AC454-ROW()*0.0000001)</f>
        <v/>
      </c>
      <c r="AL454">
        <f>IF(AC454="",-9999-ROW()*0.0000001,X454*1000+AC454-ROW()*0.0000001)</f>
        <v/>
      </c>
      <c r="AM454">
        <f>IF(AC454="",-9999-ROW()*0.0000001,Y454*1000+AC454-ROW()*0.0000001)</f>
        <v/>
      </c>
      <c r="AN454">
        <f>IF(AND(OR(AD454="Maybe",AD454="Price Review"),AG454&lt;&gt;"Approved",AG454&lt;&gt;"Rejected"),IF(AC454="",0,AC454)-ROW()*0.0000001,-9999-ROW()*0.0000001)</f>
        <v/>
      </c>
      <c r="AO454" s="28" t="n"/>
      <c r="AP454" s="28" t="n"/>
      <c r="AQ454" s="29" t="n"/>
      <c r="AR454" s="29" t="n"/>
      <c r="AS454" s="23" t="n"/>
      <c r="AT454" s="29" t="n"/>
      <c r="AU454" s="29" t="n"/>
      <c r="AV454" s="29" t="n"/>
      <c r="AW454" s="25">
        <f>IF(OR(O454="",AV454=""),"",O454*AV454)</f>
        <v/>
      </c>
      <c r="AX454" s="23" t="n"/>
      <c r="AY454" s="23" t="n"/>
      <c r="AZ454" s="23" t="n"/>
      <c r="BA454" s="23" t="n"/>
      <c r="BB454" s="23" t="n"/>
      <c r="BC454" s="25" t="n"/>
      <c r="BD454" s="23" t="n"/>
      <c r="BE454" s="23">
        <f>IF(C454="","",IF(AND(ISNUMBER(P454),P454&gt;MAX_PRICE),"Price too high",IF(AND(ISNUMBER(AB454),AB454&lt;=2),"Quality risk",IF(AND(ISNUMBER(U454),U454&lt;=2),"Aesthetic mismatch",IF(AY454="High","Too fragile",IF(AND(ISNUMBER(R454),R454&lt;LOW_PROFIT_PCT),"Low profit",IF(AND(ISNUMBER(AT454),AT454&gt;MOQ_WARNING),"MOQ too high",IF(OR(AD454="Maybe",AD454="Price Review"),"Needs partner review",IF(AD454="Buy","Good candidate","")))))))))</f>
        <v/>
      </c>
      <c r="BF454" s="23" t="n"/>
      <c r="BG454" s="23" t="n"/>
      <c r="BH454" s="23" t="n"/>
      <c r="BI454" s="23" t="n"/>
      <c r="BJ454" s="23" t="n"/>
      <c r="BK454" s="23" t="n"/>
      <c r="BL454" s="23">
        <f>IF(C454="","",IF(AND(BG454="Yes",BH454="Yes",BI454="Yes",BJ454="Yes",BK454="Yes"),"Yes","No"))</f>
        <v/>
      </c>
      <c r="BM454" s="25" t="n"/>
      <c r="BN454" s="25" t="n"/>
      <c r="BO454" s="25">
        <f>IF(OR(BM454="",BN454=""),"",BM454+BN454)</f>
        <v/>
      </c>
      <c r="BP454" s="25" t="n"/>
      <c r="BQ454" s="25">
        <f>IF(OR(BP454="",BO454=""),"",BP454-BO454)</f>
        <v/>
      </c>
      <c r="BR454" s="26">
        <f>IF(OR(BP454="",BP454=0,BQ454=""),"",BQ454/BP454)</f>
        <v/>
      </c>
      <c r="BS454" s="24" t="n"/>
      <c r="BT454" s="29" t="n"/>
      <c r="BU454" s="29" t="n"/>
      <c r="BV454" s="23" t="n"/>
      <c r="BW454" s="23" t="n"/>
      <c r="BX454" s="29">
        <f>IF(OR(BT454="",BU454=""),"",BT454-BU454)</f>
        <v/>
      </c>
      <c r="BY454" s="23" t="n"/>
      <c r="BZ454" s="24" t="n"/>
      <c r="CA454" s="23" t="n"/>
      <c r="CB454" s="23" t="n"/>
    </row>
    <row r="455">
      <c r="A455" s="16">
        <f>IF(C455="","","AYN-"&amp;IFERROR(VLOOKUP(E455,CATEGORY_PREFIX_TABLE,2,FALSE),"OTH")&amp;"-"&amp;TEXT(ROW()-2,"0000"))</f>
        <v/>
      </c>
      <c r="B455" s="17" t="n"/>
      <c r="C455" s="16" t="n"/>
      <c r="D455" s="16" t="n"/>
      <c r="E455" s="16" t="n"/>
      <c r="F455" s="16" t="n"/>
      <c r="G455" s="16" t="n"/>
      <c r="H455" s="16" t="n"/>
      <c r="I455" s="16" t="n"/>
      <c r="J455" s="16" t="n"/>
      <c r="K455" s="18">
        <f>IF(I455="","",IF(J455="BDT",I455,IF(J455="USD",I455*USD_BDT,IF(J455="RMB",I455*RMB_BDT,""))))</f>
        <v/>
      </c>
      <c r="L455" s="18" t="n"/>
      <c r="M455" s="19" t="n"/>
      <c r="N455" s="18" t="n"/>
      <c r="O455" s="18">
        <f>IF(K455="","",K455+IFERROR(L455,0)+(K455*IF(M455="",CUSTOMS_PCT,M455))+IF(N455="",MISC_FEE,N455))</f>
        <v/>
      </c>
      <c r="P455" s="18">
        <f>IF(O455="","",ROUND(O455*(1+MARKUP_PCT),-1)-1)</f>
        <v/>
      </c>
      <c r="Q455" s="18">
        <f>IF(P455="","",P455-O455)</f>
        <v/>
      </c>
      <c r="R455" s="19">
        <f>IF(OR(P455="",P455=0),"",Q455/P455)</f>
        <v/>
      </c>
      <c r="S455" s="16" t="n"/>
      <c r="T455" s="16" t="n"/>
      <c r="U455" s="16" t="n"/>
      <c r="V455" s="16" t="n"/>
      <c r="W455" s="16" t="n"/>
      <c r="X455" s="16" t="n"/>
      <c r="Y455" s="16" t="n"/>
      <c r="Z455" s="16" t="n"/>
      <c r="AA455" s="16" t="n"/>
      <c r="AB455" s="16" t="n"/>
      <c r="AC455" s="20">
        <f>IF(COUNT(S455:AB455)&lt;10,"",(S455*W_FEMININE+T455*W_TREND+U455*W_AESTHETIC+V455*W_STYLE+W455*W_LIGHT+X455*W_REELS+Y455*W_GIFT+Z455*W_PRICEFIT+AA455*W_DEMAND+AB455*W_QUALITY)/5*100)</f>
        <v/>
      </c>
      <c r="AD455" s="16">
        <f>IF(P455="","",IF(P455&gt;HARD_REJECT_PRICE,"Reject",IF(P455&gt;MAX_PRICE,"Price Review",IF(AC455="","",IF(AND(AC455&gt;=BUY_THRESHOLD,OR(AB455&lt;=2,U455&lt;=2)),"Maybe",IF(AC455&gt;=BUY_THRESHOLD,"Buy",IF(AC455&gt;=MAYBE_THRESHOLD,"Maybe","Reject")))))))</f>
        <v/>
      </c>
      <c r="AE455" s="16" t="n"/>
      <c r="AF455" s="16" t="n"/>
      <c r="AG455" s="16" t="n"/>
      <c r="AH455" s="16" t="n"/>
      <c r="AI455" s="17" t="n"/>
      <c r="AJ455">
        <f>IF(AC455="",-9999-ROW()*0.0000001,AC455-ROW()*0.0000001)</f>
        <v/>
      </c>
      <c r="AK455">
        <f>IF(OR(AC455="",P455="",P455&gt;MAX_PRICE),-9999-ROW()*0.0000001,AC455-ROW()*0.0000001)</f>
        <v/>
      </c>
      <c r="AL455">
        <f>IF(AC455="",-9999-ROW()*0.0000001,X455*1000+AC455-ROW()*0.0000001)</f>
        <v/>
      </c>
      <c r="AM455">
        <f>IF(AC455="",-9999-ROW()*0.0000001,Y455*1000+AC455-ROW()*0.0000001)</f>
        <v/>
      </c>
      <c r="AN455">
        <f>IF(AND(OR(AD455="Maybe",AD455="Price Review"),AG455&lt;&gt;"Approved",AG455&lt;&gt;"Rejected"),IF(AC455="",0,AC455)-ROW()*0.0000001,-9999-ROW()*0.0000001)</f>
        <v/>
      </c>
      <c r="AO455" s="21" t="n"/>
      <c r="AP455" s="21" t="n"/>
      <c r="AQ455" s="22" t="n"/>
      <c r="AR455" s="22" t="n"/>
      <c r="AS455" s="16" t="n"/>
      <c r="AT455" s="22" t="n"/>
      <c r="AU455" s="22" t="n"/>
      <c r="AV455" s="22" t="n"/>
      <c r="AW455" s="18">
        <f>IF(OR(O455="",AV455=""),"",O455*AV455)</f>
        <v/>
      </c>
      <c r="AX455" s="16" t="n"/>
      <c r="AY455" s="16" t="n"/>
      <c r="AZ455" s="16" t="n"/>
      <c r="BA455" s="16" t="n"/>
      <c r="BB455" s="16" t="n"/>
      <c r="BC455" s="18" t="n"/>
      <c r="BD455" s="16" t="n"/>
      <c r="BE455" s="16">
        <f>IF(C455="","",IF(AND(ISNUMBER(P455),P455&gt;MAX_PRICE),"Price too high",IF(AND(ISNUMBER(AB455),AB455&lt;=2),"Quality risk",IF(AND(ISNUMBER(U455),U455&lt;=2),"Aesthetic mismatch",IF(AY455="High","Too fragile",IF(AND(ISNUMBER(R455),R455&lt;LOW_PROFIT_PCT),"Low profit",IF(AND(ISNUMBER(AT455),AT455&gt;MOQ_WARNING),"MOQ too high",IF(OR(AD455="Maybe",AD455="Price Review"),"Needs partner review",IF(AD455="Buy","Good candidate","")))))))))</f>
        <v/>
      </c>
      <c r="BF455" s="16" t="n"/>
      <c r="BG455" s="16" t="n"/>
      <c r="BH455" s="16" t="n"/>
      <c r="BI455" s="16" t="n"/>
      <c r="BJ455" s="16" t="n"/>
      <c r="BK455" s="16" t="n"/>
      <c r="BL455" s="16">
        <f>IF(C455="","",IF(AND(BG455="Yes",BH455="Yes",BI455="Yes",BJ455="Yes",BK455="Yes"),"Yes","No"))</f>
        <v/>
      </c>
      <c r="BM455" s="18" t="n"/>
      <c r="BN455" s="18" t="n"/>
      <c r="BO455" s="18">
        <f>IF(OR(BM455="",BN455=""),"",BM455+BN455)</f>
        <v/>
      </c>
      <c r="BP455" s="18" t="n"/>
      <c r="BQ455" s="18">
        <f>IF(OR(BP455="",BO455=""),"",BP455-BO455)</f>
        <v/>
      </c>
      <c r="BR455" s="19">
        <f>IF(OR(BP455="",BP455=0,BQ455=""),"",BQ455/BP455)</f>
        <v/>
      </c>
      <c r="BS455" s="17" t="n"/>
      <c r="BT455" s="22" t="n"/>
      <c r="BU455" s="22" t="n"/>
      <c r="BV455" s="16" t="n"/>
      <c r="BW455" s="16" t="n"/>
      <c r="BX455" s="22">
        <f>IF(OR(BT455="",BU455=""),"",BT455-BU455)</f>
        <v/>
      </c>
      <c r="BY455" s="16" t="n"/>
      <c r="BZ455" s="17" t="n"/>
      <c r="CA455" s="16" t="n"/>
      <c r="CB455" s="16" t="n"/>
    </row>
    <row r="456">
      <c r="A456" s="23">
        <f>IF(C456="","","AYN-"&amp;IFERROR(VLOOKUP(E456,CATEGORY_PREFIX_TABLE,2,FALSE),"OTH")&amp;"-"&amp;TEXT(ROW()-2,"0000"))</f>
        <v/>
      </c>
      <c r="B456" s="24" t="n"/>
      <c r="C456" s="23" t="n"/>
      <c r="D456" s="23" t="n"/>
      <c r="E456" s="23" t="n"/>
      <c r="F456" s="23" t="n"/>
      <c r="G456" s="23" t="n"/>
      <c r="H456" s="23" t="n"/>
      <c r="I456" s="23" t="n"/>
      <c r="J456" s="23" t="n"/>
      <c r="K456" s="25">
        <f>IF(I456="","",IF(J456="BDT",I456,IF(J456="USD",I456*USD_BDT,IF(J456="RMB",I456*RMB_BDT,""))))</f>
        <v/>
      </c>
      <c r="L456" s="25" t="n"/>
      <c r="M456" s="26" t="n"/>
      <c r="N456" s="25" t="n"/>
      <c r="O456" s="25">
        <f>IF(K456="","",K456+IFERROR(L456,0)+(K456*IF(M456="",CUSTOMS_PCT,M456))+IF(N456="",MISC_FEE,N456))</f>
        <v/>
      </c>
      <c r="P456" s="25">
        <f>IF(O456="","",ROUND(O456*(1+MARKUP_PCT),-1)-1)</f>
        <v/>
      </c>
      <c r="Q456" s="25">
        <f>IF(P456="","",P456-O456)</f>
        <v/>
      </c>
      <c r="R456" s="26">
        <f>IF(OR(P456="",P456=0),"",Q456/P456)</f>
        <v/>
      </c>
      <c r="S456" s="23" t="n"/>
      <c r="T456" s="23" t="n"/>
      <c r="U456" s="23" t="n"/>
      <c r="V456" s="23" t="n"/>
      <c r="W456" s="23" t="n"/>
      <c r="X456" s="23" t="n"/>
      <c r="Y456" s="23" t="n"/>
      <c r="Z456" s="23" t="n"/>
      <c r="AA456" s="23" t="n"/>
      <c r="AB456" s="23" t="n"/>
      <c r="AC456" s="27">
        <f>IF(COUNT(S456:AB456)&lt;10,"",(S456*W_FEMININE+T456*W_TREND+U456*W_AESTHETIC+V456*W_STYLE+W456*W_LIGHT+X456*W_REELS+Y456*W_GIFT+Z456*W_PRICEFIT+AA456*W_DEMAND+AB456*W_QUALITY)/5*100)</f>
        <v/>
      </c>
      <c r="AD456" s="23">
        <f>IF(P456="","",IF(P456&gt;HARD_REJECT_PRICE,"Reject",IF(P456&gt;MAX_PRICE,"Price Review",IF(AC456="","",IF(AND(AC456&gt;=BUY_THRESHOLD,OR(AB456&lt;=2,U456&lt;=2)),"Maybe",IF(AC456&gt;=BUY_THRESHOLD,"Buy",IF(AC456&gt;=MAYBE_THRESHOLD,"Maybe","Reject")))))))</f>
        <v/>
      </c>
      <c r="AE456" s="23" t="n"/>
      <c r="AF456" s="23" t="n"/>
      <c r="AG456" s="23" t="n"/>
      <c r="AH456" s="23" t="n"/>
      <c r="AI456" s="24" t="n"/>
      <c r="AJ456">
        <f>IF(AC456="",-9999-ROW()*0.0000001,AC456-ROW()*0.0000001)</f>
        <v/>
      </c>
      <c r="AK456">
        <f>IF(OR(AC456="",P456="",P456&gt;MAX_PRICE),-9999-ROW()*0.0000001,AC456-ROW()*0.0000001)</f>
        <v/>
      </c>
      <c r="AL456">
        <f>IF(AC456="",-9999-ROW()*0.0000001,X456*1000+AC456-ROW()*0.0000001)</f>
        <v/>
      </c>
      <c r="AM456">
        <f>IF(AC456="",-9999-ROW()*0.0000001,Y456*1000+AC456-ROW()*0.0000001)</f>
        <v/>
      </c>
      <c r="AN456">
        <f>IF(AND(OR(AD456="Maybe",AD456="Price Review"),AG456&lt;&gt;"Approved",AG456&lt;&gt;"Rejected"),IF(AC456="",0,AC456)-ROW()*0.0000001,-9999-ROW()*0.0000001)</f>
        <v/>
      </c>
      <c r="AO456" s="28" t="n"/>
      <c r="AP456" s="28" t="n"/>
      <c r="AQ456" s="29" t="n"/>
      <c r="AR456" s="29" t="n"/>
      <c r="AS456" s="23" t="n"/>
      <c r="AT456" s="29" t="n"/>
      <c r="AU456" s="29" t="n"/>
      <c r="AV456" s="29" t="n"/>
      <c r="AW456" s="25">
        <f>IF(OR(O456="",AV456=""),"",O456*AV456)</f>
        <v/>
      </c>
      <c r="AX456" s="23" t="n"/>
      <c r="AY456" s="23" t="n"/>
      <c r="AZ456" s="23" t="n"/>
      <c r="BA456" s="23" t="n"/>
      <c r="BB456" s="23" t="n"/>
      <c r="BC456" s="25" t="n"/>
      <c r="BD456" s="23" t="n"/>
      <c r="BE456" s="23">
        <f>IF(C456="","",IF(AND(ISNUMBER(P456),P456&gt;MAX_PRICE),"Price too high",IF(AND(ISNUMBER(AB456),AB456&lt;=2),"Quality risk",IF(AND(ISNUMBER(U456),U456&lt;=2),"Aesthetic mismatch",IF(AY456="High","Too fragile",IF(AND(ISNUMBER(R456),R456&lt;LOW_PROFIT_PCT),"Low profit",IF(AND(ISNUMBER(AT456),AT456&gt;MOQ_WARNING),"MOQ too high",IF(OR(AD456="Maybe",AD456="Price Review"),"Needs partner review",IF(AD456="Buy","Good candidate","")))))))))</f>
        <v/>
      </c>
      <c r="BF456" s="23" t="n"/>
      <c r="BG456" s="23" t="n"/>
      <c r="BH456" s="23" t="n"/>
      <c r="BI456" s="23" t="n"/>
      <c r="BJ456" s="23" t="n"/>
      <c r="BK456" s="23" t="n"/>
      <c r="BL456" s="23">
        <f>IF(C456="","",IF(AND(BG456="Yes",BH456="Yes",BI456="Yes",BJ456="Yes",BK456="Yes"),"Yes","No"))</f>
        <v/>
      </c>
      <c r="BM456" s="25" t="n"/>
      <c r="BN456" s="25" t="n"/>
      <c r="BO456" s="25">
        <f>IF(OR(BM456="",BN456=""),"",BM456+BN456)</f>
        <v/>
      </c>
      <c r="BP456" s="25" t="n"/>
      <c r="BQ456" s="25">
        <f>IF(OR(BP456="",BO456=""),"",BP456-BO456)</f>
        <v/>
      </c>
      <c r="BR456" s="26">
        <f>IF(OR(BP456="",BP456=0,BQ456=""),"",BQ456/BP456)</f>
        <v/>
      </c>
      <c r="BS456" s="24" t="n"/>
      <c r="BT456" s="29" t="n"/>
      <c r="BU456" s="29" t="n"/>
      <c r="BV456" s="23" t="n"/>
      <c r="BW456" s="23" t="n"/>
      <c r="BX456" s="29">
        <f>IF(OR(BT456="",BU456=""),"",BT456-BU456)</f>
        <v/>
      </c>
      <c r="BY456" s="23" t="n"/>
      <c r="BZ456" s="24" t="n"/>
      <c r="CA456" s="23" t="n"/>
      <c r="CB456" s="23" t="n"/>
    </row>
    <row r="457">
      <c r="A457" s="16">
        <f>IF(C457="","","AYN-"&amp;IFERROR(VLOOKUP(E457,CATEGORY_PREFIX_TABLE,2,FALSE),"OTH")&amp;"-"&amp;TEXT(ROW()-2,"0000"))</f>
        <v/>
      </c>
      <c r="B457" s="17" t="n"/>
      <c r="C457" s="16" t="n"/>
      <c r="D457" s="16" t="n"/>
      <c r="E457" s="16" t="n"/>
      <c r="F457" s="16" t="n"/>
      <c r="G457" s="16" t="n"/>
      <c r="H457" s="16" t="n"/>
      <c r="I457" s="16" t="n"/>
      <c r="J457" s="16" t="n"/>
      <c r="K457" s="18">
        <f>IF(I457="","",IF(J457="BDT",I457,IF(J457="USD",I457*USD_BDT,IF(J457="RMB",I457*RMB_BDT,""))))</f>
        <v/>
      </c>
      <c r="L457" s="18" t="n"/>
      <c r="M457" s="19" t="n"/>
      <c r="N457" s="18" t="n"/>
      <c r="O457" s="18">
        <f>IF(K457="","",K457+IFERROR(L457,0)+(K457*IF(M457="",CUSTOMS_PCT,M457))+IF(N457="",MISC_FEE,N457))</f>
        <v/>
      </c>
      <c r="P457" s="18">
        <f>IF(O457="","",ROUND(O457*(1+MARKUP_PCT),-1)-1)</f>
        <v/>
      </c>
      <c r="Q457" s="18">
        <f>IF(P457="","",P457-O457)</f>
        <v/>
      </c>
      <c r="R457" s="19">
        <f>IF(OR(P457="",P457=0),"",Q457/P457)</f>
        <v/>
      </c>
      <c r="S457" s="16" t="n"/>
      <c r="T457" s="16" t="n"/>
      <c r="U457" s="16" t="n"/>
      <c r="V457" s="16" t="n"/>
      <c r="W457" s="16" t="n"/>
      <c r="X457" s="16" t="n"/>
      <c r="Y457" s="16" t="n"/>
      <c r="Z457" s="16" t="n"/>
      <c r="AA457" s="16" t="n"/>
      <c r="AB457" s="16" t="n"/>
      <c r="AC457" s="20">
        <f>IF(COUNT(S457:AB457)&lt;10,"",(S457*W_FEMININE+T457*W_TREND+U457*W_AESTHETIC+V457*W_STYLE+W457*W_LIGHT+X457*W_REELS+Y457*W_GIFT+Z457*W_PRICEFIT+AA457*W_DEMAND+AB457*W_QUALITY)/5*100)</f>
        <v/>
      </c>
      <c r="AD457" s="16">
        <f>IF(P457="","",IF(P457&gt;HARD_REJECT_PRICE,"Reject",IF(P457&gt;MAX_PRICE,"Price Review",IF(AC457="","",IF(AND(AC457&gt;=BUY_THRESHOLD,OR(AB457&lt;=2,U457&lt;=2)),"Maybe",IF(AC457&gt;=BUY_THRESHOLD,"Buy",IF(AC457&gt;=MAYBE_THRESHOLD,"Maybe","Reject")))))))</f>
        <v/>
      </c>
      <c r="AE457" s="16" t="n"/>
      <c r="AF457" s="16" t="n"/>
      <c r="AG457" s="16" t="n"/>
      <c r="AH457" s="16" t="n"/>
      <c r="AI457" s="17" t="n"/>
      <c r="AJ457">
        <f>IF(AC457="",-9999-ROW()*0.0000001,AC457-ROW()*0.0000001)</f>
        <v/>
      </c>
      <c r="AK457">
        <f>IF(OR(AC457="",P457="",P457&gt;MAX_PRICE),-9999-ROW()*0.0000001,AC457-ROW()*0.0000001)</f>
        <v/>
      </c>
      <c r="AL457">
        <f>IF(AC457="",-9999-ROW()*0.0000001,X457*1000+AC457-ROW()*0.0000001)</f>
        <v/>
      </c>
      <c r="AM457">
        <f>IF(AC457="",-9999-ROW()*0.0000001,Y457*1000+AC457-ROW()*0.0000001)</f>
        <v/>
      </c>
      <c r="AN457">
        <f>IF(AND(OR(AD457="Maybe",AD457="Price Review"),AG457&lt;&gt;"Approved",AG457&lt;&gt;"Rejected"),IF(AC457="",0,AC457)-ROW()*0.0000001,-9999-ROW()*0.0000001)</f>
        <v/>
      </c>
      <c r="AO457" s="21" t="n"/>
      <c r="AP457" s="21" t="n"/>
      <c r="AQ457" s="22" t="n"/>
      <c r="AR457" s="22" t="n"/>
      <c r="AS457" s="16" t="n"/>
      <c r="AT457" s="22" t="n"/>
      <c r="AU457" s="22" t="n"/>
      <c r="AV457" s="22" t="n"/>
      <c r="AW457" s="18">
        <f>IF(OR(O457="",AV457=""),"",O457*AV457)</f>
        <v/>
      </c>
      <c r="AX457" s="16" t="n"/>
      <c r="AY457" s="16" t="n"/>
      <c r="AZ457" s="16" t="n"/>
      <c r="BA457" s="16" t="n"/>
      <c r="BB457" s="16" t="n"/>
      <c r="BC457" s="18" t="n"/>
      <c r="BD457" s="16" t="n"/>
      <c r="BE457" s="16">
        <f>IF(C457="","",IF(AND(ISNUMBER(P457),P457&gt;MAX_PRICE),"Price too high",IF(AND(ISNUMBER(AB457),AB457&lt;=2),"Quality risk",IF(AND(ISNUMBER(U457),U457&lt;=2),"Aesthetic mismatch",IF(AY457="High","Too fragile",IF(AND(ISNUMBER(R457),R457&lt;LOW_PROFIT_PCT),"Low profit",IF(AND(ISNUMBER(AT457),AT457&gt;MOQ_WARNING),"MOQ too high",IF(OR(AD457="Maybe",AD457="Price Review"),"Needs partner review",IF(AD457="Buy","Good candidate","")))))))))</f>
        <v/>
      </c>
      <c r="BF457" s="16" t="n"/>
      <c r="BG457" s="16" t="n"/>
      <c r="BH457" s="16" t="n"/>
      <c r="BI457" s="16" t="n"/>
      <c r="BJ457" s="16" t="n"/>
      <c r="BK457" s="16" t="n"/>
      <c r="BL457" s="16">
        <f>IF(C457="","",IF(AND(BG457="Yes",BH457="Yes",BI457="Yes",BJ457="Yes",BK457="Yes"),"Yes","No"))</f>
        <v/>
      </c>
      <c r="BM457" s="18" t="n"/>
      <c r="BN457" s="18" t="n"/>
      <c r="BO457" s="18">
        <f>IF(OR(BM457="",BN457=""),"",BM457+BN457)</f>
        <v/>
      </c>
      <c r="BP457" s="18" t="n"/>
      <c r="BQ457" s="18">
        <f>IF(OR(BP457="",BO457=""),"",BP457-BO457)</f>
        <v/>
      </c>
      <c r="BR457" s="19">
        <f>IF(OR(BP457="",BP457=0,BQ457=""),"",BQ457/BP457)</f>
        <v/>
      </c>
      <c r="BS457" s="17" t="n"/>
      <c r="BT457" s="22" t="n"/>
      <c r="BU457" s="22" t="n"/>
      <c r="BV457" s="16" t="n"/>
      <c r="BW457" s="16" t="n"/>
      <c r="BX457" s="22">
        <f>IF(OR(BT457="",BU457=""),"",BT457-BU457)</f>
        <v/>
      </c>
      <c r="BY457" s="16" t="n"/>
      <c r="BZ457" s="17" t="n"/>
      <c r="CA457" s="16" t="n"/>
      <c r="CB457" s="16" t="n"/>
    </row>
    <row r="458">
      <c r="A458" s="23">
        <f>IF(C458="","","AYN-"&amp;IFERROR(VLOOKUP(E458,CATEGORY_PREFIX_TABLE,2,FALSE),"OTH")&amp;"-"&amp;TEXT(ROW()-2,"0000"))</f>
        <v/>
      </c>
      <c r="B458" s="24" t="n"/>
      <c r="C458" s="23" t="n"/>
      <c r="D458" s="23" t="n"/>
      <c r="E458" s="23" t="n"/>
      <c r="F458" s="23" t="n"/>
      <c r="G458" s="23" t="n"/>
      <c r="H458" s="23" t="n"/>
      <c r="I458" s="23" t="n"/>
      <c r="J458" s="23" t="n"/>
      <c r="K458" s="25">
        <f>IF(I458="","",IF(J458="BDT",I458,IF(J458="USD",I458*USD_BDT,IF(J458="RMB",I458*RMB_BDT,""))))</f>
        <v/>
      </c>
      <c r="L458" s="25" t="n"/>
      <c r="M458" s="26" t="n"/>
      <c r="N458" s="25" t="n"/>
      <c r="O458" s="25">
        <f>IF(K458="","",K458+IFERROR(L458,0)+(K458*IF(M458="",CUSTOMS_PCT,M458))+IF(N458="",MISC_FEE,N458))</f>
        <v/>
      </c>
      <c r="P458" s="25">
        <f>IF(O458="","",ROUND(O458*(1+MARKUP_PCT),-1)-1)</f>
        <v/>
      </c>
      <c r="Q458" s="25">
        <f>IF(P458="","",P458-O458)</f>
        <v/>
      </c>
      <c r="R458" s="26">
        <f>IF(OR(P458="",P458=0),"",Q458/P458)</f>
        <v/>
      </c>
      <c r="S458" s="23" t="n"/>
      <c r="T458" s="23" t="n"/>
      <c r="U458" s="23" t="n"/>
      <c r="V458" s="23" t="n"/>
      <c r="W458" s="23" t="n"/>
      <c r="X458" s="23" t="n"/>
      <c r="Y458" s="23" t="n"/>
      <c r="Z458" s="23" t="n"/>
      <c r="AA458" s="23" t="n"/>
      <c r="AB458" s="23" t="n"/>
      <c r="AC458" s="27">
        <f>IF(COUNT(S458:AB458)&lt;10,"",(S458*W_FEMININE+T458*W_TREND+U458*W_AESTHETIC+V458*W_STYLE+W458*W_LIGHT+X458*W_REELS+Y458*W_GIFT+Z458*W_PRICEFIT+AA458*W_DEMAND+AB458*W_QUALITY)/5*100)</f>
        <v/>
      </c>
      <c r="AD458" s="23">
        <f>IF(P458="","",IF(P458&gt;HARD_REJECT_PRICE,"Reject",IF(P458&gt;MAX_PRICE,"Price Review",IF(AC458="","",IF(AND(AC458&gt;=BUY_THRESHOLD,OR(AB458&lt;=2,U458&lt;=2)),"Maybe",IF(AC458&gt;=BUY_THRESHOLD,"Buy",IF(AC458&gt;=MAYBE_THRESHOLD,"Maybe","Reject")))))))</f>
        <v/>
      </c>
      <c r="AE458" s="23" t="n"/>
      <c r="AF458" s="23" t="n"/>
      <c r="AG458" s="23" t="n"/>
      <c r="AH458" s="23" t="n"/>
      <c r="AI458" s="24" t="n"/>
      <c r="AJ458">
        <f>IF(AC458="",-9999-ROW()*0.0000001,AC458-ROW()*0.0000001)</f>
        <v/>
      </c>
      <c r="AK458">
        <f>IF(OR(AC458="",P458="",P458&gt;MAX_PRICE),-9999-ROW()*0.0000001,AC458-ROW()*0.0000001)</f>
        <v/>
      </c>
      <c r="AL458">
        <f>IF(AC458="",-9999-ROW()*0.0000001,X458*1000+AC458-ROW()*0.0000001)</f>
        <v/>
      </c>
      <c r="AM458">
        <f>IF(AC458="",-9999-ROW()*0.0000001,Y458*1000+AC458-ROW()*0.0000001)</f>
        <v/>
      </c>
      <c r="AN458">
        <f>IF(AND(OR(AD458="Maybe",AD458="Price Review"),AG458&lt;&gt;"Approved",AG458&lt;&gt;"Rejected"),IF(AC458="",0,AC458)-ROW()*0.0000001,-9999-ROW()*0.0000001)</f>
        <v/>
      </c>
      <c r="AO458" s="28" t="n"/>
      <c r="AP458" s="28" t="n"/>
      <c r="AQ458" s="29" t="n"/>
      <c r="AR458" s="29" t="n"/>
      <c r="AS458" s="23" t="n"/>
      <c r="AT458" s="29" t="n"/>
      <c r="AU458" s="29" t="n"/>
      <c r="AV458" s="29" t="n"/>
      <c r="AW458" s="25">
        <f>IF(OR(O458="",AV458=""),"",O458*AV458)</f>
        <v/>
      </c>
      <c r="AX458" s="23" t="n"/>
      <c r="AY458" s="23" t="n"/>
      <c r="AZ458" s="23" t="n"/>
      <c r="BA458" s="23" t="n"/>
      <c r="BB458" s="23" t="n"/>
      <c r="BC458" s="25" t="n"/>
      <c r="BD458" s="23" t="n"/>
      <c r="BE458" s="23">
        <f>IF(C458="","",IF(AND(ISNUMBER(P458),P458&gt;MAX_PRICE),"Price too high",IF(AND(ISNUMBER(AB458),AB458&lt;=2),"Quality risk",IF(AND(ISNUMBER(U458),U458&lt;=2),"Aesthetic mismatch",IF(AY458="High","Too fragile",IF(AND(ISNUMBER(R458),R458&lt;LOW_PROFIT_PCT),"Low profit",IF(AND(ISNUMBER(AT458),AT458&gt;MOQ_WARNING),"MOQ too high",IF(OR(AD458="Maybe",AD458="Price Review"),"Needs partner review",IF(AD458="Buy","Good candidate","")))))))))</f>
        <v/>
      </c>
      <c r="BF458" s="23" t="n"/>
      <c r="BG458" s="23" t="n"/>
      <c r="BH458" s="23" t="n"/>
      <c r="BI458" s="23" t="n"/>
      <c r="BJ458" s="23" t="n"/>
      <c r="BK458" s="23" t="n"/>
      <c r="BL458" s="23">
        <f>IF(C458="","",IF(AND(BG458="Yes",BH458="Yes",BI458="Yes",BJ458="Yes",BK458="Yes"),"Yes","No"))</f>
        <v/>
      </c>
      <c r="BM458" s="25" t="n"/>
      <c r="BN458" s="25" t="n"/>
      <c r="BO458" s="25">
        <f>IF(OR(BM458="",BN458=""),"",BM458+BN458)</f>
        <v/>
      </c>
      <c r="BP458" s="25" t="n"/>
      <c r="BQ458" s="25">
        <f>IF(OR(BP458="",BO458=""),"",BP458-BO458)</f>
        <v/>
      </c>
      <c r="BR458" s="26">
        <f>IF(OR(BP458="",BP458=0,BQ458=""),"",BQ458/BP458)</f>
        <v/>
      </c>
      <c r="BS458" s="24" t="n"/>
      <c r="BT458" s="29" t="n"/>
      <c r="BU458" s="29" t="n"/>
      <c r="BV458" s="23" t="n"/>
      <c r="BW458" s="23" t="n"/>
      <c r="BX458" s="29">
        <f>IF(OR(BT458="",BU458=""),"",BT458-BU458)</f>
        <v/>
      </c>
      <c r="BY458" s="23" t="n"/>
      <c r="BZ458" s="24" t="n"/>
      <c r="CA458" s="23" t="n"/>
      <c r="CB458" s="23" t="n"/>
    </row>
    <row r="459">
      <c r="A459" s="16">
        <f>IF(C459="","","AYN-"&amp;IFERROR(VLOOKUP(E459,CATEGORY_PREFIX_TABLE,2,FALSE),"OTH")&amp;"-"&amp;TEXT(ROW()-2,"0000"))</f>
        <v/>
      </c>
      <c r="B459" s="17" t="n"/>
      <c r="C459" s="16" t="n"/>
      <c r="D459" s="16" t="n"/>
      <c r="E459" s="16" t="n"/>
      <c r="F459" s="16" t="n"/>
      <c r="G459" s="16" t="n"/>
      <c r="H459" s="16" t="n"/>
      <c r="I459" s="16" t="n"/>
      <c r="J459" s="16" t="n"/>
      <c r="K459" s="18">
        <f>IF(I459="","",IF(J459="BDT",I459,IF(J459="USD",I459*USD_BDT,IF(J459="RMB",I459*RMB_BDT,""))))</f>
        <v/>
      </c>
      <c r="L459" s="18" t="n"/>
      <c r="M459" s="19" t="n"/>
      <c r="N459" s="18" t="n"/>
      <c r="O459" s="18">
        <f>IF(K459="","",K459+IFERROR(L459,0)+(K459*IF(M459="",CUSTOMS_PCT,M459))+IF(N459="",MISC_FEE,N459))</f>
        <v/>
      </c>
      <c r="P459" s="18">
        <f>IF(O459="","",ROUND(O459*(1+MARKUP_PCT),-1)-1)</f>
        <v/>
      </c>
      <c r="Q459" s="18">
        <f>IF(P459="","",P459-O459)</f>
        <v/>
      </c>
      <c r="R459" s="19">
        <f>IF(OR(P459="",P459=0),"",Q459/P459)</f>
        <v/>
      </c>
      <c r="S459" s="16" t="n"/>
      <c r="T459" s="16" t="n"/>
      <c r="U459" s="16" t="n"/>
      <c r="V459" s="16" t="n"/>
      <c r="W459" s="16" t="n"/>
      <c r="X459" s="16" t="n"/>
      <c r="Y459" s="16" t="n"/>
      <c r="Z459" s="16" t="n"/>
      <c r="AA459" s="16" t="n"/>
      <c r="AB459" s="16" t="n"/>
      <c r="AC459" s="20">
        <f>IF(COUNT(S459:AB459)&lt;10,"",(S459*W_FEMININE+T459*W_TREND+U459*W_AESTHETIC+V459*W_STYLE+W459*W_LIGHT+X459*W_REELS+Y459*W_GIFT+Z459*W_PRICEFIT+AA459*W_DEMAND+AB459*W_QUALITY)/5*100)</f>
        <v/>
      </c>
      <c r="AD459" s="16">
        <f>IF(P459="","",IF(P459&gt;HARD_REJECT_PRICE,"Reject",IF(P459&gt;MAX_PRICE,"Price Review",IF(AC459="","",IF(AND(AC459&gt;=BUY_THRESHOLD,OR(AB459&lt;=2,U459&lt;=2)),"Maybe",IF(AC459&gt;=BUY_THRESHOLD,"Buy",IF(AC459&gt;=MAYBE_THRESHOLD,"Maybe","Reject")))))))</f>
        <v/>
      </c>
      <c r="AE459" s="16" t="n"/>
      <c r="AF459" s="16" t="n"/>
      <c r="AG459" s="16" t="n"/>
      <c r="AH459" s="16" t="n"/>
      <c r="AI459" s="17" t="n"/>
      <c r="AJ459">
        <f>IF(AC459="",-9999-ROW()*0.0000001,AC459-ROW()*0.0000001)</f>
        <v/>
      </c>
      <c r="AK459">
        <f>IF(OR(AC459="",P459="",P459&gt;MAX_PRICE),-9999-ROW()*0.0000001,AC459-ROW()*0.0000001)</f>
        <v/>
      </c>
      <c r="AL459">
        <f>IF(AC459="",-9999-ROW()*0.0000001,X459*1000+AC459-ROW()*0.0000001)</f>
        <v/>
      </c>
      <c r="AM459">
        <f>IF(AC459="",-9999-ROW()*0.0000001,Y459*1000+AC459-ROW()*0.0000001)</f>
        <v/>
      </c>
      <c r="AN459">
        <f>IF(AND(OR(AD459="Maybe",AD459="Price Review"),AG459&lt;&gt;"Approved",AG459&lt;&gt;"Rejected"),IF(AC459="",0,AC459)-ROW()*0.0000001,-9999-ROW()*0.0000001)</f>
        <v/>
      </c>
      <c r="AO459" s="21" t="n"/>
      <c r="AP459" s="21" t="n"/>
      <c r="AQ459" s="22" t="n"/>
      <c r="AR459" s="22" t="n"/>
      <c r="AS459" s="16" t="n"/>
      <c r="AT459" s="22" t="n"/>
      <c r="AU459" s="22" t="n"/>
      <c r="AV459" s="22" t="n"/>
      <c r="AW459" s="18">
        <f>IF(OR(O459="",AV459=""),"",O459*AV459)</f>
        <v/>
      </c>
      <c r="AX459" s="16" t="n"/>
      <c r="AY459" s="16" t="n"/>
      <c r="AZ459" s="16" t="n"/>
      <c r="BA459" s="16" t="n"/>
      <c r="BB459" s="16" t="n"/>
      <c r="BC459" s="18" t="n"/>
      <c r="BD459" s="16" t="n"/>
      <c r="BE459" s="16">
        <f>IF(C459="","",IF(AND(ISNUMBER(P459),P459&gt;MAX_PRICE),"Price too high",IF(AND(ISNUMBER(AB459),AB459&lt;=2),"Quality risk",IF(AND(ISNUMBER(U459),U459&lt;=2),"Aesthetic mismatch",IF(AY459="High","Too fragile",IF(AND(ISNUMBER(R459),R459&lt;LOW_PROFIT_PCT),"Low profit",IF(AND(ISNUMBER(AT459),AT459&gt;MOQ_WARNING),"MOQ too high",IF(OR(AD459="Maybe",AD459="Price Review"),"Needs partner review",IF(AD459="Buy","Good candidate","")))))))))</f>
        <v/>
      </c>
      <c r="BF459" s="16" t="n"/>
      <c r="BG459" s="16" t="n"/>
      <c r="BH459" s="16" t="n"/>
      <c r="BI459" s="16" t="n"/>
      <c r="BJ459" s="16" t="n"/>
      <c r="BK459" s="16" t="n"/>
      <c r="BL459" s="16">
        <f>IF(C459="","",IF(AND(BG459="Yes",BH459="Yes",BI459="Yes",BJ459="Yes",BK459="Yes"),"Yes","No"))</f>
        <v/>
      </c>
      <c r="BM459" s="18" t="n"/>
      <c r="BN459" s="18" t="n"/>
      <c r="BO459" s="18">
        <f>IF(OR(BM459="",BN459=""),"",BM459+BN459)</f>
        <v/>
      </c>
      <c r="BP459" s="18" t="n"/>
      <c r="BQ459" s="18">
        <f>IF(OR(BP459="",BO459=""),"",BP459-BO459)</f>
        <v/>
      </c>
      <c r="BR459" s="19">
        <f>IF(OR(BP459="",BP459=0,BQ459=""),"",BQ459/BP459)</f>
        <v/>
      </c>
      <c r="BS459" s="17" t="n"/>
      <c r="BT459" s="22" t="n"/>
      <c r="BU459" s="22" t="n"/>
      <c r="BV459" s="16" t="n"/>
      <c r="BW459" s="16" t="n"/>
      <c r="BX459" s="22">
        <f>IF(OR(BT459="",BU459=""),"",BT459-BU459)</f>
        <v/>
      </c>
      <c r="BY459" s="16" t="n"/>
      <c r="BZ459" s="17" t="n"/>
      <c r="CA459" s="16" t="n"/>
      <c r="CB459" s="16" t="n"/>
    </row>
    <row r="460">
      <c r="A460" s="23">
        <f>IF(C460="","","AYN-"&amp;IFERROR(VLOOKUP(E460,CATEGORY_PREFIX_TABLE,2,FALSE),"OTH")&amp;"-"&amp;TEXT(ROW()-2,"0000"))</f>
        <v/>
      </c>
      <c r="B460" s="24" t="n"/>
      <c r="C460" s="23" t="n"/>
      <c r="D460" s="23" t="n"/>
      <c r="E460" s="23" t="n"/>
      <c r="F460" s="23" t="n"/>
      <c r="G460" s="23" t="n"/>
      <c r="H460" s="23" t="n"/>
      <c r="I460" s="23" t="n"/>
      <c r="J460" s="23" t="n"/>
      <c r="K460" s="25">
        <f>IF(I460="","",IF(J460="BDT",I460,IF(J460="USD",I460*USD_BDT,IF(J460="RMB",I460*RMB_BDT,""))))</f>
        <v/>
      </c>
      <c r="L460" s="25" t="n"/>
      <c r="M460" s="26" t="n"/>
      <c r="N460" s="25" t="n"/>
      <c r="O460" s="25">
        <f>IF(K460="","",K460+IFERROR(L460,0)+(K460*IF(M460="",CUSTOMS_PCT,M460))+IF(N460="",MISC_FEE,N460))</f>
        <v/>
      </c>
      <c r="P460" s="25">
        <f>IF(O460="","",ROUND(O460*(1+MARKUP_PCT),-1)-1)</f>
        <v/>
      </c>
      <c r="Q460" s="25">
        <f>IF(P460="","",P460-O460)</f>
        <v/>
      </c>
      <c r="R460" s="26">
        <f>IF(OR(P460="",P460=0),"",Q460/P460)</f>
        <v/>
      </c>
      <c r="S460" s="23" t="n"/>
      <c r="T460" s="23" t="n"/>
      <c r="U460" s="23" t="n"/>
      <c r="V460" s="23" t="n"/>
      <c r="W460" s="23" t="n"/>
      <c r="X460" s="23" t="n"/>
      <c r="Y460" s="23" t="n"/>
      <c r="Z460" s="23" t="n"/>
      <c r="AA460" s="23" t="n"/>
      <c r="AB460" s="23" t="n"/>
      <c r="AC460" s="27">
        <f>IF(COUNT(S460:AB460)&lt;10,"",(S460*W_FEMININE+T460*W_TREND+U460*W_AESTHETIC+V460*W_STYLE+W460*W_LIGHT+X460*W_REELS+Y460*W_GIFT+Z460*W_PRICEFIT+AA460*W_DEMAND+AB460*W_QUALITY)/5*100)</f>
        <v/>
      </c>
      <c r="AD460" s="23">
        <f>IF(P460="","",IF(P460&gt;HARD_REJECT_PRICE,"Reject",IF(P460&gt;MAX_PRICE,"Price Review",IF(AC460="","",IF(AND(AC460&gt;=BUY_THRESHOLD,OR(AB460&lt;=2,U460&lt;=2)),"Maybe",IF(AC460&gt;=BUY_THRESHOLD,"Buy",IF(AC460&gt;=MAYBE_THRESHOLD,"Maybe","Reject")))))))</f>
        <v/>
      </c>
      <c r="AE460" s="23" t="n"/>
      <c r="AF460" s="23" t="n"/>
      <c r="AG460" s="23" t="n"/>
      <c r="AH460" s="23" t="n"/>
      <c r="AI460" s="24" t="n"/>
      <c r="AJ460">
        <f>IF(AC460="",-9999-ROW()*0.0000001,AC460-ROW()*0.0000001)</f>
        <v/>
      </c>
      <c r="AK460">
        <f>IF(OR(AC460="",P460="",P460&gt;MAX_PRICE),-9999-ROW()*0.0000001,AC460-ROW()*0.0000001)</f>
        <v/>
      </c>
      <c r="AL460">
        <f>IF(AC460="",-9999-ROW()*0.0000001,X460*1000+AC460-ROW()*0.0000001)</f>
        <v/>
      </c>
      <c r="AM460">
        <f>IF(AC460="",-9999-ROW()*0.0000001,Y460*1000+AC460-ROW()*0.0000001)</f>
        <v/>
      </c>
      <c r="AN460">
        <f>IF(AND(OR(AD460="Maybe",AD460="Price Review"),AG460&lt;&gt;"Approved",AG460&lt;&gt;"Rejected"),IF(AC460="",0,AC460)-ROW()*0.0000001,-9999-ROW()*0.0000001)</f>
        <v/>
      </c>
      <c r="AO460" s="28" t="n"/>
      <c r="AP460" s="28" t="n"/>
      <c r="AQ460" s="29" t="n"/>
      <c r="AR460" s="29" t="n"/>
      <c r="AS460" s="23" t="n"/>
      <c r="AT460" s="29" t="n"/>
      <c r="AU460" s="29" t="n"/>
      <c r="AV460" s="29" t="n"/>
      <c r="AW460" s="25">
        <f>IF(OR(O460="",AV460=""),"",O460*AV460)</f>
        <v/>
      </c>
      <c r="AX460" s="23" t="n"/>
      <c r="AY460" s="23" t="n"/>
      <c r="AZ460" s="23" t="n"/>
      <c r="BA460" s="23" t="n"/>
      <c r="BB460" s="23" t="n"/>
      <c r="BC460" s="25" t="n"/>
      <c r="BD460" s="23" t="n"/>
      <c r="BE460" s="23">
        <f>IF(C460="","",IF(AND(ISNUMBER(P460),P460&gt;MAX_PRICE),"Price too high",IF(AND(ISNUMBER(AB460),AB460&lt;=2),"Quality risk",IF(AND(ISNUMBER(U460),U460&lt;=2),"Aesthetic mismatch",IF(AY460="High","Too fragile",IF(AND(ISNUMBER(R460),R460&lt;LOW_PROFIT_PCT),"Low profit",IF(AND(ISNUMBER(AT460),AT460&gt;MOQ_WARNING),"MOQ too high",IF(OR(AD460="Maybe",AD460="Price Review"),"Needs partner review",IF(AD460="Buy","Good candidate","")))))))))</f>
        <v/>
      </c>
      <c r="BF460" s="23" t="n"/>
      <c r="BG460" s="23" t="n"/>
      <c r="BH460" s="23" t="n"/>
      <c r="BI460" s="23" t="n"/>
      <c r="BJ460" s="23" t="n"/>
      <c r="BK460" s="23" t="n"/>
      <c r="BL460" s="23">
        <f>IF(C460="","",IF(AND(BG460="Yes",BH460="Yes",BI460="Yes",BJ460="Yes",BK460="Yes"),"Yes","No"))</f>
        <v/>
      </c>
      <c r="BM460" s="25" t="n"/>
      <c r="BN460" s="25" t="n"/>
      <c r="BO460" s="25">
        <f>IF(OR(BM460="",BN460=""),"",BM460+BN460)</f>
        <v/>
      </c>
      <c r="BP460" s="25" t="n"/>
      <c r="BQ460" s="25">
        <f>IF(OR(BP460="",BO460=""),"",BP460-BO460)</f>
        <v/>
      </c>
      <c r="BR460" s="26">
        <f>IF(OR(BP460="",BP460=0,BQ460=""),"",BQ460/BP460)</f>
        <v/>
      </c>
      <c r="BS460" s="24" t="n"/>
      <c r="BT460" s="29" t="n"/>
      <c r="BU460" s="29" t="n"/>
      <c r="BV460" s="23" t="n"/>
      <c r="BW460" s="23" t="n"/>
      <c r="BX460" s="29">
        <f>IF(OR(BT460="",BU460=""),"",BT460-BU460)</f>
        <v/>
      </c>
      <c r="BY460" s="23" t="n"/>
      <c r="BZ460" s="24" t="n"/>
      <c r="CA460" s="23" t="n"/>
      <c r="CB460" s="23" t="n"/>
    </row>
    <row r="461">
      <c r="A461" s="16">
        <f>IF(C461="","","AYN-"&amp;IFERROR(VLOOKUP(E461,CATEGORY_PREFIX_TABLE,2,FALSE),"OTH")&amp;"-"&amp;TEXT(ROW()-2,"0000"))</f>
        <v/>
      </c>
      <c r="B461" s="17" t="n"/>
      <c r="C461" s="16" t="n"/>
      <c r="D461" s="16" t="n"/>
      <c r="E461" s="16" t="n"/>
      <c r="F461" s="16" t="n"/>
      <c r="G461" s="16" t="n"/>
      <c r="H461" s="16" t="n"/>
      <c r="I461" s="16" t="n"/>
      <c r="J461" s="16" t="n"/>
      <c r="K461" s="18">
        <f>IF(I461="","",IF(J461="BDT",I461,IF(J461="USD",I461*USD_BDT,IF(J461="RMB",I461*RMB_BDT,""))))</f>
        <v/>
      </c>
      <c r="L461" s="18" t="n"/>
      <c r="M461" s="19" t="n"/>
      <c r="N461" s="18" t="n"/>
      <c r="O461" s="18">
        <f>IF(K461="","",K461+IFERROR(L461,0)+(K461*IF(M461="",CUSTOMS_PCT,M461))+IF(N461="",MISC_FEE,N461))</f>
        <v/>
      </c>
      <c r="P461" s="18">
        <f>IF(O461="","",ROUND(O461*(1+MARKUP_PCT),-1)-1)</f>
        <v/>
      </c>
      <c r="Q461" s="18">
        <f>IF(P461="","",P461-O461)</f>
        <v/>
      </c>
      <c r="R461" s="19">
        <f>IF(OR(P461="",P461=0),"",Q461/P461)</f>
        <v/>
      </c>
      <c r="S461" s="16" t="n"/>
      <c r="T461" s="16" t="n"/>
      <c r="U461" s="16" t="n"/>
      <c r="V461" s="16" t="n"/>
      <c r="W461" s="16" t="n"/>
      <c r="X461" s="16" t="n"/>
      <c r="Y461" s="16" t="n"/>
      <c r="Z461" s="16" t="n"/>
      <c r="AA461" s="16" t="n"/>
      <c r="AB461" s="16" t="n"/>
      <c r="AC461" s="20">
        <f>IF(COUNT(S461:AB461)&lt;10,"",(S461*W_FEMININE+T461*W_TREND+U461*W_AESTHETIC+V461*W_STYLE+W461*W_LIGHT+X461*W_REELS+Y461*W_GIFT+Z461*W_PRICEFIT+AA461*W_DEMAND+AB461*W_QUALITY)/5*100)</f>
        <v/>
      </c>
      <c r="AD461" s="16">
        <f>IF(P461="","",IF(P461&gt;HARD_REJECT_PRICE,"Reject",IF(P461&gt;MAX_PRICE,"Price Review",IF(AC461="","",IF(AND(AC461&gt;=BUY_THRESHOLD,OR(AB461&lt;=2,U461&lt;=2)),"Maybe",IF(AC461&gt;=BUY_THRESHOLD,"Buy",IF(AC461&gt;=MAYBE_THRESHOLD,"Maybe","Reject")))))))</f>
        <v/>
      </c>
      <c r="AE461" s="16" t="n"/>
      <c r="AF461" s="16" t="n"/>
      <c r="AG461" s="16" t="n"/>
      <c r="AH461" s="16" t="n"/>
      <c r="AI461" s="17" t="n"/>
      <c r="AJ461">
        <f>IF(AC461="",-9999-ROW()*0.0000001,AC461-ROW()*0.0000001)</f>
        <v/>
      </c>
      <c r="AK461">
        <f>IF(OR(AC461="",P461="",P461&gt;MAX_PRICE),-9999-ROW()*0.0000001,AC461-ROW()*0.0000001)</f>
        <v/>
      </c>
      <c r="AL461">
        <f>IF(AC461="",-9999-ROW()*0.0000001,X461*1000+AC461-ROW()*0.0000001)</f>
        <v/>
      </c>
      <c r="AM461">
        <f>IF(AC461="",-9999-ROW()*0.0000001,Y461*1000+AC461-ROW()*0.0000001)</f>
        <v/>
      </c>
      <c r="AN461">
        <f>IF(AND(OR(AD461="Maybe",AD461="Price Review"),AG461&lt;&gt;"Approved",AG461&lt;&gt;"Rejected"),IF(AC461="",0,AC461)-ROW()*0.0000001,-9999-ROW()*0.0000001)</f>
        <v/>
      </c>
      <c r="AO461" s="21" t="n"/>
      <c r="AP461" s="21" t="n"/>
      <c r="AQ461" s="22" t="n"/>
      <c r="AR461" s="22" t="n"/>
      <c r="AS461" s="16" t="n"/>
      <c r="AT461" s="22" t="n"/>
      <c r="AU461" s="22" t="n"/>
      <c r="AV461" s="22" t="n"/>
      <c r="AW461" s="18">
        <f>IF(OR(O461="",AV461=""),"",O461*AV461)</f>
        <v/>
      </c>
      <c r="AX461" s="16" t="n"/>
      <c r="AY461" s="16" t="n"/>
      <c r="AZ461" s="16" t="n"/>
      <c r="BA461" s="16" t="n"/>
      <c r="BB461" s="16" t="n"/>
      <c r="BC461" s="18" t="n"/>
      <c r="BD461" s="16" t="n"/>
      <c r="BE461" s="16">
        <f>IF(C461="","",IF(AND(ISNUMBER(P461),P461&gt;MAX_PRICE),"Price too high",IF(AND(ISNUMBER(AB461),AB461&lt;=2),"Quality risk",IF(AND(ISNUMBER(U461),U461&lt;=2),"Aesthetic mismatch",IF(AY461="High","Too fragile",IF(AND(ISNUMBER(R461),R461&lt;LOW_PROFIT_PCT),"Low profit",IF(AND(ISNUMBER(AT461),AT461&gt;MOQ_WARNING),"MOQ too high",IF(OR(AD461="Maybe",AD461="Price Review"),"Needs partner review",IF(AD461="Buy","Good candidate","")))))))))</f>
        <v/>
      </c>
      <c r="BF461" s="16" t="n"/>
      <c r="BG461" s="16" t="n"/>
      <c r="BH461" s="16" t="n"/>
      <c r="BI461" s="16" t="n"/>
      <c r="BJ461" s="16" t="n"/>
      <c r="BK461" s="16" t="n"/>
      <c r="BL461" s="16">
        <f>IF(C461="","",IF(AND(BG461="Yes",BH461="Yes",BI461="Yes",BJ461="Yes",BK461="Yes"),"Yes","No"))</f>
        <v/>
      </c>
      <c r="BM461" s="18" t="n"/>
      <c r="BN461" s="18" t="n"/>
      <c r="BO461" s="18">
        <f>IF(OR(BM461="",BN461=""),"",BM461+BN461)</f>
        <v/>
      </c>
      <c r="BP461" s="18" t="n"/>
      <c r="BQ461" s="18">
        <f>IF(OR(BP461="",BO461=""),"",BP461-BO461)</f>
        <v/>
      </c>
      <c r="BR461" s="19">
        <f>IF(OR(BP461="",BP461=0,BQ461=""),"",BQ461/BP461)</f>
        <v/>
      </c>
      <c r="BS461" s="17" t="n"/>
      <c r="BT461" s="22" t="n"/>
      <c r="BU461" s="22" t="n"/>
      <c r="BV461" s="16" t="n"/>
      <c r="BW461" s="16" t="n"/>
      <c r="BX461" s="22">
        <f>IF(OR(BT461="",BU461=""),"",BT461-BU461)</f>
        <v/>
      </c>
      <c r="BY461" s="16" t="n"/>
      <c r="BZ461" s="17" t="n"/>
      <c r="CA461" s="16" t="n"/>
      <c r="CB461" s="16" t="n"/>
    </row>
    <row r="462">
      <c r="A462" s="23">
        <f>IF(C462="","","AYN-"&amp;IFERROR(VLOOKUP(E462,CATEGORY_PREFIX_TABLE,2,FALSE),"OTH")&amp;"-"&amp;TEXT(ROW()-2,"0000"))</f>
        <v/>
      </c>
      <c r="B462" s="24" t="n"/>
      <c r="C462" s="23" t="n"/>
      <c r="D462" s="23" t="n"/>
      <c r="E462" s="23" t="n"/>
      <c r="F462" s="23" t="n"/>
      <c r="G462" s="23" t="n"/>
      <c r="H462" s="23" t="n"/>
      <c r="I462" s="23" t="n"/>
      <c r="J462" s="23" t="n"/>
      <c r="K462" s="25">
        <f>IF(I462="","",IF(J462="BDT",I462,IF(J462="USD",I462*USD_BDT,IF(J462="RMB",I462*RMB_BDT,""))))</f>
        <v/>
      </c>
      <c r="L462" s="25" t="n"/>
      <c r="M462" s="26" t="n"/>
      <c r="N462" s="25" t="n"/>
      <c r="O462" s="25">
        <f>IF(K462="","",K462+IFERROR(L462,0)+(K462*IF(M462="",CUSTOMS_PCT,M462))+IF(N462="",MISC_FEE,N462))</f>
        <v/>
      </c>
      <c r="P462" s="25">
        <f>IF(O462="","",ROUND(O462*(1+MARKUP_PCT),-1)-1)</f>
        <v/>
      </c>
      <c r="Q462" s="25">
        <f>IF(P462="","",P462-O462)</f>
        <v/>
      </c>
      <c r="R462" s="26">
        <f>IF(OR(P462="",P462=0),"",Q462/P462)</f>
        <v/>
      </c>
      <c r="S462" s="23" t="n"/>
      <c r="T462" s="23" t="n"/>
      <c r="U462" s="23" t="n"/>
      <c r="V462" s="23" t="n"/>
      <c r="W462" s="23" t="n"/>
      <c r="X462" s="23" t="n"/>
      <c r="Y462" s="23" t="n"/>
      <c r="Z462" s="23" t="n"/>
      <c r="AA462" s="23" t="n"/>
      <c r="AB462" s="23" t="n"/>
      <c r="AC462" s="27">
        <f>IF(COUNT(S462:AB462)&lt;10,"",(S462*W_FEMININE+T462*W_TREND+U462*W_AESTHETIC+V462*W_STYLE+W462*W_LIGHT+X462*W_REELS+Y462*W_GIFT+Z462*W_PRICEFIT+AA462*W_DEMAND+AB462*W_QUALITY)/5*100)</f>
        <v/>
      </c>
      <c r="AD462" s="23">
        <f>IF(P462="","",IF(P462&gt;HARD_REJECT_PRICE,"Reject",IF(P462&gt;MAX_PRICE,"Price Review",IF(AC462="","",IF(AND(AC462&gt;=BUY_THRESHOLD,OR(AB462&lt;=2,U462&lt;=2)),"Maybe",IF(AC462&gt;=BUY_THRESHOLD,"Buy",IF(AC462&gt;=MAYBE_THRESHOLD,"Maybe","Reject")))))))</f>
        <v/>
      </c>
      <c r="AE462" s="23" t="n"/>
      <c r="AF462" s="23" t="n"/>
      <c r="AG462" s="23" t="n"/>
      <c r="AH462" s="23" t="n"/>
      <c r="AI462" s="24" t="n"/>
      <c r="AJ462">
        <f>IF(AC462="",-9999-ROW()*0.0000001,AC462-ROW()*0.0000001)</f>
        <v/>
      </c>
      <c r="AK462">
        <f>IF(OR(AC462="",P462="",P462&gt;MAX_PRICE),-9999-ROW()*0.0000001,AC462-ROW()*0.0000001)</f>
        <v/>
      </c>
      <c r="AL462">
        <f>IF(AC462="",-9999-ROW()*0.0000001,X462*1000+AC462-ROW()*0.0000001)</f>
        <v/>
      </c>
      <c r="AM462">
        <f>IF(AC462="",-9999-ROW()*0.0000001,Y462*1000+AC462-ROW()*0.0000001)</f>
        <v/>
      </c>
      <c r="AN462">
        <f>IF(AND(OR(AD462="Maybe",AD462="Price Review"),AG462&lt;&gt;"Approved",AG462&lt;&gt;"Rejected"),IF(AC462="",0,AC462)-ROW()*0.0000001,-9999-ROW()*0.0000001)</f>
        <v/>
      </c>
      <c r="AO462" s="28" t="n"/>
      <c r="AP462" s="28" t="n"/>
      <c r="AQ462" s="29" t="n"/>
      <c r="AR462" s="29" t="n"/>
      <c r="AS462" s="23" t="n"/>
      <c r="AT462" s="29" t="n"/>
      <c r="AU462" s="29" t="n"/>
      <c r="AV462" s="29" t="n"/>
      <c r="AW462" s="25">
        <f>IF(OR(O462="",AV462=""),"",O462*AV462)</f>
        <v/>
      </c>
      <c r="AX462" s="23" t="n"/>
      <c r="AY462" s="23" t="n"/>
      <c r="AZ462" s="23" t="n"/>
      <c r="BA462" s="23" t="n"/>
      <c r="BB462" s="23" t="n"/>
      <c r="BC462" s="25" t="n"/>
      <c r="BD462" s="23" t="n"/>
      <c r="BE462" s="23">
        <f>IF(C462="","",IF(AND(ISNUMBER(P462),P462&gt;MAX_PRICE),"Price too high",IF(AND(ISNUMBER(AB462),AB462&lt;=2),"Quality risk",IF(AND(ISNUMBER(U462),U462&lt;=2),"Aesthetic mismatch",IF(AY462="High","Too fragile",IF(AND(ISNUMBER(R462),R462&lt;LOW_PROFIT_PCT),"Low profit",IF(AND(ISNUMBER(AT462),AT462&gt;MOQ_WARNING),"MOQ too high",IF(OR(AD462="Maybe",AD462="Price Review"),"Needs partner review",IF(AD462="Buy","Good candidate","")))))))))</f>
        <v/>
      </c>
      <c r="BF462" s="23" t="n"/>
      <c r="BG462" s="23" t="n"/>
      <c r="BH462" s="23" t="n"/>
      <c r="BI462" s="23" t="n"/>
      <c r="BJ462" s="23" t="n"/>
      <c r="BK462" s="23" t="n"/>
      <c r="BL462" s="23">
        <f>IF(C462="","",IF(AND(BG462="Yes",BH462="Yes",BI462="Yes",BJ462="Yes",BK462="Yes"),"Yes","No"))</f>
        <v/>
      </c>
      <c r="BM462" s="25" t="n"/>
      <c r="BN462" s="25" t="n"/>
      <c r="BO462" s="25">
        <f>IF(OR(BM462="",BN462=""),"",BM462+BN462)</f>
        <v/>
      </c>
      <c r="BP462" s="25" t="n"/>
      <c r="BQ462" s="25">
        <f>IF(OR(BP462="",BO462=""),"",BP462-BO462)</f>
        <v/>
      </c>
      <c r="BR462" s="26">
        <f>IF(OR(BP462="",BP462=0,BQ462=""),"",BQ462/BP462)</f>
        <v/>
      </c>
      <c r="BS462" s="24" t="n"/>
      <c r="BT462" s="29" t="n"/>
      <c r="BU462" s="29" t="n"/>
      <c r="BV462" s="23" t="n"/>
      <c r="BW462" s="23" t="n"/>
      <c r="BX462" s="29">
        <f>IF(OR(BT462="",BU462=""),"",BT462-BU462)</f>
        <v/>
      </c>
      <c r="BY462" s="23" t="n"/>
      <c r="BZ462" s="24" t="n"/>
      <c r="CA462" s="23" t="n"/>
      <c r="CB462" s="23" t="n"/>
    </row>
    <row r="463">
      <c r="A463" s="16">
        <f>IF(C463="","","AYN-"&amp;IFERROR(VLOOKUP(E463,CATEGORY_PREFIX_TABLE,2,FALSE),"OTH")&amp;"-"&amp;TEXT(ROW()-2,"0000"))</f>
        <v/>
      </c>
      <c r="B463" s="17" t="n"/>
      <c r="C463" s="16" t="n"/>
      <c r="D463" s="16" t="n"/>
      <c r="E463" s="16" t="n"/>
      <c r="F463" s="16" t="n"/>
      <c r="G463" s="16" t="n"/>
      <c r="H463" s="16" t="n"/>
      <c r="I463" s="16" t="n"/>
      <c r="J463" s="16" t="n"/>
      <c r="K463" s="18">
        <f>IF(I463="","",IF(J463="BDT",I463,IF(J463="USD",I463*USD_BDT,IF(J463="RMB",I463*RMB_BDT,""))))</f>
        <v/>
      </c>
      <c r="L463" s="18" t="n"/>
      <c r="M463" s="19" t="n"/>
      <c r="N463" s="18" t="n"/>
      <c r="O463" s="18">
        <f>IF(K463="","",K463+IFERROR(L463,0)+(K463*IF(M463="",CUSTOMS_PCT,M463))+IF(N463="",MISC_FEE,N463))</f>
        <v/>
      </c>
      <c r="P463" s="18">
        <f>IF(O463="","",ROUND(O463*(1+MARKUP_PCT),-1)-1)</f>
        <v/>
      </c>
      <c r="Q463" s="18">
        <f>IF(P463="","",P463-O463)</f>
        <v/>
      </c>
      <c r="R463" s="19">
        <f>IF(OR(P463="",P463=0),"",Q463/P463)</f>
        <v/>
      </c>
      <c r="S463" s="16" t="n"/>
      <c r="T463" s="16" t="n"/>
      <c r="U463" s="16" t="n"/>
      <c r="V463" s="16" t="n"/>
      <c r="W463" s="16" t="n"/>
      <c r="X463" s="16" t="n"/>
      <c r="Y463" s="16" t="n"/>
      <c r="Z463" s="16" t="n"/>
      <c r="AA463" s="16" t="n"/>
      <c r="AB463" s="16" t="n"/>
      <c r="AC463" s="20">
        <f>IF(COUNT(S463:AB463)&lt;10,"",(S463*W_FEMININE+T463*W_TREND+U463*W_AESTHETIC+V463*W_STYLE+W463*W_LIGHT+X463*W_REELS+Y463*W_GIFT+Z463*W_PRICEFIT+AA463*W_DEMAND+AB463*W_QUALITY)/5*100)</f>
        <v/>
      </c>
      <c r="AD463" s="16">
        <f>IF(P463="","",IF(P463&gt;HARD_REJECT_PRICE,"Reject",IF(P463&gt;MAX_PRICE,"Price Review",IF(AC463="","",IF(AND(AC463&gt;=BUY_THRESHOLD,OR(AB463&lt;=2,U463&lt;=2)),"Maybe",IF(AC463&gt;=BUY_THRESHOLD,"Buy",IF(AC463&gt;=MAYBE_THRESHOLD,"Maybe","Reject")))))))</f>
        <v/>
      </c>
      <c r="AE463" s="16" t="n"/>
      <c r="AF463" s="16" t="n"/>
      <c r="AG463" s="16" t="n"/>
      <c r="AH463" s="16" t="n"/>
      <c r="AI463" s="17" t="n"/>
      <c r="AJ463">
        <f>IF(AC463="",-9999-ROW()*0.0000001,AC463-ROW()*0.0000001)</f>
        <v/>
      </c>
      <c r="AK463">
        <f>IF(OR(AC463="",P463="",P463&gt;MAX_PRICE),-9999-ROW()*0.0000001,AC463-ROW()*0.0000001)</f>
        <v/>
      </c>
      <c r="AL463">
        <f>IF(AC463="",-9999-ROW()*0.0000001,X463*1000+AC463-ROW()*0.0000001)</f>
        <v/>
      </c>
      <c r="AM463">
        <f>IF(AC463="",-9999-ROW()*0.0000001,Y463*1000+AC463-ROW()*0.0000001)</f>
        <v/>
      </c>
      <c r="AN463">
        <f>IF(AND(OR(AD463="Maybe",AD463="Price Review"),AG463&lt;&gt;"Approved",AG463&lt;&gt;"Rejected"),IF(AC463="",0,AC463)-ROW()*0.0000001,-9999-ROW()*0.0000001)</f>
        <v/>
      </c>
      <c r="AO463" s="21" t="n"/>
      <c r="AP463" s="21" t="n"/>
      <c r="AQ463" s="22" t="n"/>
      <c r="AR463" s="22" t="n"/>
      <c r="AS463" s="16" t="n"/>
      <c r="AT463" s="22" t="n"/>
      <c r="AU463" s="22" t="n"/>
      <c r="AV463" s="22" t="n"/>
      <c r="AW463" s="18">
        <f>IF(OR(O463="",AV463=""),"",O463*AV463)</f>
        <v/>
      </c>
      <c r="AX463" s="16" t="n"/>
      <c r="AY463" s="16" t="n"/>
      <c r="AZ463" s="16" t="n"/>
      <c r="BA463" s="16" t="n"/>
      <c r="BB463" s="16" t="n"/>
      <c r="BC463" s="18" t="n"/>
      <c r="BD463" s="16" t="n"/>
      <c r="BE463" s="16">
        <f>IF(C463="","",IF(AND(ISNUMBER(P463),P463&gt;MAX_PRICE),"Price too high",IF(AND(ISNUMBER(AB463),AB463&lt;=2),"Quality risk",IF(AND(ISNUMBER(U463),U463&lt;=2),"Aesthetic mismatch",IF(AY463="High","Too fragile",IF(AND(ISNUMBER(R463),R463&lt;LOW_PROFIT_PCT),"Low profit",IF(AND(ISNUMBER(AT463),AT463&gt;MOQ_WARNING),"MOQ too high",IF(OR(AD463="Maybe",AD463="Price Review"),"Needs partner review",IF(AD463="Buy","Good candidate","")))))))))</f>
        <v/>
      </c>
      <c r="BF463" s="16" t="n"/>
      <c r="BG463" s="16" t="n"/>
      <c r="BH463" s="16" t="n"/>
      <c r="BI463" s="16" t="n"/>
      <c r="BJ463" s="16" t="n"/>
      <c r="BK463" s="16" t="n"/>
      <c r="BL463" s="16">
        <f>IF(C463="","",IF(AND(BG463="Yes",BH463="Yes",BI463="Yes",BJ463="Yes",BK463="Yes"),"Yes","No"))</f>
        <v/>
      </c>
      <c r="BM463" s="18" t="n"/>
      <c r="BN463" s="18" t="n"/>
      <c r="BO463" s="18">
        <f>IF(OR(BM463="",BN463=""),"",BM463+BN463)</f>
        <v/>
      </c>
      <c r="BP463" s="18" t="n"/>
      <c r="BQ463" s="18">
        <f>IF(OR(BP463="",BO463=""),"",BP463-BO463)</f>
        <v/>
      </c>
      <c r="BR463" s="19">
        <f>IF(OR(BP463="",BP463=0,BQ463=""),"",BQ463/BP463)</f>
        <v/>
      </c>
      <c r="BS463" s="17" t="n"/>
      <c r="BT463" s="22" t="n"/>
      <c r="BU463" s="22" t="n"/>
      <c r="BV463" s="16" t="n"/>
      <c r="BW463" s="16" t="n"/>
      <c r="BX463" s="22">
        <f>IF(OR(BT463="",BU463=""),"",BT463-BU463)</f>
        <v/>
      </c>
      <c r="BY463" s="16" t="n"/>
      <c r="BZ463" s="17" t="n"/>
      <c r="CA463" s="16" t="n"/>
      <c r="CB463" s="16" t="n"/>
    </row>
    <row r="464">
      <c r="A464" s="23">
        <f>IF(C464="","","AYN-"&amp;IFERROR(VLOOKUP(E464,CATEGORY_PREFIX_TABLE,2,FALSE),"OTH")&amp;"-"&amp;TEXT(ROW()-2,"0000"))</f>
        <v/>
      </c>
      <c r="B464" s="24" t="n"/>
      <c r="C464" s="23" t="n"/>
      <c r="D464" s="23" t="n"/>
      <c r="E464" s="23" t="n"/>
      <c r="F464" s="23" t="n"/>
      <c r="G464" s="23" t="n"/>
      <c r="H464" s="23" t="n"/>
      <c r="I464" s="23" t="n"/>
      <c r="J464" s="23" t="n"/>
      <c r="K464" s="25">
        <f>IF(I464="","",IF(J464="BDT",I464,IF(J464="USD",I464*USD_BDT,IF(J464="RMB",I464*RMB_BDT,""))))</f>
        <v/>
      </c>
      <c r="L464" s="25" t="n"/>
      <c r="M464" s="26" t="n"/>
      <c r="N464" s="25" t="n"/>
      <c r="O464" s="25">
        <f>IF(K464="","",K464+IFERROR(L464,0)+(K464*IF(M464="",CUSTOMS_PCT,M464))+IF(N464="",MISC_FEE,N464))</f>
        <v/>
      </c>
      <c r="P464" s="25">
        <f>IF(O464="","",ROUND(O464*(1+MARKUP_PCT),-1)-1)</f>
        <v/>
      </c>
      <c r="Q464" s="25">
        <f>IF(P464="","",P464-O464)</f>
        <v/>
      </c>
      <c r="R464" s="26">
        <f>IF(OR(P464="",P464=0),"",Q464/P464)</f>
        <v/>
      </c>
      <c r="S464" s="23" t="n"/>
      <c r="T464" s="23" t="n"/>
      <c r="U464" s="23" t="n"/>
      <c r="V464" s="23" t="n"/>
      <c r="W464" s="23" t="n"/>
      <c r="X464" s="23" t="n"/>
      <c r="Y464" s="23" t="n"/>
      <c r="Z464" s="23" t="n"/>
      <c r="AA464" s="23" t="n"/>
      <c r="AB464" s="23" t="n"/>
      <c r="AC464" s="27">
        <f>IF(COUNT(S464:AB464)&lt;10,"",(S464*W_FEMININE+T464*W_TREND+U464*W_AESTHETIC+V464*W_STYLE+W464*W_LIGHT+X464*W_REELS+Y464*W_GIFT+Z464*W_PRICEFIT+AA464*W_DEMAND+AB464*W_QUALITY)/5*100)</f>
        <v/>
      </c>
      <c r="AD464" s="23">
        <f>IF(P464="","",IF(P464&gt;HARD_REJECT_PRICE,"Reject",IF(P464&gt;MAX_PRICE,"Price Review",IF(AC464="","",IF(AND(AC464&gt;=BUY_THRESHOLD,OR(AB464&lt;=2,U464&lt;=2)),"Maybe",IF(AC464&gt;=BUY_THRESHOLD,"Buy",IF(AC464&gt;=MAYBE_THRESHOLD,"Maybe","Reject")))))))</f>
        <v/>
      </c>
      <c r="AE464" s="23" t="n"/>
      <c r="AF464" s="23" t="n"/>
      <c r="AG464" s="23" t="n"/>
      <c r="AH464" s="23" t="n"/>
      <c r="AI464" s="24" t="n"/>
      <c r="AJ464">
        <f>IF(AC464="",-9999-ROW()*0.0000001,AC464-ROW()*0.0000001)</f>
        <v/>
      </c>
      <c r="AK464">
        <f>IF(OR(AC464="",P464="",P464&gt;MAX_PRICE),-9999-ROW()*0.0000001,AC464-ROW()*0.0000001)</f>
        <v/>
      </c>
      <c r="AL464">
        <f>IF(AC464="",-9999-ROW()*0.0000001,X464*1000+AC464-ROW()*0.0000001)</f>
        <v/>
      </c>
      <c r="AM464">
        <f>IF(AC464="",-9999-ROW()*0.0000001,Y464*1000+AC464-ROW()*0.0000001)</f>
        <v/>
      </c>
      <c r="AN464">
        <f>IF(AND(OR(AD464="Maybe",AD464="Price Review"),AG464&lt;&gt;"Approved",AG464&lt;&gt;"Rejected"),IF(AC464="",0,AC464)-ROW()*0.0000001,-9999-ROW()*0.0000001)</f>
        <v/>
      </c>
      <c r="AO464" s="28" t="n"/>
      <c r="AP464" s="28" t="n"/>
      <c r="AQ464" s="29" t="n"/>
      <c r="AR464" s="29" t="n"/>
      <c r="AS464" s="23" t="n"/>
      <c r="AT464" s="29" t="n"/>
      <c r="AU464" s="29" t="n"/>
      <c r="AV464" s="29" t="n"/>
      <c r="AW464" s="25">
        <f>IF(OR(O464="",AV464=""),"",O464*AV464)</f>
        <v/>
      </c>
      <c r="AX464" s="23" t="n"/>
      <c r="AY464" s="23" t="n"/>
      <c r="AZ464" s="23" t="n"/>
      <c r="BA464" s="23" t="n"/>
      <c r="BB464" s="23" t="n"/>
      <c r="BC464" s="25" t="n"/>
      <c r="BD464" s="23" t="n"/>
      <c r="BE464" s="23">
        <f>IF(C464="","",IF(AND(ISNUMBER(P464),P464&gt;MAX_PRICE),"Price too high",IF(AND(ISNUMBER(AB464),AB464&lt;=2),"Quality risk",IF(AND(ISNUMBER(U464),U464&lt;=2),"Aesthetic mismatch",IF(AY464="High","Too fragile",IF(AND(ISNUMBER(R464),R464&lt;LOW_PROFIT_PCT),"Low profit",IF(AND(ISNUMBER(AT464),AT464&gt;MOQ_WARNING),"MOQ too high",IF(OR(AD464="Maybe",AD464="Price Review"),"Needs partner review",IF(AD464="Buy","Good candidate","")))))))))</f>
        <v/>
      </c>
      <c r="BF464" s="23" t="n"/>
      <c r="BG464" s="23" t="n"/>
      <c r="BH464" s="23" t="n"/>
      <c r="BI464" s="23" t="n"/>
      <c r="BJ464" s="23" t="n"/>
      <c r="BK464" s="23" t="n"/>
      <c r="BL464" s="23">
        <f>IF(C464="","",IF(AND(BG464="Yes",BH464="Yes",BI464="Yes",BJ464="Yes",BK464="Yes"),"Yes","No"))</f>
        <v/>
      </c>
      <c r="BM464" s="25" t="n"/>
      <c r="BN464" s="25" t="n"/>
      <c r="BO464" s="25">
        <f>IF(OR(BM464="",BN464=""),"",BM464+BN464)</f>
        <v/>
      </c>
      <c r="BP464" s="25" t="n"/>
      <c r="BQ464" s="25">
        <f>IF(OR(BP464="",BO464=""),"",BP464-BO464)</f>
        <v/>
      </c>
      <c r="BR464" s="26">
        <f>IF(OR(BP464="",BP464=0,BQ464=""),"",BQ464/BP464)</f>
        <v/>
      </c>
      <c r="BS464" s="24" t="n"/>
      <c r="BT464" s="29" t="n"/>
      <c r="BU464" s="29" t="n"/>
      <c r="BV464" s="23" t="n"/>
      <c r="BW464" s="23" t="n"/>
      <c r="BX464" s="29">
        <f>IF(OR(BT464="",BU464=""),"",BT464-BU464)</f>
        <v/>
      </c>
      <c r="BY464" s="23" t="n"/>
      <c r="BZ464" s="24" t="n"/>
      <c r="CA464" s="23" t="n"/>
      <c r="CB464" s="23" t="n"/>
    </row>
    <row r="465">
      <c r="A465" s="16">
        <f>IF(C465="","","AYN-"&amp;IFERROR(VLOOKUP(E465,CATEGORY_PREFIX_TABLE,2,FALSE),"OTH")&amp;"-"&amp;TEXT(ROW()-2,"0000"))</f>
        <v/>
      </c>
      <c r="B465" s="17" t="n"/>
      <c r="C465" s="16" t="n"/>
      <c r="D465" s="16" t="n"/>
      <c r="E465" s="16" t="n"/>
      <c r="F465" s="16" t="n"/>
      <c r="G465" s="16" t="n"/>
      <c r="H465" s="16" t="n"/>
      <c r="I465" s="16" t="n"/>
      <c r="J465" s="16" t="n"/>
      <c r="K465" s="18">
        <f>IF(I465="","",IF(J465="BDT",I465,IF(J465="USD",I465*USD_BDT,IF(J465="RMB",I465*RMB_BDT,""))))</f>
        <v/>
      </c>
      <c r="L465" s="18" t="n"/>
      <c r="M465" s="19" t="n"/>
      <c r="N465" s="18" t="n"/>
      <c r="O465" s="18">
        <f>IF(K465="","",K465+IFERROR(L465,0)+(K465*IF(M465="",CUSTOMS_PCT,M465))+IF(N465="",MISC_FEE,N465))</f>
        <v/>
      </c>
      <c r="P465" s="18">
        <f>IF(O465="","",ROUND(O465*(1+MARKUP_PCT),-1)-1)</f>
        <v/>
      </c>
      <c r="Q465" s="18">
        <f>IF(P465="","",P465-O465)</f>
        <v/>
      </c>
      <c r="R465" s="19">
        <f>IF(OR(P465="",P465=0),"",Q465/P465)</f>
        <v/>
      </c>
      <c r="S465" s="16" t="n"/>
      <c r="T465" s="16" t="n"/>
      <c r="U465" s="16" t="n"/>
      <c r="V465" s="16" t="n"/>
      <c r="W465" s="16" t="n"/>
      <c r="X465" s="16" t="n"/>
      <c r="Y465" s="16" t="n"/>
      <c r="Z465" s="16" t="n"/>
      <c r="AA465" s="16" t="n"/>
      <c r="AB465" s="16" t="n"/>
      <c r="AC465" s="20">
        <f>IF(COUNT(S465:AB465)&lt;10,"",(S465*W_FEMININE+T465*W_TREND+U465*W_AESTHETIC+V465*W_STYLE+W465*W_LIGHT+X465*W_REELS+Y465*W_GIFT+Z465*W_PRICEFIT+AA465*W_DEMAND+AB465*W_QUALITY)/5*100)</f>
        <v/>
      </c>
      <c r="AD465" s="16">
        <f>IF(P465="","",IF(P465&gt;HARD_REJECT_PRICE,"Reject",IF(P465&gt;MAX_PRICE,"Price Review",IF(AC465="","",IF(AND(AC465&gt;=BUY_THRESHOLD,OR(AB465&lt;=2,U465&lt;=2)),"Maybe",IF(AC465&gt;=BUY_THRESHOLD,"Buy",IF(AC465&gt;=MAYBE_THRESHOLD,"Maybe","Reject")))))))</f>
        <v/>
      </c>
      <c r="AE465" s="16" t="n"/>
      <c r="AF465" s="16" t="n"/>
      <c r="AG465" s="16" t="n"/>
      <c r="AH465" s="16" t="n"/>
      <c r="AI465" s="17" t="n"/>
      <c r="AJ465">
        <f>IF(AC465="",-9999-ROW()*0.0000001,AC465-ROW()*0.0000001)</f>
        <v/>
      </c>
      <c r="AK465">
        <f>IF(OR(AC465="",P465="",P465&gt;MAX_PRICE),-9999-ROW()*0.0000001,AC465-ROW()*0.0000001)</f>
        <v/>
      </c>
      <c r="AL465">
        <f>IF(AC465="",-9999-ROW()*0.0000001,X465*1000+AC465-ROW()*0.0000001)</f>
        <v/>
      </c>
      <c r="AM465">
        <f>IF(AC465="",-9999-ROW()*0.0000001,Y465*1000+AC465-ROW()*0.0000001)</f>
        <v/>
      </c>
      <c r="AN465">
        <f>IF(AND(OR(AD465="Maybe",AD465="Price Review"),AG465&lt;&gt;"Approved",AG465&lt;&gt;"Rejected"),IF(AC465="",0,AC465)-ROW()*0.0000001,-9999-ROW()*0.0000001)</f>
        <v/>
      </c>
      <c r="AO465" s="21" t="n"/>
      <c r="AP465" s="21" t="n"/>
      <c r="AQ465" s="22" t="n"/>
      <c r="AR465" s="22" t="n"/>
      <c r="AS465" s="16" t="n"/>
      <c r="AT465" s="22" t="n"/>
      <c r="AU465" s="22" t="n"/>
      <c r="AV465" s="22" t="n"/>
      <c r="AW465" s="18">
        <f>IF(OR(O465="",AV465=""),"",O465*AV465)</f>
        <v/>
      </c>
      <c r="AX465" s="16" t="n"/>
      <c r="AY465" s="16" t="n"/>
      <c r="AZ465" s="16" t="n"/>
      <c r="BA465" s="16" t="n"/>
      <c r="BB465" s="16" t="n"/>
      <c r="BC465" s="18" t="n"/>
      <c r="BD465" s="16" t="n"/>
      <c r="BE465" s="16">
        <f>IF(C465="","",IF(AND(ISNUMBER(P465),P465&gt;MAX_PRICE),"Price too high",IF(AND(ISNUMBER(AB465),AB465&lt;=2),"Quality risk",IF(AND(ISNUMBER(U465),U465&lt;=2),"Aesthetic mismatch",IF(AY465="High","Too fragile",IF(AND(ISNUMBER(R465),R465&lt;LOW_PROFIT_PCT),"Low profit",IF(AND(ISNUMBER(AT465),AT465&gt;MOQ_WARNING),"MOQ too high",IF(OR(AD465="Maybe",AD465="Price Review"),"Needs partner review",IF(AD465="Buy","Good candidate","")))))))))</f>
        <v/>
      </c>
      <c r="BF465" s="16" t="n"/>
      <c r="BG465" s="16" t="n"/>
      <c r="BH465" s="16" t="n"/>
      <c r="BI465" s="16" t="n"/>
      <c r="BJ465" s="16" t="n"/>
      <c r="BK465" s="16" t="n"/>
      <c r="BL465" s="16">
        <f>IF(C465="","",IF(AND(BG465="Yes",BH465="Yes",BI465="Yes",BJ465="Yes",BK465="Yes"),"Yes","No"))</f>
        <v/>
      </c>
      <c r="BM465" s="18" t="n"/>
      <c r="BN465" s="18" t="n"/>
      <c r="BO465" s="18">
        <f>IF(OR(BM465="",BN465=""),"",BM465+BN465)</f>
        <v/>
      </c>
      <c r="BP465" s="18" t="n"/>
      <c r="BQ465" s="18">
        <f>IF(OR(BP465="",BO465=""),"",BP465-BO465)</f>
        <v/>
      </c>
      <c r="BR465" s="19">
        <f>IF(OR(BP465="",BP465=0,BQ465=""),"",BQ465/BP465)</f>
        <v/>
      </c>
      <c r="BS465" s="17" t="n"/>
      <c r="BT465" s="22" t="n"/>
      <c r="BU465" s="22" t="n"/>
      <c r="BV465" s="16" t="n"/>
      <c r="BW465" s="16" t="n"/>
      <c r="BX465" s="22">
        <f>IF(OR(BT465="",BU465=""),"",BT465-BU465)</f>
        <v/>
      </c>
      <c r="BY465" s="16" t="n"/>
      <c r="BZ465" s="17" t="n"/>
      <c r="CA465" s="16" t="n"/>
      <c r="CB465" s="16" t="n"/>
    </row>
    <row r="466">
      <c r="A466" s="23">
        <f>IF(C466="","","AYN-"&amp;IFERROR(VLOOKUP(E466,CATEGORY_PREFIX_TABLE,2,FALSE),"OTH")&amp;"-"&amp;TEXT(ROW()-2,"0000"))</f>
        <v/>
      </c>
      <c r="B466" s="24" t="n"/>
      <c r="C466" s="23" t="n"/>
      <c r="D466" s="23" t="n"/>
      <c r="E466" s="23" t="n"/>
      <c r="F466" s="23" t="n"/>
      <c r="G466" s="23" t="n"/>
      <c r="H466" s="23" t="n"/>
      <c r="I466" s="23" t="n"/>
      <c r="J466" s="23" t="n"/>
      <c r="K466" s="25">
        <f>IF(I466="","",IF(J466="BDT",I466,IF(J466="USD",I466*USD_BDT,IF(J466="RMB",I466*RMB_BDT,""))))</f>
        <v/>
      </c>
      <c r="L466" s="25" t="n"/>
      <c r="M466" s="26" t="n"/>
      <c r="N466" s="25" t="n"/>
      <c r="O466" s="25">
        <f>IF(K466="","",K466+IFERROR(L466,0)+(K466*IF(M466="",CUSTOMS_PCT,M466))+IF(N466="",MISC_FEE,N466))</f>
        <v/>
      </c>
      <c r="P466" s="25">
        <f>IF(O466="","",ROUND(O466*(1+MARKUP_PCT),-1)-1)</f>
        <v/>
      </c>
      <c r="Q466" s="25">
        <f>IF(P466="","",P466-O466)</f>
        <v/>
      </c>
      <c r="R466" s="26">
        <f>IF(OR(P466="",P466=0),"",Q466/P466)</f>
        <v/>
      </c>
      <c r="S466" s="23" t="n"/>
      <c r="T466" s="23" t="n"/>
      <c r="U466" s="23" t="n"/>
      <c r="V466" s="23" t="n"/>
      <c r="W466" s="23" t="n"/>
      <c r="X466" s="23" t="n"/>
      <c r="Y466" s="23" t="n"/>
      <c r="Z466" s="23" t="n"/>
      <c r="AA466" s="23" t="n"/>
      <c r="AB466" s="23" t="n"/>
      <c r="AC466" s="27">
        <f>IF(COUNT(S466:AB466)&lt;10,"",(S466*W_FEMININE+T466*W_TREND+U466*W_AESTHETIC+V466*W_STYLE+W466*W_LIGHT+X466*W_REELS+Y466*W_GIFT+Z466*W_PRICEFIT+AA466*W_DEMAND+AB466*W_QUALITY)/5*100)</f>
        <v/>
      </c>
      <c r="AD466" s="23">
        <f>IF(P466="","",IF(P466&gt;HARD_REJECT_PRICE,"Reject",IF(P466&gt;MAX_PRICE,"Price Review",IF(AC466="","",IF(AND(AC466&gt;=BUY_THRESHOLD,OR(AB466&lt;=2,U466&lt;=2)),"Maybe",IF(AC466&gt;=BUY_THRESHOLD,"Buy",IF(AC466&gt;=MAYBE_THRESHOLD,"Maybe","Reject")))))))</f>
        <v/>
      </c>
      <c r="AE466" s="23" t="n"/>
      <c r="AF466" s="23" t="n"/>
      <c r="AG466" s="23" t="n"/>
      <c r="AH466" s="23" t="n"/>
      <c r="AI466" s="24" t="n"/>
      <c r="AJ466">
        <f>IF(AC466="",-9999-ROW()*0.0000001,AC466-ROW()*0.0000001)</f>
        <v/>
      </c>
      <c r="AK466">
        <f>IF(OR(AC466="",P466="",P466&gt;MAX_PRICE),-9999-ROW()*0.0000001,AC466-ROW()*0.0000001)</f>
        <v/>
      </c>
      <c r="AL466">
        <f>IF(AC466="",-9999-ROW()*0.0000001,X466*1000+AC466-ROW()*0.0000001)</f>
        <v/>
      </c>
      <c r="AM466">
        <f>IF(AC466="",-9999-ROW()*0.0000001,Y466*1000+AC466-ROW()*0.0000001)</f>
        <v/>
      </c>
      <c r="AN466">
        <f>IF(AND(OR(AD466="Maybe",AD466="Price Review"),AG466&lt;&gt;"Approved",AG466&lt;&gt;"Rejected"),IF(AC466="",0,AC466)-ROW()*0.0000001,-9999-ROW()*0.0000001)</f>
        <v/>
      </c>
      <c r="AO466" s="28" t="n"/>
      <c r="AP466" s="28" t="n"/>
      <c r="AQ466" s="29" t="n"/>
      <c r="AR466" s="29" t="n"/>
      <c r="AS466" s="23" t="n"/>
      <c r="AT466" s="29" t="n"/>
      <c r="AU466" s="29" t="n"/>
      <c r="AV466" s="29" t="n"/>
      <c r="AW466" s="25">
        <f>IF(OR(O466="",AV466=""),"",O466*AV466)</f>
        <v/>
      </c>
      <c r="AX466" s="23" t="n"/>
      <c r="AY466" s="23" t="n"/>
      <c r="AZ466" s="23" t="n"/>
      <c r="BA466" s="23" t="n"/>
      <c r="BB466" s="23" t="n"/>
      <c r="BC466" s="25" t="n"/>
      <c r="BD466" s="23" t="n"/>
      <c r="BE466" s="23">
        <f>IF(C466="","",IF(AND(ISNUMBER(P466),P466&gt;MAX_PRICE),"Price too high",IF(AND(ISNUMBER(AB466),AB466&lt;=2),"Quality risk",IF(AND(ISNUMBER(U466),U466&lt;=2),"Aesthetic mismatch",IF(AY466="High","Too fragile",IF(AND(ISNUMBER(R466),R466&lt;LOW_PROFIT_PCT),"Low profit",IF(AND(ISNUMBER(AT466),AT466&gt;MOQ_WARNING),"MOQ too high",IF(OR(AD466="Maybe",AD466="Price Review"),"Needs partner review",IF(AD466="Buy","Good candidate","")))))))))</f>
        <v/>
      </c>
      <c r="BF466" s="23" t="n"/>
      <c r="BG466" s="23" t="n"/>
      <c r="BH466" s="23" t="n"/>
      <c r="BI466" s="23" t="n"/>
      <c r="BJ466" s="23" t="n"/>
      <c r="BK466" s="23" t="n"/>
      <c r="BL466" s="23">
        <f>IF(C466="","",IF(AND(BG466="Yes",BH466="Yes",BI466="Yes",BJ466="Yes",BK466="Yes"),"Yes","No"))</f>
        <v/>
      </c>
      <c r="BM466" s="25" t="n"/>
      <c r="BN466" s="25" t="n"/>
      <c r="BO466" s="25">
        <f>IF(OR(BM466="",BN466=""),"",BM466+BN466)</f>
        <v/>
      </c>
      <c r="BP466" s="25" t="n"/>
      <c r="BQ466" s="25">
        <f>IF(OR(BP466="",BO466=""),"",BP466-BO466)</f>
        <v/>
      </c>
      <c r="BR466" s="26">
        <f>IF(OR(BP466="",BP466=0,BQ466=""),"",BQ466/BP466)</f>
        <v/>
      </c>
      <c r="BS466" s="24" t="n"/>
      <c r="BT466" s="29" t="n"/>
      <c r="BU466" s="29" t="n"/>
      <c r="BV466" s="23" t="n"/>
      <c r="BW466" s="23" t="n"/>
      <c r="BX466" s="29">
        <f>IF(OR(BT466="",BU466=""),"",BT466-BU466)</f>
        <v/>
      </c>
      <c r="BY466" s="23" t="n"/>
      <c r="BZ466" s="24" t="n"/>
      <c r="CA466" s="23" t="n"/>
      <c r="CB466" s="23" t="n"/>
    </row>
    <row r="467">
      <c r="A467" s="16">
        <f>IF(C467="","","AYN-"&amp;IFERROR(VLOOKUP(E467,CATEGORY_PREFIX_TABLE,2,FALSE),"OTH")&amp;"-"&amp;TEXT(ROW()-2,"0000"))</f>
        <v/>
      </c>
      <c r="B467" s="17" t="n"/>
      <c r="C467" s="16" t="n"/>
      <c r="D467" s="16" t="n"/>
      <c r="E467" s="16" t="n"/>
      <c r="F467" s="16" t="n"/>
      <c r="G467" s="16" t="n"/>
      <c r="H467" s="16" t="n"/>
      <c r="I467" s="16" t="n"/>
      <c r="J467" s="16" t="n"/>
      <c r="K467" s="18">
        <f>IF(I467="","",IF(J467="BDT",I467,IF(J467="USD",I467*USD_BDT,IF(J467="RMB",I467*RMB_BDT,""))))</f>
        <v/>
      </c>
      <c r="L467" s="18" t="n"/>
      <c r="M467" s="19" t="n"/>
      <c r="N467" s="18" t="n"/>
      <c r="O467" s="18">
        <f>IF(K467="","",K467+IFERROR(L467,0)+(K467*IF(M467="",CUSTOMS_PCT,M467))+IF(N467="",MISC_FEE,N467))</f>
        <v/>
      </c>
      <c r="P467" s="18">
        <f>IF(O467="","",ROUND(O467*(1+MARKUP_PCT),-1)-1)</f>
        <v/>
      </c>
      <c r="Q467" s="18">
        <f>IF(P467="","",P467-O467)</f>
        <v/>
      </c>
      <c r="R467" s="19">
        <f>IF(OR(P467="",P467=0),"",Q467/P467)</f>
        <v/>
      </c>
      <c r="S467" s="16" t="n"/>
      <c r="T467" s="16" t="n"/>
      <c r="U467" s="16" t="n"/>
      <c r="V467" s="16" t="n"/>
      <c r="W467" s="16" t="n"/>
      <c r="X467" s="16" t="n"/>
      <c r="Y467" s="16" t="n"/>
      <c r="Z467" s="16" t="n"/>
      <c r="AA467" s="16" t="n"/>
      <c r="AB467" s="16" t="n"/>
      <c r="AC467" s="20">
        <f>IF(COUNT(S467:AB467)&lt;10,"",(S467*W_FEMININE+T467*W_TREND+U467*W_AESTHETIC+V467*W_STYLE+W467*W_LIGHT+X467*W_REELS+Y467*W_GIFT+Z467*W_PRICEFIT+AA467*W_DEMAND+AB467*W_QUALITY)/5*100)</f>
        <v/>
      </c>
      <c r="AD467" s="16">
        <f>IF(P467="","",IF(P467&gt;HARD_REJECT_PRICE,"Reject",IF(P467&gt;MAX_PRICE,"Price Review",IF(AC467="","",IF(AND(AC467&gt;=BUY_THRESHOLD,OR(AB467&lt;=2,U467&lt;=2)),"Maybe",IF(AC467&gt;=BUY_THRESHOLD,"Buy",IF(AC467&gt;=MAYBE_THRESHOLD,"Maybe","Reject")))))))</f>
        <v/>
      </c>
      <c r="AE467" s="16" t="n"/>
      <c r="AF467" s="16" t="n"/>
      <c r="AG467" s="16" t="n"/>
      <c r="AH467" s="16" t="n"/>
      <c r="AI467" s="17" t="n"/>
      <c r="AJ467">
        <f>IF(AC467="",-9999-ROW()*0.0000001,AC467-ROW()*0.0000001)</f>
        <v/>
      </c>
      <c r="AK467">
        <f>IF(OR(AC467="",P467="",P467&gt;MAX_PRICE),-9999-ROW()*0.0000001,AC467-ROW()*0.0000001)</f>
        <v/>
      </c>
      <c r="AL467">
        <f>IF(AC467="",-9999-ROW()*0.0000001,X467*1000+AC467-ROW()*0.0000001)</f>
        <v/>
      </c>
      <c r="AM467">
        <f>IF(AC467="",-9999-ROW()*0.0000001,Y467*1000+AC467-ROW()*0.0000001)</f>
        <v/>
      </c>
      <c r="AN467">
        <f>IF(AND(OR(AD467="Maybe",AD467="Price Review"),AG467&lt;&gt;"Approved",AG467&lt;&gt;"Rejected"),IF(AC467="",0,AC467)-ROW()*0.0000001,-9999-ROW()*0.0000001)</f>
        <v/>
      </c>
      <c r="AO467" s="21" t="n"/>
      <c r="AP467" s="21" t="n"/>
      <c r="AQ467" s="22" t="n"/>
      <c r="AR467" s="22" t="n"/>
      <c r="AS467" s="16" t="n"/>
      <c r="AT467" s="22" t="n"/>
      <c r="AU467" s="22" t="n"/>
      <c r="AV467" s="22" t="n"/>
      <c r="AW467" s="18">
        <f>IF(OR(O467="",AV467=""),"",O467*AV467)</f>
        <v/>
      </c>
      <c r="AX467" s="16" t="n"/>
      <c r="AY467" s="16" t="n"/>
      <c r="AZ467" s="16" t="n"/>
      <c r="BA467" s="16" t="n"/>
      <c r="BB467" s="16" t="n"/>
      <c r="BC467" s="18" t="n"/>
      <c r="BD467" s="16" t="n"/>
      <c r="BE467" s="16">
        <f>IF(C467="","",IF(AND(ISNUMBER(P467),P467&gt;MAX_PRICE),"Price too high",IF(AND(ISNUMBER(AB467),AB467&lt;=2),"Quality risk",IF(AND(ISNUMBER(U467),U467&lt;=2),"Aesthetic mismatch",IF(AY467="High","Too fragile",IF(AND(ISNUMBER(R467),R467&lt;LOW_PROFIT_PCT),"Low profit",IF(AND(ISNUMBER(AT467),AT467&gt;MOQ_WARNING),"MOQ too high",IF(OR(AD467="Maybe",AD467="Price Review"),"Needs partner review",IF(AD467="Buy","Good candidate","")))))))))</f>
        <v/>
      </c>
      <c r="BF467" s="16" t="n"/>
      <c r="BG467" s="16" t="n"/>
      <c r="BH467" s="16" t="n"/>
      <c r="BI467" s="16" t="n"/>
      <c r="BJ467" s="16" t="n"/>
      <c r="BK467" s="16" t="n"/>
      <c r="BL467" s="16">
        <f>IF(C467="","",IF(AND(BG467="Yes",BH467="Yes",BI467="Yes",BJ467="Yes",BK467="Yes"),"Yes","No"))</f>
        <v/>
      </c>
      <c r="BM467" s="18" t="n"/>
      <c r="BN467" s="18" t="n"/>
      <c r="BO467" s="18">
        <f>IF(OR(BM467="",BN467=""),"",BM467+BN467)</f>
        <v/>
      </c>
      <c r="BP467" s="18" t="n"/>
      <c r="BQ467" s="18">
        <f>IF(OR(BP467="",BO467=""),"",BP467-BO467)</f>
        <v/>
      </c>
      <c r="BR467" s="19">
        <f>IF(OR(BP467="",BP467=0,BQ467=""),"",BQ467/BP467)</f>
        <v/>
      </c>
      <c r="BS467" s="17" t="n"/>
      <c r="BT467" s="22" t="n"/>
      <c r="BU467" s="22" t="n"/>
      <c r="BV467" s="16" t="n"/>
      <c r="BW467" s="16" t="n"/>
      <c r="BX467" s="22">
        <f>IF(OR(BT467="",BU467=""),"",BT467-BU467)</f>
        <v/>
      </c>
      <c r="BY467" s="16" t="n"/>
      <c r="BZ467" s="17" t="n"/>
      <c r="CA467" s="16" t="n"/>
      <c r="CB467" s="16" t="n"/>
    </row>
    <row r="468">
      <c r="A468" s="23">
        <f>IF(C468="","","AYN-"&amp;IFERROR(VLOOKUP(E468,CATEGORY_PREFIX_TABLE,2,FALSE),"OTH")&amp;"-"&amp;TEXT(ROW()-2,"0000"))</f>
        <v/>
      </c>
      <c r="B468" s="24" t="n"/>
      <c r="C468" s="23" t="n"/>
      <c r="D468" s="23" t="n"/>
      <c r="E468" s="23" t="n"/>
      <c r="F468" s="23" t="n"/>
      <c r="G468" s="23" t="n"/>
      <c r="H468" s="23" t="n"/>
      <c r="I468" s="23" t="n"/>
      <c r="J468" s="23" t="n"/>
      <c r="K468" s="25">
        <f>IF(I468="","",IF(J468="BDT",I468,IF(J468="USD",I468*USD_BDT,IF(J468="RMB",I468*RMB_BDT,""))))</f>
        <v/>
      </c>
      <c r="L468" s="25" t="n"/>
      <c r="M468" s="26" t="n"/>
      <c r="N468" s="25" t="n"/>
      <c r="O468" s="25">
        <f>IF(K468="","",K468+IFERROR(L468,0)+(K468*IF(M468="",CUSTOMS_PCT,M468))+IF(N468="",MISC_FEE,N468))</f>
        <v/>
      </c>
      <c r="P468" s="25">
        <f>IF(O468="","",ROUND(O468*(1+MARKUP_PCT),-1)-1)</f>
        <v/>
      </c>
      <c r="Q468" s="25">
        <f>IF(P468="","",P468-O468)</f>
        <v/>
      </c>
      <c r="R468" s="26">
        <f>IF(OR(P468="",P468=0),"",Q468/P468)</f>
        <v/>
      </c>
      <c r="S468" s="23" t="n"/>
      <c r="T468" s="23" t="n"/>
      <c r="U468" s="23" t="n"/>
      <c r="V468" s="23" t="n"/>
      <c r="W468" s="23" t="n"/>
      <c r="X468" s="23" t="n"/>
      <c r="Y468" s="23" t="n"/>
      <c r="Z468" s="23" t="n"/>
      <c r="AA468" s="23" t="n"/>
      <c r="AB468" s="23" t="n"/>
      <c r="AC468" s="27">
        <f>IF(COUNT(S468:AB468)&lt;10,"",(S468*W_FEMININE+T468*W_TREND+U468*W_AESTHETIC+V468*W_STYLE+W468*W_LIGHT+X468*W_REELS+Y468*W_GIFT+Z468*W_PRICEFIT+AA468*W_DEMAND+AB468*W_QUALITY)/5*100)</f>
        <v/>
      </c>
      <c r="AD468" s="23">
        <f>IF(P468="","",IF(P468&gt;HARD_REJECT_PRICE,"Reject",IF(P468&gt;MAX_PRICE,"Price Review",IF(AC468="","",IF(AND(AC468&gt;=BUY_THRESHOLD,OR(AB468&lt;=2,U468&lt;=2)),"Maybe",IF(AC468&gt;=BUY_THRESHOLD,"Buy",IF(AC468&gt;=MAYBE_THRESHOLD,"Maybe","Reject")))))))</f>
        <v/>
      </c>
      <c r="AE468" s="23" t="n"/>
      <c r="AF468" s="23" t="n"/>
      <c r="AG468" s="23" t="n"/>
      <c r="AH468" s="23" t="n"/>
      <c r="AI468" s="24" t="n"/>
      <c r="AJ468">
        <f>IF(AC468="",-9999-ROW()*0.0000001,AC468-ROW()*0.0000001)</f>
        <v/>
      </c>
      <c r="AK468">
        <f>IF(OR(AC468="",P468="",P468&gt;MAX_PRICE),-9999-ROW()*0.0000001,AC468-ROW()*0.0000001)</f>
        <v/>
      </c>
      <c r="AL468">
        <f>IF(AC468="",-9999-ROW()*0.0000001,X468*1000+AC468-ROW()*0.0000001)</f>
        <v/>
      </c>
      <c r="AM468">
        <f>IF(AC468="",-9999-ROW()*0.0000001,Y468*1000+AC468-ROW()*0.0000001)</f>
        <v/>
      </c>
      <c r="AN468">
        <f>IF(AND(OR(AD468="Maybe",AD468="Price Review"),AG468&lt;&gt;"Approved",AG468&lt;&gt;"Rejected"),IF(AC468="",0,AC468)-ROW()*0.0000001,-9999-ROW()*0.0000001)</f>
        <v/>
      </c>
      <c r="AO468" s="28" t="n"/>
      <c r="AP468" s="28" t="n"/>
      <c r="AQ468" s="29" t="n"/>
      <c r="AR468" s="29" t="n"/>
      <c r="AS468" s="23" t="n"/>
      <c r="AT468" s="29" t="n"/>
      <c r="AU468" s="29" t="n"/>
      <c r="AV468" s="29" t="n"/>
      <c r="AW468" s="25">
        <f>IF(OR(O468="",AV468=""),"",O468*AV468)</f>
        <v/>
      </c>
      <c r="AX468" s="23" t="n"/>
      <c r="AY468" s="23" t="n"/>
      <c r="AZ468" s="23" t="n"/>
      <c r="BA468" s="23" t="n"/>
      <c r="BB468" s="23" t="n"/>
      <c r="BC468" s="25" t="n"/>
      <c r="BD468" s="23" t="n"/>
      <c r="BE468" s="23">
        <f>IF(C468="","",IF(AND(ISNUMBER(P468),P468&gt;MAX_PRICE),"Price too high",IF(AND(ISNUMBER(AB468),AB468&lt;=2),"Quality risk",IF(AND(ISNUMBER(U468),U468&lt;=2),"Aesthetic mismatch",IF(AY468="High","Too fragile",IF(AND(ISNUMBER(R468),R468&lt;LOW_PROFIT_PCT),"Low profit",IF(AND(ISNUMBER(AT468),AT468&gt;MOQ_WARNING),"MOQ too high",IF(OR(AD468="Maybe",AD468="Price Review"),"Needs partner review",IF(AD468="Buy","Good candidate","")))))))))</f>
        <v/>
      </c>
      <c r="BF468" s="23" t="n"/>
      <c r="BG468" s="23" t="n"/>
      <c r="BH468" s="23" t="n"/>
      <c r="BI468" s="23" t="n"/>
      <c r="BJ468" s="23" t="n"/>
      <c r="BK468" s="23" t="n"/>
      <c r="BL468" s="23">
        <f>IF(C468="","",IF(AND(BG468="Yes",BH468="Yes",BI468="Yes",BJ468="Yes",BK468="Yes"),"Yes","No"))</f>
        <v/>
      </c>
      <c r="BM468" s="25" t="n"/>
      <c r="BN468" s="25" t="n"/>
      <c r="BO468" s="25">
        <f>IF(OR(BM468="",BN468=""),"",BM468+BN468)</f>
        <v/>
      </c>
      <c r="BP468" s="25" t="n"/>
      <c r="BQ468" s="25">
        <f>IF(OR(BP468="",BO468=""),"",BP468-BO468)</f>
        <v/>
      </c>
      <c r="BR468" s="26">
        <f>IF(OR(BP468="",BP468=0,BQ468=""),"",BQ468/BP468)</f>
        <v/>
      </c>
      <c r="BS468" s="24" t="n"/>
      <c r="BT468" s="29" t="n"/>
      <c r="BU468" s="29" t="n"/>
      <c r="BV468" s="23" t="n"/>
      <c r="BW468" s="23" t="n"/>
      <c r="BX468" s="29">
        <f>IF(OR(BT468="",BU468=""),"",BT468-BU468)</f>
        <v/>
      </c>
      <c r="BY468" s="23" t="n"/>
      <c r="BZ468" s="24" t="n"/>
      <c r="CA468" s="23" t="n"/>
      <c r="CB468" s="23" t="n"/>
    </row>
    <row r="469">
      <c r="A469" s="16">
        <f>IF(C469="","","AYN-"&amp;IFERROR(VLOOKUP(E469,CATEGORY_PREFIX_TABLE,2,FALSE),"OTH")&amp;"-"&amp;TEXT(ROW()-2,"0000"))</f>
        <v/>
      </c>
      <c r="B469" s="17" t="n"/>
      <c r="C469" s="16" t="n"/>
      <c r="D469" s="16" t="n"/>
      <c r="E469" s="16" t="n"/>
      <c r="F469" s="16" t="n"/>
      <c r="G469" s="16" t="n"/>
      <c r="H469" s="16" t="n"/>
      <c r="I469" s="16" t="n"/>
      <c r="J469" s="16" t="n"/>
      <c r="K469" s="18">
        <f>IF(I469="","",IF(J469="BDT",I469,IF(J469="USD",I469*USD_BDT,IF(J469="RMB",I469*RMB_BDT,""))))</f>
        <v/>
      </c>
      <c r="L469" s="18" t="n"/>
      <c r="M469" s="19" t="n"/>
      <c r="N469" s="18" t="n"/>
      <c r="O469" s="18">
        <f>IF(K469="","",K469+IFERROR(L469,0)+(K469*IF(M469="",CUSTOMS_PCT,M469))+IF(N469="",MISC_FEE,N469))</f>
        <v/>
      </c>
      <c r="P469" s="18">
        <f>IF(O469="","",ROUND(O469*(1+MARKUP_PCT),-1)-1)</f>
        <v/>
      </c>
      <c r="Q469" s="18">
        <f>IF(P469="","",P469-O469)</f>
        <v/>
      </c>
      <c r="R469" s="19">
        <f>IF(OR(P469="",P469=0),"",Q469/P469)</f>
        <v/>
      </c>
      <c r="S469" s="16" t="n"/>
      <c r="T469" s="16" t="n"/>
      <c r="U469" s="16" t="n"/>
      <c r="V469" s="16" t="n"/>
      <c r="W469" s="16" t="n"/>
      <c r="X469" s="16" t="n"/>
      <c r="Y469" s="16" t="n"/>
      <c r="Z469" s="16" t="n"/>
      <c r="AA469" s="16" t="n"/>
      <c r="AB469" s="16" t="n"/>
      <c r="AC469" s="20">
        <f>IF(COUNT(S469:AB469)&lt;10,"",(S469*W_FEMININE+T469*W_TREND+U469*W_AESTHETIC+V469*W_STYLE+W469*W_LIGHT+X469*W_REELS+Y469*W_GIFT+Z469*W_PRICEFIT+AA469*W_DEMAND+AB469*W_QUALITY)/5*100)</f>
        <v/>
      </c>
      <c r="AD469" s="16">
        <f>IF(P469="","",IF(P469&gt;HARD_REJECT_PRICE,"Reject",IF(P469&gt;MAX_PRICE,"Price Review",IF(AC469="","",IF(AND(AC469&gt;=BUY_THRESHOLD,OR(AB469&lt;=2,U469&lt;=2)),"Maybe",IF(AC469&gt;=BUY_THRESHOLD,"Buy",IF(AC469&gt;=MAYBE_THRESHOLD,"Maybe","Reject")))))))</f>
        <v/>
      </c>
      <c r="AE469" s="16" t="n"/>
      <c r="AF469" s="16" t="n"/>
      <c r="AG469" s="16" t="n"/>
      <c r="AH469" s="16" t="n"/>
      <c r="AI469" s="17" t="n"/>
      <c r="AJ469">
        <f>IF(AC469="",-9999-ROW()*0.0000001,AC469-ROW()*0.0000001)</f>
        <v/>
      </c>
      <c r="AK469">
        <f>IF(OR(AC469="",P469="",P469&gt;MAX_PRICE),-9999-ROW()*0.0000001,AC469-ROW()*0.0000001)</f>
        <v/>
      </c>
      <c r="AL469">
        <f>IF(AC469="",-9999-ROW()*0.0000001,X469*1000+AC469-ROW()*0.0000001)</f>
        <v/>
      </c>
      <c r="AM469">
        <f>IF(AC469="",-9999-ROW()*0.0000001,Y469*1000+AC469-ROW()*0.0000001)</f>
        <v/>
      </c>
      <c r="AN469">
        <f>IF(AND(OR(AD469="Maybe",AD469="Price Review"),AG469&lt;&gt;"Approved",AG469&lt;&gt;"Rejected"),IF(AC469="",0,AC469)-ROW()*0.0000001,-9999-ROW()*0.0000001)</f>
        <v/>
      </c>
      <c r="AO469" s="21" t="n"/>
      <c r="AP469" s="21" t="n"/>
      <c r="AQ469" s="22" t="n"/>
      <c r="AR469" s="22" t="n"/>
      <c r="AS469" s="16" t="n"/>
      <c r="AT469" s="22" t="n"/>
      <c r="AU469" s="22" t="n"/>
      <c r="AV469" s="22" t="n"/>
      <c r="AW469" s="18">
        <f>IF(OR(O469="",AV469=""),"",O469*AV469)</f>
        <v/>
      </c>
      <c r="AX469" s="16" t="n"/>
      <c r="AY469" s="16" t="n"/>
      <c r="AZ469" s="16" t="n"/>
      <c r="BA469" s="16" t="n"/>
      <c r="BB469" s="16" t="n"/>
      <c r="BC469" s="18" t="n"/>
      <c r="BD469" s="16" t="n"/>
      <c r="BE469" s="16">
        <f>IF(C469="","",IF(AND(ISNUMBER(P469),P469&gt;MAX_PRICE),"Price too high",IF(AND(ISNUMBER(AB469),AB469&lt;=2),"Quality risk",IF(AND(ISNUMBER(U469),U469&lt;=2),"Aesthetic mismatch",IF(AY469="High","Too fragile",IF(AND(ISNUMBER(R469),R469&lt;LOW_PROFIT_PCT),"Low profit",IF(AND(ISNUMBER(AT469),AT469&gt;MOQ_WARNING),"MOQ too high",IF(OR(AD469="Maybe",AD469="Price Review"),"Needs partner review",IF(AD469="Buy","Good candidate","")))))))))</f>
        <v/>
      </c>
      <c r="BF469" s="16" t="n"/>
      <c r="BG469" s="16" t="n"/>
      <c r="BH469" s="16" t="n"/>
      <c r="BI469" s="16" t="n"/>
      <c r="BJ469" s="16" t="n"/>
      <c r="BK469" s="16" t="n"/>
      <c r="BL469" s="16">
        <f>IF(C469="","",IF(AND(BG469="Yes",BH469="Yes",BI469="Yes",BJ469="Yes",BK469="Yes"),"Yes","No"))</f>
        <v/>
      </c>
      <c r="BM469" s="18" t="n"/>
      <c r="BN469" s="18" t="n"/>
      <c r="BO469" s="18">
        <f>IF(OR(BM469="",BN469=""),"",BM469+BN469)</f>
        <v/>
      </c>
      <c r="BP469" s="18" t="n"/>
      <c r="BQ469" s="18">
        <f>IF(OR(BP469="",BO469=""),"",BP469-BO469)</f>
        <v/>
      </c>
      <c r="BR469" s="19">
        <f>IF(OR(BP469="",BP469=0,BQ469=""),"",BQ469/BP469)</f>
        <v/>
      </c>
      <c r="BS469" s="17" t="n"/>
      <c r="BT469" s="22" t="n"/>
      <c r="BU469" s="22" t="n"/>
      <c r="BV469" s="16" t="n"/>
      <c r="BW469" s="16" t="n"/>
      <c r="BX469" s="22">
        <f>IF(OR(BT469="",BU469=""),"",BT469-BU469)</f>
        <v/>
      </c>
      <c r="BY469" s="16" t="n"/>
      <c r="BZ469" s="17" t="n"/>
      <c r="CA469" s="16" t="n"/>
      <c r="CB469" s="16" t="n"/>
    </row>
    <row r="470">
      <c r="A470" s="23">
        <f>IF(C470="","","AYN-"&amp;IFERROR(VLOOKUP(E470,CATEGORY_PREFIX_TABLE,2,FALSE),"OTH")&amp;"-"&amp;TEXT(ROW()-2,"0000"))</f>
        <v/>
      </c>
      <c r="B470" s="24" t="n"/>
      <c r="C470" s="23" t="n"/>
      <c r="D470" s="23" t="n"/>
      <c r="E470" s="23" t="n"/>
      <c r="F470" s="23" t="n"/>
      <c r="G470" s="23" t="n"/>
      <c r="H470" s="23" t="n"/>
      <c r="I470" s="23" t="n"/>
      <c r="J470" s="23" t="n"/>
      <c r="K470" s="25">
        <f>IF(I470="","",IF(J470="BDT",I470,IF(J470="USD",I470*USD_BDT,IF(J470="RMB",I470*RMB_BDT,""))))</f>
        <v/>
      </c>
      <c r="L470" s="25" t="n"/>
      <c r="M470" s="26" t="n"/>
      <c r="N470" s="25" t="n"/>
      <c r="O470" s="25">
        <f>IF(K470="","",K470+IFERROR(L470,0)+(K470*IF(M470="",CUSTOMS_PCT,M470))+IF(N470="",MISC_FEE,N470))</f>
        <v/>
      </c>
      <c r="P470" s="25">
        <f>IF(O470="","",ROUND(O470*(1+MARKUP_PCT),-1)-1)</f>
        <v/>
      </c>
      <c r="Q470" s="25">
        <f>IF(P470="","",P470-O470)</f>
        <v/>
      </c>
      <c r="R470" s="26">
        <f>IF(OR(P470="",P470=0),"",Q470/P470)</f>
        <v/>
      </c>
      <c r="S470" s="23" t="n"/>
      <c r="T470" s="23" t="n"/>
      <c r="U470" s="23" t="n"/>
      <c r="V470" s="23" t="n"/>
      <c r="W470" s="23" t="n"/>
      <c r="X470" s="23" t="n"/>
      <c r="Y470" s="23" t="n"/>
      <c r="Z470" s="23" t="n"/>
      <c r="AA470" s="23" t="n"/>
      <c r="AB470" s="23" t="n"/>
      <c r="AC470" s="27">
        <f>IF(COUNT(S470:AB470)&lt;10,"",(S470*W_FEMININE+T470*W_TREND+U470*W_AESTHETIC+V470*W_STYLE+W470*W_LIGHT+X470*W_REELS+Y470*W_GIFT+Z470*W_PRICEFIT+AA470*W_DEMAND+AB470*W_QUALITY)/5*100)</f>
        <v/>
      </c>
      <c r="AD470" s="23">
        <f>IF(P470="","",IF(P470&gt;HARD_REJECT_PRICE,"Reject",IF(P470&gt;MAX_PRICE,"Price Review",IF(AC470="","",IF(AND(AC470&gt;=BUY_THRESHOLD,OR(AB470&lt;=2,U470&lt;=2)),"Maybe",IF(AC470&gt;=BUY_THRESHOLD,"Buy",IF(AC470&gt;=MAYBE_THRESHOLD,"Maybe","Reject")))))))</f>
        <v/>
      </c>
      <c r="AE470" s="23" t="n"/>
      <c r="AF470" s="23" t="n"/>
      <c r="AG470" s="23" t="n"/>
      <c r="AH470" s="23" t="n"/>
      <c r="AI470" s="24" t="n"/>
      <c r="AJ470">
        <f>IF(AC470="",-9999-ROW()*0.0000001,AC470-ROW()*0.0000001)</f>
        <v/>
      </c>
      <c r="AK470">
        <f>IF(OR(AC470="",P470="",P470&gt;MAX_PRICE),-9999-ROW()*0.0000001,AC470-ROW()*0.0000001)</f>
        <v/>
      </c>
      <c r="AL470">
        <f>IF(AC470="",-9999-ROW()*0.0000001,X470*1000+AC470-ROW()*0.0000001)</f>
        <v/>
      </c>
      <c r="AM470">
        <f>IF(AC470="",-9999-ROW()*0.0000001,Y470*1000+AC470-ROW()*0.0000001)</f>
        <v/>
      </c>
      <c r="AN470">
        <f>IF(AND(OR(AD470="Maybe",AD470="Price Review"),AG470&lt;&gt;"Approved",AG470&lt;&gt;"Rejected"),IF(AC470="",0,AC470)-ROW()*0.0000001,-9999-ROW()*0.0000001)</f>
        <v/>
      </c>
      <c r="AO470" s="28" t="n"/>
      <c r="AP470" s="28" t="n"/>
      <c r="AQ470" s="29" t="n"/>
      <c r="AR470" s="29" t="n"/>
      <c r="AS470" s="23" t="n"/>
      <c r="AT470" s="29" t="n"/>
      <c r="AU470" s="29" t="n"/>
      <c r="AV470" s="29" t="n"/>
      <c r="AW470" s="25">
        <f>IF(OR(O470="",AV470=""),"",O470*AV470)</f>
        <v/>
      </c>
      <c r="AX470" s="23" t="n"/>
      <c r="AY470" s="23" t="n"/>
      <c r="AZ470" s="23" t="n"/>
      <c r="BA470" s="23" t="n"/>
      <c r="BB470" s="23" t="n"/>
      <c r="BC470" s="25" t="n"/>
      <c r="BD470" s="23" t="n"/>
      <c r="BE470" s="23">
        <f>IF(C470="","",IF(AND(ISNUMBER(P470),P470&gt;MAX_PRICE),"Price too high",IF(AND(ISNUMBER(AB470),AB470&lt;=2),"Quality risk",IF(AND(ISNUMBER(U470),U470&lt;=2),"Aesthetic mismatch",IF(AY470="High","Too fragile",IF(AND(ISNUMBER(R470),R470&lt;LOW_PROFIT_PCT),"Low profit",IF(AND(ISNUMBER(AT470),AT470&gt;MOQ_WARNING),"MOQ too high",IF(OR(AD470="Maybe",AD470="Price Review"),"Needs partner review",IF(AD470="Buy","Good candidate","")))))))))</f>
        <v/>
      </c>
      <c r="BF470" s="23" t="n"/>
      <c r="BG470" s="23" t="n"/>
      <c r="BH470" s="23" t="n"/>
      <c r="BI470" s="23" t="n"/>
      <c r="BJ470" s="23" t="n"/>
      <c r="BK470" s="23" t="n"/>
      <c r="BL470" s="23">
        <f>IF(C470="","",IF(AND(BG470="Yes",BH470="Yes",BI470="Yes",BJ470="Yes",BK470="Yes"),"Yes","No"))</f>
        <v/>
      </c>
      <c r="BM470" s="25" t="n"/>
      <c r="BN470" s="25" t="n"/>
      <c r="BO470" s="25">
        <f>IF(OR(BM470="",BN470=""),"",BM470+BN470)</f>
        <v/>
      </c>
      <c r="BP470" s="25" t="n"/>
      <c r="BQ470" s="25">
        <f>IF(OR(BP470="",BO470=""),"",BP470-BO470)</f>
        <v/>
      </c>
      <c r="BR470" s="26">
        <f>IF(OR(BP470="",BP470=0,BQ470=""),"",BQ470/BP470)</f>
        <v/>
      </c>
      <c r="BS470" s="24" t="n"/>
      <c r="BT470" s="29" t="n"/>
      <c r="BU470" s="29" t="n"/>
      <c r="BV470" s="23" t="n"/>
      <c r="BW470" s="23" t="n"/>
      <c r="BX470" s="29">
        <f>IF(OR(BT470="",BU470=""),"",BT470-BU470)</f>
        <v/>
      </c>
      <c r="BY470" s="23" t="n"/>
      <c r="BZ470" s="24" t="n"/>
      <c r="CA470" s="23" t="n"/>
      <c r="CB470" s="23" t="n"/>
    </row>
    <row r="471">
      <c r="A471" s="16">
        <f>IF(C471="","","AYN-"&amp;IFERROR(VLOOKUP(E471,CATEGORY_PREFIX_TABLE,2,FALSE),"OTH")&amp;"-"&amp;TEXT(ROW()-2,"0000"))</f>
        <v/>
      </c>
      <c r="B471" s="17" t="n"/>
      <c r="C471" s="16" t="n"/>
      <c r="D471" s="16" t="n"/>
      <c r="E471" s="16" t="n"/>
      <c r="F471" s="16" t="n"/>
      <c r="G471" s="16" t="n"/>
      <c r="H471" s="16" t="n"/>
      <c r="I471" s="16" t="n"/>
      <c r="J471" s="16" t="n"/>
      <c r="K471" s="18">
        <f>IF(I471="","",IF(J471="BDT",I471,IF(J471="USD",I471*USD_BDT,IF(J471="RMB",I471*RMB_BDT,""))))</f>
        <v/>
      </c>
      <c r="L471" s="18" t="n"/>
      <c r="M471" s="19" t="n"/>
      <c r="N471" s="18" t="n"/>
      <c r="O471" s="18">
        <f>IF(K471="","",K471+IFERROR(L471,0)+(K471*IF(M471="",CUSTOMS_PCT,M471))+IF(N471="",MISC_FEE,N471))</f>
        <v/>
      </c>
      <c r="P471" s="18">
        <f>IF(O471="","",ROUND(O471*(1+MARKUP_PCT),-1)-1)</f>
        <v/>
      </c>
      <c r="Q471" s="18">
        <f>IF(P471="","",P471-O471)</f>
        <v/>
      </c>
      <c r="R471" s="19">
        <f>IF(OR(P471="",P471=0),"",Q471/P471)</f>
        <v/>
      </c>
      <c r="S471" s="16" t="n"/>
      <c r="T471" s="16" t="n"/>
      <c r="U471" s="16" t="n"/>
      <c r="V471" s="16" t="n"/>
      <c r="W471" s="16" t="n"/>
      <c r="X471" s="16" t="n"/>
      <c r="Y471" s="16" t="n"/>
      <c r="Z471" s="16" t="n"/>
      <c r="AA471" s="16" t="n"/>
      <c r="AB471" s="16" t="n"/>
      <c r="AC471" s="20">
        <f>IF(COUNT(S471:AB471)&lt;10,"",(S471*W_FEMININE+T471*W_TREND+U471*W_AESTHETIC+V471*W_STYLE+W471*W_LIGHT+X471*W_REELS+Y471*W_GIFT+Z471*W_PRICEFIT+AA471*W_DEMAND+AB471*W_QUALITY)/5*100)</f>
        <v/>
      </c>
      <c r="AD471" s="16">
        <f>IF(P471="","",IF(P471&gt;HARD_REJECT_PRICE,"Reject",IF(P471&gt;MAX_PRICE,"Price Review",IF(AC471="","",IF(AND(AC471&gt;=BUY_THRESHOLD,OR(AB471&lt;=2,U471&lt;=2)),"Maybe",IF(AC471&gt;=BUY_THRESHOLD,"Buy",IF(AC471&gt;=MAYBE_THRESHOLD,"Maybe","Reject")))))))</f>
        <v/>
      </c>
      <c r="AE471" s="16" t="n"/>
      <c r="AF471" s="16" t="n"/>
      <c r="AG471" s="16" t="n"/>
      <c r="AH471" s="16" t="n"/>
      <c r="AI471" s="17" t="n"/>
      <c r="AJ471">
        <f>IF(AC471="",-9999-ROW()*0.0000001,AC471-ROW()*0.0000001)</f>
        <v/>
      </c>
      <c r="AK471">
        <f>IF(OR(AC471="",P471="",P471&gt;MAX_PRICE),-9999-ROW()*0.0000001,AC471-ROW()*0.0000001)</f>
        <v/>
      </c>
      <c r="AL471">
        <f>IF(AC471="",-9999-ROW()*0.0000001,X471*1000+AC471-ROW()*0.0000001)</f>
        <v/>
      </c>
      <c r="AM471">
        <f>IF(AC471="",-9999-ROW()*0.0000001,Y471*1000+AC471-ROW()*0.0000001)</f>
        <v/>
      </c>
      <c r="AN471">
        <f>IF(AND(OR(AD471="Maybe",AD471="Price Review"),AG471&lt;&gt;"Approved",AG471&lt;&gt;"Rejected"),IF(AC471="",0,AC471)-ROW()*0.0000001,-9999-ROW()*0.0000001)</f>
        <v/>
      </c>
      <c r="AO471" s="21" t="n"/>
      <c r="AP471" s="21" t="n"/>
      <c r="AQ471" s="22" t="n"/>
      <c r="AR471" s="22" t="n"/>
      <c r="AS471" s="16" t="n"/>
      <c r="AT471" s="22" t="n"/>
      <c r="AU471" s="22" t="n"/>
      <c r="AV471" s="22" t="n"/>
      <c r="AW471" s="18">
        <f>IF(OR(O471="",AV471=""),"",O471*AV471)</f>
        <v/>
      </c>
      <c r="AX471" s="16" t="n"/>
      <c r="AY471" s="16" t="n"/>
      <c r="AZ471" s="16" t="n"/>
      <c r="BA471" s="16" t="n"/>
      <c r="BB471" s="16" t="n"/>
      <c r="BC471" s="18" t="n"/>
      <c r="BD471" s="16" t="n"/>
      <c r="BE471" s="16">
        <f>IF(C471="","",IF(AND(ISNUMBER(P471),P471&gt;MAX_PRICE),"Price too high",IF(AND(ISNUMBER(AB471),AB471&lt;=2),"Quality risk",IF(AND(ISNUMBER(U471),U471&lt;=2),"Aesthetic mismatch",IF(AY471="High","Too fragile",IF(AND(ISNUMBER(R471),R471&lt;LOW_PROFIT_PCT),"Low profit",IF(AND(ISNUMBER(AT471),AT471&gt;MOQ_WARNING),"MOQ too high",IF(OR(AD471="Maybe",AD471="Price Review"),"Needs partner review",IF(AD471="Buy","Good candidate","")))))))))</f>
        <v/>
      </c>
      <c r="BF471" s="16" t="n"/>
      <c r="BG471" s="16" t="n"/>
      <c r="BH471" s="16" t="n"/>
      <c r="BI471" s="16" t="n"/>
      <c r="BJ471" s="16" t="n"/>
      <c r="BK471" s="16" t="n"/>
      <c r="BL471" s="16">
        <f>IF(C471="","",IF(AND(BG471="Yes",BH471="Yes",BI471="Yes",BJ471="Yes",BK471="Yes"),"Yes","No"))</f>
        <v/>
      </c>
      <c r="BM471" s="18" t="n"/>
      <c r="BN471" s="18" t="n"/>
      <c r="BO471" s="18">
        <f>IF(OR(BM471="",BN471=""),"",BM471+BN471)</f>
        <v/>
      </c>
      <c r="BP471" s="18" t="n"/>
      <c r="BQ471" s="18">
        <f>IF(OR(BP471="",BO471=""),"",BP471-BO471)</f>
        <v/>
      </c>
      <c r="BR471" s="19">
        <f>IF(OR(BP471="",BP471=0,BQ471=""),"",BQ471/BP471)</f>
        <v/>
      </c>
      <c r="BS471" s="17" t="n"/>
      <c r="BT471" s="22" t="n"/>
      <c r="BU471" s="22" t="n"/>
      <c r="BV471" s="16" t="n"/>
      <c r="BW471" s="16" t="n"/>
      <c r="BX471" s="22">
        <f>IF(OR(BT471="",BU471=""),"",BT471-BU471)</f>
        <v/>
      </c>
      <c r="BY471" s="16" t="n"/>
      <c r="BZ471" s="17" t="n"/>
      <c r="CA471" s="16" t="n"/>
      <c r="CB471" s="16" t="n"/>
    </row>
    <row r="472">
      <c r="A472" s="23">
        <f>IF(C472="","","AYN-"&amp;IFERROR(VLOOKUP(E472,CATEGORY_PREFIX_TABLE,2,FALSE),"OTH")&amp;"-"&amp;TEXT(ROW()-2,"0000"))</f>
        <v/>
      </c>
      <c r="B472" s="24" t="n"/>
      <c r="C472" s="23" t="n"/>
      <c r="D472" s="23" t="n"/>
      <c r="E472" s="23" t="n"/>
      <c r="F472" s="23" t="n"/>
      <c r="G472" s="23" t="n"/>
      <c r="H472" s="23" t="n"/>
      <c r="I472" s="23" t="n"/>
      <c r="J472" s="23" t="n"/>
      <c r="K472" s="25">
        <f>IF(I472="","",IF(J472="BDT",I472,IF(J472="USD",I472*USD_BDT,IF(J472="RMB",I472*RMB_BDT,""))))</f>
        <v/>
      </c>
      <c r="L472" s="25" t="n"/>
      <c r="M472" s="26" t="n"/>
      <c r="N472" s="25" t="n"/>
      <c r="O472" s="25">
        <f>IF(K472="","",K472+IFERROR(L472,0)+(K472*IF(M472="",CUSTOMS_PCT,M472))+IF(N472="",MISC_FEE,N472))</f>
        <v/>
      </c>
      <c r="P472" s="25">
        <f>IF(O472="","",ROUND(O472*(1+MARKUP_PCT),-1)-1)</f>
        <v/>
      </c>
      <c r="Q472" s="25">
        <f>IF(P472="","",P472-O472)</f>
        <v/>
      </c>
      <c r="R472" s="26">
        <f>IF(OR(P472="",P472=0),"",Q472/P472)</f>
        <v/>
      </c>
      <c r="S472" s="23" t="n"/>
      <c r="T472" s="23" t="n"/>
      <c r="U472" s="23" t="n"/>
      <c r="V472" s="23" t="n"/>
      <c r="W472" s="23" t="n"/>
      <c r="X472" s="23" t="n"/>
      <c r="Y472" s="23" t="n"/>
      <c r="Z472" s="23" t="n"/>
      <c r="AA472" s="23" t="n"/>
      <c r="AB472" s="23" t="n"/>
      <c r="AC472" s="27">
        <f>IF(COUNT(S472:AB472)&lt;10,"",(S472*W_FEMININE+T472*W_TREND+U472*W_AESTHETIC+V472*W_STYLE+W472*W_LIGHT+X472*W_REELS+Y472*W_GIFT+Z472*W_PRICEFIT+AA472*W_DEMAND+AB472*W_QUALITY)/5*100)</f>
        <v/>
      </c>
      <c r="AD472" s="23">
        <f>IF(P472="","",IF(P472&gt;HARD_REJECT_PRICE,"Reject",IF(P472&gt;MAX_PRICE,"Price Review",IF(AC472="","",IF(AND(AC472&gt;=BUY_THRESHOLD,OR(AB472&lt;=2,U472&lt;=2)),"Maybe",IF(AC472&gt;=BUY_THRESHOLD,"Buy",IF(AC472&gt;=MAYBE_THRESHOLD,"Maybe","Reject")))))))</f>
        <v/>
      </c>
      <c r="AE472" s="23" t="n"/>
      <c r="AF472" s="23" t="n"/>
      <c r="AG472" s="23" t="n"/>
      <c r="AH472" s="23" t="n"/>
      <c r="AI472" s="24" t="n"/>
      <c r="AJ472">
        <f>IF(AC472="",-9999-ROW()*0.0000001,AC472-ROW()*0.0000001)</f>
        <v/>
      </c>
      <c r="AK472">
        <f>IF(OR(AC472="",P472="",P472&gt;MAX_PRICE),-9999-ROW()*0.0000001,AC472-ROW()*0.0000001)</f>
        <v/>
      </c>
      <c r="AL472">
        <f>IF(AC472="",-9999-ROW()*0.0000001,X472*1000+AC472-ROW()*0.0000001)</f>
        <v/>
      </c>
      <c r="AM472">
        <f>IF(AC472="",-9999-ROW()*0.0000001,Y472*1000+AC472-ROW()*0.0000001)</f>
        <v/>
      </c>
      <c r="AN472">
        <f>IF(AND(OR(AD472="Maybe",AD472="Price Review"),AG472&lt;&gt;"Approved",AG472&lt;&gt;"Rejected"),IF(AC472="",0,AC472)-ROW()*0.0000001,-9999-ROW()*0.0000001)</f>
        <v/>
      </c>
      <c r="AO472" s="28" t="n"/>
      <c r="AP472" s="28" t="n"/>
      <c r="AQ472" s="29" t="n"/>
      <c r="AR472" s="29" t="n"/>
      <c r="AS472" s="23" t="n"/>
      <c r="AT472" s="29" t="n"/>
      <c r="AU472" s="29" t="n"/>
      <c r="AV472" s="29" t="n"/>
      <c r="AW472" s="25">
        <f>IF(OR(O472="",AV472=""),"",O472*AV472)</f>
        <v/>
      </c>
      <c r="AX472" s="23" t="n"/>
      <c r="AY472" s="23" t="n"/>
      <c r="AZ472" s="23" t="n"/>
      <c r="BA472" s="23" t="n"/>
      <c r="BB472" s="23" t="n"/>
      <c r="BC472" s="25" t="n"/>
      <c r="BD472" s="23" t="n"/>
      <c r="BE472" s="23">
        <f>IF(C472="","",IF(AND(ISNUMBER(P472),P472&gt;MAX_PRICE),"Price too high",IF(AND(ISNUMBER(AB472),AB472&lt;=2),"Quality risk",IF(AND(ISNUMBER(U472),U472&lt;=2),"Aesthetic mismatch",IF(AY472="High","Too fragile",IF(AND(ISNUMBER(R472),R472&lt;LOW_PROFIT_PCT),"Low profit",IF(AND(ISNUMBER(AT472),AT472&gt;MOQ_WARNING),"MOQ too high",IF(OR(AD472="Maybe",AD472="Price Review"),"Needs partner review",IF(AD472="Buy","Good candidate","")))))))))</f>
        <v/>
      </c>
      <c r="BF472" s="23" t="n"/>
      <c r="BG472" s="23" t="n"/>
      <c r="BH472" s="23" t="n"/>
      <c r="BI472" s="23" t="n"/>
      <c r="BJ472" s="23" t="n"/>
      <c r="BK472" s="23" t="n"/>
      <c r="BL472" s="23">
        <f>IF(C472="","",IF(AND(BG472="Yes",BH472="Yes",BI472="Yes",BJ472="Yes",BK472="Yes"),"Yes","No"))</f>
        <v/>
      </c>
      <c r="BM472" s="25" t="n"/>
      <c r="BN472" s="25" t="n"/>
      <c r="BO472" s="25">
        <f>IF(OR(BM472="",BN472=""),"",BM472+BN472)</f>
        <v/>
      </c>
      <c r="BP472" s="25" t="n"/>
      <c r="BQ472" s="25">
        <f>IF(OR(BP472="",BO472=""),"",BP472-BO472)</f>
        <v/>
      </c>
      <c r="BR472" s="26">
        <f>IF(OR(BP472="",BP472=0,BQ472=""),"",BQ472/BP472)</f>
        <v/>
      </c>
      <c r="BS472" s="24" t="n"/>
      <c r="BT472" s="29" t="n"/>
      <c r="BU472" s="29" t="n"/>
      <c r="BV472" s="23" t="n"/>
      <c r="BW472" s="23" t="n"/>
      <c r="BX472" s="29">
        <f>IF(OR(BT472="",BU472=""),"",BT472-BU472)</f>
        <v/>
      </c>
      <c r="BY472" s="23" t="n"/>
      <c r="BZ472" s="24" t="n"/>
      <c r="CA472" s="23" t="n"/>
      <c r="CB472" s="23" t="n"/>
    </row>
    <row r="473">
      <c r="A473" s="16">
        <f>IF(C473="","","AYN-"&amp;IFERROR(VLOOKUP(E473,CATEGORY_PREFIX_TABLE,2,FALSE),"OTH")&amp;"-"&amp;TEXT(ROW()-2,"0000"))</f>
        <v/>
      </c>
      <c r="B473" s="17" t="n"/>
      <c r="C473" s="16" t="n"/>
      <c r="D473" s="16" t="n"/>
      <c r="E473" s="16" t="n"/>
      <c r="F473" s="16" t="n"/>
      <c r="G473" s="16" t="n"/>
      <c r="H473" s="16" t="n"/>
      <c r="I473" s="16" t="n"/>
      <c r="J473" s="16" t="n"/>
      <c r="K473" s="18">
        <f>IF(I473="","",IF(J473="BDT",I473,IF(J473="USD",I473*USD_BDT,IF(J473="RMB",I473*RMB_BDT,""))))</f>
        <v/>
      </c>
      <c r="L473" s="18" t="n"/>
      <c r="M473" s="19" t="n"/>
      <c r="N473" s="18" t="n"/>
      <c r="O473" s="18">
        <f>IF(K473="","",K473+IFERROR(L473,0)+(K473*IF(M473="",CUSTOMS_PCT,M473))+IF(N473="",MISC_FEE,N473))</f>
        <v/>
      </c>
      <c r="P473" s="18">
        <f>IF(O473="","",ROUND(O473*(1+MARKUP_PCT),-1)-1)</f>
        <v/>
      </c>
      <c r="Q473" s="18">
        <f>IF(P473="","",P473-O473)</f>
        <v/>
      </c>
      <c r="R473" s="19">
        <f>IF(OR(P473="",P473=0),"",Q473/P473)</f>
        <v/>
      </c>
      <c r="S473" s="16" t="n"/>
      <c r="T473" s="16" t="n"/>
      <c r="U473" s="16" t="n"/>
      <c r="V473" s="16" t="n"/>
      <c r="W473" s="16" t="n"/>
      <c r="X473" s="16" t="n"/>
      <c r="Y473" s="16" t="n"/>
      <c r="Z473" s="16" t="n"/>
      <c r="AA473" s="16" t="n"/>
      <c r="AB473" s="16" t="n"/>
      <c r="AC473" s="20">
        <f>IF(COUNT(S473:AB473)&lt;10,"",(S473*W_FEMININE+T473*W_TREND+U473*W_AESTHETIC+V473*W_STYLE+W473*W_LIGHT+X473*W_REELS+Y473*W_GIFT+Z473*W_PRICEFIT+AA473*W_DEMAND+AB473*W_QUALITY)/5*100)</f>
        <v/>
      </c>
      <c r="AD473" s="16">
        <f>IF(P473="","",IF(P473&gt;HARD_REJECT_PRICE,"Reject",IF(P473&gt;MAX_PRICE,"Price Review",IF(AC473="","",IF(AND(AC473&gt;=BUY_THRESHOLD,OR(AB473&lt;=2,U473&lt;=2)),"Maybe",IF(AC473&gt;=BUY_THRESHOLD,"Buy",IF(AC473&gt;=MAYBE_THRESHOLD,"Maybe","Reject")))))))</f>
        <v/>
      </c>
      <c r="AE473" s="16" t="n"/>
      <c r="AF473" s="16" t="n"/>
      <c r="AG473" s="16" t="n"/>
      <c r="AH473" s="16" t="n"/>
      <c r="AI473" s="17" t="n"/>
      <c r="AJ473">
        <f>IF(AC473="",-9999-ROW()*0.0000001,AC473-ROW()*0.0000001)</f>
        <v/>
      </c>
      <c r="AK473">
        <f>IF(OR(AC473="",P473="",P473&gt;MAX_PRICE),-9999-ROW()*0.0000001,AC473-ROW()*0.0000001)</f>
        <v/>
      </c>
      <c r="AL473">
        <f>IF(AC473="",-9999-ROW()*0.0000001,X473*1000+AC473-ROW()*0.0000001)</f>
        <v/>
      </c>
      <c r="AM473">
        <f>IF(AC473="",-9999-ROW()*0.0000001,Y473*1000+AC473-ROW()*0.0000001)</f>
        <v/>
      </c>
      <c r="AN473">
        <f>IF(AND(OR(AD473="Maybe",AD473="Price Review"),AG473&lt;&gt;"Approved",AG473&lt;&gt;"Rejected"),IF(AC473="",0,AC473)-ROW()*0.0000001,-9999-ROW()*0.0000001)</f>
        <v/>
      </c>
      <c r="AO473" s="21" t="n"/>
      <c r="AP473" s="21" t="n"/>
      <c r="AQ473" s="22" t="n"/>
      <c r="AR473" s="22" t="n"/>
      <c r="AS473" s="16" t="n"/>
      <c r="AT473" s="22" t="n"/>
      <c r="AU473" s="22" t="n"/>
      <c r="AV473" s="22" t="n"/>
      <c r="AW473" s="18">
        <f>IF(OR(O473="",AV473=""),"",O473*AV473)</f>
        <v/>
      </c>
      <c r="AX473" s="16" t="n"/>
      <c r="AY473" s="16" t="n"/>
      <c r="AZ473" s="16" t="n"/>
      <c r="BA473" s="16" t="n"/>
      <c r="BB473" s="16" t="n"/>
      <c r="BC473" s="18" t="n"/>
      <c r="BD473" s="16" t="n"/>
      <c r="BE473" s="16">
        <f>IF(C473="","",IF(AND(ISNUMBER(P473),P473&gt;MAX_PRICE),"Price too high",IF(AND(ISNUMBER(AB473),AB473&lt;=2),"Quality risk",IF(AND(ISNUMBER(U473),U473&lt;=2),"Aesthetic mismatch",IF(AY473="High","Too fragile",IF(AND(ISNUMBER(R473),R473&lt;LOW_PROFIT_PCT),"Low profit",IF(AND(ISNUMBER(AT473),AT473&gt;MOQ_WARNING),"MOQ too high",IF(OR(AD473="Maybe",AD473="Price Review"),"Needs partner review",IF(AD473="Buy","Good candidate","")))))))))</f>
        <v/>
      </c>
      <c r="BF473" s="16" t="n"/>
      <c r="BG473" s="16" t="n"/>
      <c r="BH473" s="16" t="n"/>
      <c r="BI473" s="16" t="n"/>
      <c r="BJ473" s="16" t="n"/>
      <c r="BK473" s="16" t="n"/>
      <c r="BL473" s="16">
        <f>IF(C473="","",IF(AND(BG473="Yes",BH473="Yes",BI473="Yes",BJ473="Yes",BK473="Yes"),"Yes","No"))</f>
        <v/>
      </c>
      <c r="BM473" s="18" t="n"/>
      <c r="BN473" s="18" t="n"/>
      <c r="BO473" s="18">
        <f>IF(OR(BM473="",BN473=""),"",BM473+BN473)</f>
        <v/>
      </c>
      <c r="BP473" s="18" t="n"/>
      <c r="BQ473" s="18">
        <f>IF(OR(BP473="",BO473=""),"",BP473-BO473)</f>
        <v/>
      </c>
      <c r="BR473" s="19">
        <f>IF(OR(BP473="",BP473=0,BQ473=""),"",BQ473/BP473)</f>
        <v/>
      </c>
      <c r="BS473" s="17" t="n"/>
      <c r="BT473" s="22" t="n"/>
      <c r="BU473" s="22" t="n"/>
      <c r="BV473" s="16" t="n"/>
      <c r="BW473" s="16" t="n"/>
      <c r="BX473" s="22">
        <f>IF(OR(BT473="",BU473=""),"",BT473-BU473)</f>
        <v/>
      </c>
      <c r="BY473" s="16" t="n"/>
      <c r="BZ473" s="17" t="n"/>
      <c r="CA473" s="16" t="n"/>
      <c r="CB473" s="16" t="n"/>
    </row>
    <row r="474">
      <c r="A474" s="23">
        <f>IF(C474="","","AYN-"&amp;IFERROR(VLOOKUP(E474,CATEGORY_PREFIX_TABLE,2,FALSE),"OTH")&amp;"-"&amp;TEXT(ROW()-2,"0000"))</f>
        <v/>
      </c>
      <c r="B474" s="24" t="n"/>
      <c r="C474" s="23" t="n"/>
      <c r="D474" s="23" t="n"/>
      <c r="E474" s="23" t="n"/>
      <c r="F474" s="23" t="n"/>
      <c r="G474" s="23" t="n"/>
      <c r="H474" s="23" t="n"/>
      <c r="I474" s="23" t="n"/>
      <c r="J474" s="23" t="n"/>
      <c r="K474" s="25">
        <f>IF(I474="","",IF(J474="BDT",I474,IF(J474="USD",I474*USD_BDT,IF(J474="RMB",I474*RMB_BDT,""))))</f>
        <v/>
      </c>
      <c r="L474" s="25" t="n"/>
      <c r="M474" s="26" t="n"/>
      <c r="N474" s="25" t="n"/>
      <c r="O474" s="25">
        <f>IF(K474="","",K474+IFERROR(L474,0)+(K474*IF(M474="",CUSTOMS_PCT,M474))+IF(N474="",MISC_FEE,N474))</f>
        <v/>
      </c>
      <c r="P474" s="25">
        <f>IF(O474="","",ROUND(O474*(1+MARKUP_PCT),-1)-1)</f>
        <v/>
      </c>
      <c r="Q474" s="25">
        <f>IF(P474="","",P474-O474)</f>
        <v/>
      </c>
      <c r="R474" s="26">
        <f>IF(OR(P474="",P474=0),"",Q474/P474)</f>
        <v/>
      </c>
      <c r="S474" s="23" t="n"/>
      <c r="T474" s="23" t="n"/>
      <c r="U474" s="23" t="n"/>
      <c r="V474" s="23" t="n"/>
      <c r="W474" s="23" t="n"/>
      <c r="X474" s="23" t="n"/>
      <c r="Y474" s="23" t="n"/>
      <c r="Z474" s="23" t="n"/>
      <c r="AA474" s="23" t="n"/>
      <c r="AB474" s="23" t="n"/>
      <c r="AC474" s="27">
        <f>IF(COUNT(S474:AB474)&lt;10,"",(S474*W_FEMININE+T474*W_TREND+U474*W_AESTHETIC+V474*W_STYLE+W474*W_LIGHT+X474*W_REELS+Y474*W_GIFT+Z474*W_PRICEFIT+AA474*W_DEMAND+AB474*W_QUALITY)/5*100)</f>
        <v/>
      </c>
      <c r="AD474" s="23">
        <f>IF(P474="","",IF(P474&gt;HARD_REJECT_PRICE,"Reject",IF(P474&gt;MAX_PRICE,"Price Review",IF(AC474="","",IF(AND(AC474&gt;=BUY_THRESHOLD,OR(AB474&lt;=2,U474&lt;=2)),"Maybe",IF(AC474&gt;=BUY_THRESHOLD,"Buy",IF(AC474&gt;=MAYBE_THRESHOLD,"Maybe","Reject")))))))</f>
        <v/>
      </c>
      <c r="AE474" s="23" t="n"/>
      <c r="AF474" s="23" t="n"/>
      <c r="AG474" s="23" t="n"/>
      <c r="AH474" s="23" t="n"/>
      <c r="AI474" s="24" t="n"/>
      <c r="AJ474">
        <f>IF(AC474="",-9999-ROW()*0.0000001,AC474-ROW()*0.0000001)</f>
        <v/>
      </c>
      <c r="AK474">
        <f>IF(OR(AC474="",P474="",P474&gt;MAX_PRICE),-9999-ROW()*0.0000001,AC474-ROW()*0.0000001)</f>
        <v/>
      </c>
      <c r="AL474">
        <f>IF(AC474="",-9999-ROW()*0.0000001,X474*1000+AC474-ROW()*0.0000001)</f>
        <v/>
      </c>
      <c r="AM474">
        <f>IF(AC474="",-9999-ROW()*0.0000001,Y474*1000+AC474-ROW()*0.0000001)</f>
        <v/>
      </c>
      <c r="AN474">
        <f>IF(AND(OR(AD474="Maybe",AD474="Price Review"),AG474&lt;&gt;"Approved",AG474&lt;&gt;"Rejected"),IF(AC474="",0,AC474)-ROW()*0.0000001,-9999-ROW()*0.0000001)</f>
        <v/>
      </c>
      <c r="AO474" s="28" t="n"/>
      <c r="AP474" s="28" t="n"/>
      <c r="AQ474" s="29" t="n"/>
      <c r="AR474" s="29" t="n"/>
      <c r="AS474" s="23" t="n"/>
      <c r="AT474" s="29" t="n"/>
      <c r="AU474" s="29" t="n"/>
      <c r="AV474" s="29" t="n"/>
      <c r="AW474" s="25">
        <f>IF(OR(O474="",AV474=""),"",O474*AV474)</f>
        <v/>
      </c>
      <c r="AX474" s="23" t="n"/>
      <c r="AY474" s="23" t="n"/>
      <c r="AZ474" s="23" t="n"/>
      <c r="BA474" s="23" t="n"/>
      <c r="BB474" s="23" t="n"/>
      <c r="BC474" s="25" t="n"/>
      <c r="BD474" s="23" t="n"/>
      <c r="BE474" s="23">
        <f>IF(C474="","",IF(AND(ISNUMBER(P474),P474&gt;MAX_PRICE),"Price too high",IF(AND(ISNUMBER(AB474),AB474&lt;=2),"Quality risk",IF(AND(ISNUMBER(U474),U474&lt;=2),"Aesthetic mismatch",IF(AY474="High","Too fragile",IF(AND(ISNUMBER(R474),R474&lt;LOW_PROFIT_PCT),"Low profit",IF(AND(ISNUMBER(AT474),AT474&gt;MOQ_WARNING),"MOQ too high",IF(OR(AD474="Maybe",AD474="Price Review"),"Needs partner review",IF(AD474="Buy","Good candidate","")))))))))</f>
        <v/>
      </c>
      <c r="BF474" s="23" t="n"/>
      <c r="BG474" s="23" t="n"/>
      <c r="BH474" s="23" t="n"/>
      <c r="BI474" s="23" t="n"/>
      <c r="BJ474" s="23" t="n"/>
      <c r="BK474" s="23" t="n"/>
      <c r="BL474" s="23">
        <f>IF(C474="","",IF(AND(BG474="Yes",BH474="Yes",BI474="Yes",BJ474="Yes",BK474="Yes"),"Yes","No"))</f>
        <v/>
      </c>
      <c r="BM474" s="25" t="n"/>
      <c r="BN474" s="25" t="n"/>
      <c r="BO474" s="25">
        <f>IF(OR(BM474="",BN474=""),"",BM474+BN474)</f>
        <v/>
      </c>
      <c r="BP474" s="25" t="n"/>
      <c r="BQ474" s="25">
        <f>IF(OR(BP474="",BO474=""),"",BP474-BO474)</f>
        <v/>
      </c>
      <c r="BR474" s="26">
        <f>IF(OR(BP474="",BP474=0,BQ474=""),"",BQ474/BP474)</f>
        <v/>
      </c>
      <c r="BS474" s="24" t="n"/>
      <c r="BT474" s="29" t="n"/>
      <c r="BU474" s="29" t="n"/>
      <c r="BV474" s="23" t="n"/>
      <c r="BW474" s="23" t="n"/>
      <c r="BX474" s="29">
        <f>IF(OR(BT474="",BU474=""),"",BT474-BU474)</f>
        <v/>
      </c>
      <c r="BY474" s="23" t="n"/>
      <c r="BZ474" s="24" t="n"/>
      <c r="CA474" s="23" t="n"/>
      <c r="CB474" s="23" t="n"/>
    </row>
    <row r="475">
      <c r="A475" s="16">
        <f>IF(C475="","","AYN-"&amp;IFERROR(VLOOKUP(E475,CATEGORY_PREFIX_TABLE,2,FALSE),"OTH")&amp;"-"&amp;TEXT(ROW()-2,"0000"))</f>
        <v/>
      </c>
      <c r="B475" s="17" t="n"/>
      <c r="C475" s="16" t="n"/>
      <c r="D475" s="16" t="n"/>
      <c r="E475" s="16" t="n"/>
      <c r="F475" s="16" t="n"/>
      <c r="G475" s="16" t="n"/>
      <c r="H475" s="16" t="n"/>
      <c r="I475" s="16" t="n"/>
      <c r="J475" s="16" t="n"/>
      <c r="K475" s="18">
        <f>IF(I475="","",IF(J475="BDT",I475,IF(J475="USD",I475*USD_BDT,IF(J475="RMB",I475*RMB_BDT,""))))</f>
        <v/>
      </c>
      <c r="L475" s="18" t="n"/>
      <c r="M475" s="19" t="n"/>
      <c r="N475" s="18" t="n"/>
      <c r="O475" s="18">
        <f>IF(K475="","",K475+IFERROR(L475,0)+(K475*IF(M475="",CUSTOMS_PCT,M475))+IF(N475="",MISC_FEE,N475))</f>
        <v/>
      </c>
      <c r="P475" s="18">
        <f>IF(O475="","",ROUND(O475*(1+MARKUP_PCT),-1)-1)</f>
        <v/>
      </c>
      <c r="Q475" s="18">
        <f>IF(P475="","",P475-O475)</f>
        <v/>
      </c>
      <c r="R475" s="19">
        <f>IF(OR(P475="",P475=0),"",Q475/P475)</f>
        <v/>
      </c>
      <c r="S475" s="16" t="n"/>
      <c r="T475" s="16" t="n"/>
      <c r="U475" s="16" t="n"/>
      <c r="V475" s="16" t="n"/>
      <c r="W475" s="16" t="n"/>
      <c r="X475" s="16" t="n"/>
      <c r="Y475" s="16" t="n"/>
      <c r="Z475" s="16" t="n"/>
      <c r="AA475" s="16" t="n"/>
      <c r="AB475" s="16" t="n"/>
      <c r="AC475" s="20">
        <f>IF(COUNT(S475:AB475)&lt;10,"",(S475*W_FEMININE+T475*W_TREND+U475*W_AESTHETIC+V475*W_STYLE+W475*W_LIGHT+X475*W_REELS+Y475*W_GIFT+Z475*W_PRICEFIT+AA475*W_DEMAND+AB475*W_QUALITY)/5*100)</f>
        <v/>
      </c>
      <c r="AD475" s="16">
        <f>IF(P475="","",IF(P475&gt;HARD_REJECT_PRICE,"Reject",IF(P475&gt;MAX_PRICE,"Price Review",IF(AC475="","",IF(AND(AC475&gt;=BUY_THRESHOLD,OR(AB475&lt;=2,U475&lt;=2)),"Maybe",IF(AC475&gt;=BUY_THRESHOLD,"Buy",IF(AC475&gt;=MAYBE_THRESHOLD,"Maybe","Reject")))))))</f>
        <v/>
      </c>
      <c r="AE475" s="16" t="n"/>
      <c r="AF475" s="16" t="n"/>
      <c r="AG475" s="16" t="n"/>
      <c r="AH475" s="16" t="n"/>
      <c r="AI475" s="17" t="n"/>
      <c r="AJ475">
        <f>IF(AC475="",-9999-ROW()*0.0000001,AC475-ROW()*0.0000001)</f>
        <v/>
      </c>
      <c r="AK475">
        <f>IF(OR(AC475="",P475="",P475&gt;MAX_PRICE),-9999-ROW()*0.0000001,AC475-ROW()*0.0000001)</f>
        <v/>
      </c>
      <c r="AL475">
        <f>IF(AC475="",-9999-ROW()*0.0000001,X475*1000+AC475-ROW()*0.0000001)</f>
        <v/>
      </c>
      <c r="AM475">
        <f>IF(AC475="",-9999-ROW()*0.0000001,Y475*1000+AC475-ROW()*0.0000001)</f>
        <v/>
      </c>
      <c r="AN475">
        <f>IF(AND(OR(AD475="Maybe",AD475="Price Review"),AG475&lt;&gt;"Approved",AG475&lt;&gt;"Rejected"),IF(AC475="",0,AC475)-ROW()*0.0000001,-9999-ROW()*0.0000001)</f>
        <v/>
      </c>
      <c r="AO475" s="21" t="n"/>
      <c r="AP475" s="21" t="n"/>
      <c r="AQ475" s="22" t="n"/>
      <c r="AR475" s="22" t="n"/>
      <c r="AS475" s="16" t="n"/>
      <c r="AT475" s="22" t="n"/>
      <c r="AU475" s="22" t="n"/>
      <c r="AV475" s="22" t="n"/>
      <c r="AW475" s="18">
        <f>IF(OR(O475="",AV475=""),"",O475*AV475)</f>
        <v/>
      </c>
      <c r="AX475" s="16" t="n"/>
      <c r="AY475" s="16" t="n"/>
      <c r="AZ475" s="16" t="n"/>
      <c r="BA475" s="16" t="n"/>
      <c r="BB475" s="16" t="n"/>
      <c r="BC475" s="18" t="n"/>
      <c r="BD475" s="16" t="n"/>
      <c r="BE475" s="16">
        <f>IF(C475="","",IF(AND(ISNUMBER(P475),P475&gt;MAX_PRICE),"Price too high",IF(AND(ISNUMBER(AB475),AB475&lt;=2),"Quality risk",IF(AND(ISNUMBER(U475),U475&lt;=2),"Aesthetic mismatch",IF(AY475="High","Too fragile",IF(AND(ISNUMBER(R475),R475&lt;LOW_PROFIT_PCT),"Low profit",IF(AND(ISNUMBER(AT475),AT475&gt;MOQ_WARNING),"MOQ too high",IF(OR(AD475="Maybe",AD475="Price Review"),"Needs partner review",IF(AD475="Buy","Good candidate","")))))))))</f>
        <v/>
      </c>
      <c r="BF475" s="16" t="n"/>
      <c r="BG475" s="16" t="n"/>
      <c r="BH475" s="16" t="n"/>
      <c r="BI475" s="16" t="n"/>
      <c r="BJ475" s="16" t="n"/>
      <c r="BK475" s="16" t="n"/>
      <c r="BL475" s="16">
        <f>IF(C475="","",IF(AND(BG475="Yes",BH475="Yes",BI475="Yes",BJ475="Yes",BK475="Yes"),"Yes","No"))</f>
        <v/>
      </c>
      <c r="BM475" s="18" t="n"/>
      <c r="BN475" s="18" t="n"/>
      <c r="BO475" s="18">
        <f>IF(OR(BM475="",BN475=""),"",BM475+BN475)</f>
        <v/>
      </c>
      <c r="BP475" s="18" t="n"/>
      <c r="BQ475" s="18">
        <f>IF(OR(BP475="",BO475=""),"",BP475-BO475)</f>
        <v/>
      </c>
      <c r="BR475" s="19">
        <f>IF(OR(BP475="",BP475=0,BQ475=""),"",BQ475/BP475)</f>
        <v/>
      </c>
      <c r="BS475" s="17" t="n"/>
      <c r="BT475" s="22" t="n"/>
      <c r="BU475" s="22" t="n"/>
      <c r="BV475" s="16" t="n"/>
      <c r="BW475" s="16" t="n"/>
      <c r="BX475" s="22">
        <f>IF(OR(BT475="",BU475=""),"",BT475-BU475)</f>
        <v/>
      </c>
      <c r="BY475" s="16" t="n"/>
      <c r="BZ475" s="17" t="n"/>
      <c r="CA475" s="16" t="n"/>
      <c r="CB475" s="16" t="n"/>
    </row>
    <row r="476">
      <c r="A476" s="23">
        <f>IF(C476="","","AYN-"&amp;IFERROR(VLOOKUP(E476,CATEGORY_PREFIX_TABLE,2,FALSE),"OTH")&amp;"-"&amp;TEXT(ROW()-2,"0000"))</f>
        <v/>
      </c>
      <c r="B476" s="24" t="n"/>
      <c r="C476" s="23" t="n"/>
      <c r="D476" s="23" t="n"/>
      <c r="E476" s="23" t="n"/>
      <c r="F476" s="23" t="n"/>
      <c r="G476" s="23" t="n"/>
      <c r="H476" s="23" t="n"/>
      <c r="I476" s="23" t="n"/>
      <c r="J476" s="23" t="n"/>
      <c r="K476" s="25">
        <f>IF(I476="","",IF(J476="BDT",I476,IF(J476="USD",I476*USD_BDT,IF(J476="RMB",I476*RMB_BDT,""))))</f>
        <v/>
      </c>
      <c r="L476" s="25" t="n"/>
      <c r="M476" s="26" t="n"/>
      <c r="N476" s="25" t="n"/>
      <c r="O476" s="25">
        <f>IF(K476="","",K476+IFERROR(L476,0)+(K476*IF(M476="",CUSTOMS_PCT,M476))+IF(N476="",MISC_FEE,N476))</f>
        <v/>
      </c>
      <c r="P476" s="25">
        <f>IF(O476="","",ROUND(O476*(1+MARKUP_PCT),-1)-1)</f>
        <v/>
      </c>
      <c r="Q476" s="25">
        <f>IF(P476="","",P476-O476)</f>
        <v/>
      </c>
      <c r="R476" s="26">
        <f>IF(OR(P476="",P476=0),"",Q476/P476)</f>
        <v/>
      </c>
      <c r="S476" s="23" t="n"/>
      <c r="T476" s="23" t="n"/>
      <c r="U476" s="23" t="n"/>
      <c r="V476" s="23" t="n"/>
      <c r="W476" s="23" t="n"/>
      <c r="X476" s="23" t="n"/>
      <c r="Y476" s="23" t="n"/>
      <c r="Z476" s="23" t="n"/>
      <c r="AA476" s="23" t="n"/>
      <c r="AB476" s="23" t="n"/>
      <c r="AC476" s="27">
        <f>IF(COUNT(S476:AB476)&lt;10,"",(S476*W_FEMININE+T476*W_TREND+U476*W_AESTHETIC+V476*W_STYLE+W476*W_LIGHT+X476*W_REELS+Y476*W_GIFT+Z476*W_PRICEFIT+AA476*W_DEMAND+AB476*W_QUALITY)/5*100)</f>
        <v/>
      </c>
      <c r="AD476" s="23">
        <f>IF(P476="","",IF(P476&gt;HARD_REJECT_PRICE,"Reject",IF(P476&gt;MAX_PRICE,"Price Review",IF(AC476="","",IF(AND(AC476&gt;=BUY_THRESHOLD,OR(AB476&lt;=2,U476&lt;=2)),"Maybe",IF(AC476&gt;=BUY_THRESHOLD,"Buy",IF(AC476&gt;=MAYBE_THRESHOLD,"Maybe","Reject")))))))</f>
        <v/>
      </c>
      <c r="AE476" s="23" t="n"/>
      <c r="AF476" s="23" t="n"/>
      <c r="AG476" s="23" t="n"/>
      <c r="AH476" s="23" t="n"/>
      <c r="AI476" s="24" t="n"/>
      <c r="AJ476">
        <f>IF(AC476="",-9999-ROW()*0.0000001,AC476-ROW()*0.0000001)</f>
        <v/>
      </c>
      <c r="AK476">
        <f>IF(OR(AC476="",P476="",P476&gt;MAX_PRICE),-9999-ROW()*0.0000001,AC476-ROW()*0.0000001)</f>
        <v/>
      </c>
      <c r="AL476">
        <f>IF(AC476="",-9999-ROW()*0.0000001,X476*1000+AC476-ROW()*0.0000001)</f>
        <v/>
      </c>
      <c r="AM476">
        <f>IF(AC476="",-9999-ROW()*0.0000001,Y476*1000+AC476-ROW()*0.0000001)</f>
        <v/>
      </c>
      <c r="AN476">
        <f>IF(AND(OR(AD476="Maybe",AD476="Price Review"),AG476&lt;&gt;"Approved",AG476&lt;&gt;"Rejected"),IF(AC476="",0,AC476)-ROW()*0.0000001,-9999-ROW()*0.0000001)</f>
        <v/>
      </c>
      <c r="AO476" s="28" t="n"/>
      <c r="AP476" s="28" t="n"/>
      <c r="AQ476" s="29" t="n"/>
      <c r="AR476" s="29" t="n"/>
      <c r="AS476" s="23" t="n"/>
      <c r="AT476" s="29" t="n"/>
      <c r="AU476" s="29" t="n"/>
      <c r="AV476" s="29" t="n"/>
      <c r="AW476" s="25">
        <f>IF(OR(O476="",AV476=""),"",O476*AV476)</f>
        <v/>
      </c>
      <c r="AX476" s="23" t="n"/>
      <c r="AY476" s="23" t="n"/>
      <c r="AZ476" s="23" t="n"/>
      <c r="BA476" s="23" t="n"/>
      <c r="BB476" s="23" t="n"/>
      <c r="BC476" s="25" t="n"/>
      <c r="BD476" s="23" t="n"/>
      <c r="BE476" s="23">
        <f>IF(C476="","",IF(AND(ISNUMBER(P476),P476&gt;MAX_PRICE),"Price too high",IF(AND(ISNUMBER(AB476),AB476&lt;=2),"Quality risk",IF(AND(ISNUMBER(U476),U476&lt;=2),"Aesthetic mismatch",IF(AY476="High","Too fragile",IF(AND(ISNUMBER(R476),R476&lt;LOW_PROFIT_PCT),"Low profit",IF(AND(ISNUMBER(AT476),AT476&gt;MOQ_WARNING),"MOQ too high",IF(OR(AD476="Maybe",AD476="Price Review"),"Needs partner review",IF(AD476="Buy","Good candidate","")))))))))</f>
        <v/>
      </c>
      <c r="BF476" s="23" t="n"/>
      <c r="BG476" s="23" t="n"/>
      <c r="BH476" s="23" t="n"/>
      <c r="BI476" s="23" t="n"/>
      <c r="BJ476" s="23" t="n"/>
      <c r="BK476" s="23" t="n"/>
      <c r="BL476" s="23">
        <f>IF(C476="","",IF(AND(BG476="Yes",BH476="Yes",BI476="Yes",BJ476="Yes",BK476="Yes"),"Yes","No"))</f>
        <v/>
      </c>
      <c r="BM476" s="25" t="n"/>
      <c r="BN476" s="25" t="n"/>
      <c r="BO476" s="25">
        <f>IF(OR(BM476="",BN476=""),"",BM476+BN476)</f>
        <v/>
      </c>
      <c r="BP476" s="25" t="n"/>
      <c r="BQ476" s="25">
        <f>IF(OR(BP476="",BO476=""),"",BP476-BO476)</f>
        <v/>
      </c>
      <c r="BR476" s="26">
        <f>IF(OR(BP476="",BP476=0,BQ476=""),"",BQ476/BP476)</f>
        <v/>
      </c>
      <c r="BS476" s="24" t="n"/>
      <c r="BT476" s="29" t="n"/>
      <c r="BU476" s="29" t="n"/>
      <c r="BV476" s="23" t="n"/>
      <c r="BW476" s="23" t="n"/>
      <c r="BX476" s="29">
        <f>IF(OR(BT476="",BU476=""),"",BT476-BU476)</f>
        <v/>
      </c>
      <c r="BY476" s="23" t="n"/>
      <c r="BZ476" s="24" t="n"/>
      <c r="CA476" s="23" t="n"/>
      <c r="CB476" s="23" t="n"/>
    </row>
    <row r="477">
      <c r="A477" s="16">
        <f>IF(C477="","","AYN-"&amp;IFERROR(VLOOKUP(E477,CATEGORY_PREFIX_TABLE,2,FALSE),"OTH")&amp;"-"&amp;TEXT(ROW()-2,"0000"))</f>
        <v/>
      </c>
      <c r="B477" s="17" t="n"/>
      <c r="C477" s="16" t="n"/>
      <c r="D477" s="16" t="n"/>
      <c r="E477" s="16" t="n"/>
      <c r="F477" s="16" t="n"/>
      <c r="G477" s="16" t="n"/>
      <c r="H477" s="16" t="n"/>
      <c r="I477" s="16" t="n"/>
      <c r="J477" s="16" t="n"/>
      <c r="K477" s="18">
        <f>IF(I477="","",IF(J477="BDT",I477,IF(J477="USD",I477*USD_BDT,IF(J477="RMB",I477*RMB_BDT,""))))</f>
        <v/>
      </c>
      <c r="L477" s="18" t="n"/>
      <c r="M477" s="19" t="n"/>
      <c r="N477" s="18" t="n"/>
      <c r="O477" s="18">
        <f>IF(K477="","",K477+IFERROR(L477,0)+(K477*IF(M477="",CUSTOMS_PCT,M477))+IF(N477="",MISC_FEE,N477))</f>
        <v/>
      </c>
      <c r="P477" s="18">
        <f>IF(O477="","",ROUND(O477*(1+MARKUP_PCT),-1)-1)</f>
        <v/>
      </c>
      <c r="Q477" s="18">
        <f>IF(P477="","",P477-O477)</f>
        <v/>
      </c>
      <c r="R477" s="19">
        <f>IF(OR(P477="",P477=0),"",Q477/P477)</f>
        <v/>
      </c>
      <c r="S477" s="16" t="n"/>
      <c r="T477" s="16" t="n"/>
      <c r="U477" s="16" t="n"/>
      <c r="V477" s="16" t="n"/>
      <c r="W477" s="16" t="n"/>
      <c r="X477" s="16" t="n"/>
      <c r="Y477" s="16" t="n"/>
      <c r="Z477" s="16" t="n"/>
      <c r="AA477" s="16" t="n"/>
      <c r="AB477" s="16" t="n"/>
      <c r="AC477" s="20">
        <f>IF(COUNT(S477:AB477)&lt;10,"",(S477*W_FEMININE+T477*W_TREND+U477*W_AESTHETIC+V477*W_STYLE+W477*W_LIGHT+X477*W_REELS+Y477*W_GIFT+Z477*W_PRICEFIT+AA477*W_DEMAND+AB477*W_QUALITY)/5*100)</f>
        <v/>
      </c>
      <c r="AD477" s="16">
        <f>IF(P477="","",IF(P477&gt;HARD_REJECT_PRICE,"Reject",IF(P477&gt;MAX_PRICE,"Price Review",IF(AC477="","",IF(AND(AC477&gt;=BUY_THRESHOLD,OR(AB477&lt;=2,U477&lt;=2)),"Maybe",IF(AC477&gt;=BUY_THRESHOLD,"Buy",IF(AC477&gt;=MAYBE_THRESHOLD,"Maybe","Reject")))))))</f>
        <v/>
      </c>
      <c r="AE477" s="16" t="n"/>
      <c r="AF477" s="16" t="n"/>
      <c r="AG477" s="16" t="n"/>
      <c r="AH477" s="16" t="n"/>
      <c r="AI477" s="17" t="n"/>
      <c r="AJ477">
        <f>IF(AC477="",-9999-ROW()*0.0000001,AC477-ROW()*0.0000001)</f>
        <v/>
      </c>
      <c r="AK477">
        <f>IF(OR(AC477="",P477="",P477&gt;MAX_PRICE),-9999-ROW()*0.0000001,AC477-ROW()*0.0000001)</f>
        <v/>
      </c>
      <c r="AL477">
        <f>IF(AC477="",-9999-ROW()*0.0000001,X477*1000+AC477-ROW()*0.0000001)</f>
        <v/>
      </c>
      <c r="AM477">
        <f>IF(AC477="",-9999-ROW()*0.0000001,Y477*1000+AC477-ROW()*0.0000001)</f>
        <v/>
      </c>
      <c r="AN477">
        <f>IF(AND(OR(AD477="Maybe",AD477="Price Review"),AG477&lt;&gt;"Approved",AG477&lt;&gt;"Rejected"),IF(AC477="",0,AC477)-ROW()*0.0000001,-9999-ROW()*0.0000001)</f>
        <v/>
      </c>
      <c r="AO477" s="21" t="n"/>
      <c r="AP477" s="21" t="n"/>
      <c r="AQ477" s="22" t="n"/>
      <c r="AR477" s="22" t="n"/>
      <c r="AS477" s="16" t="n"/>
      <c r="AT477" s="22" t="n"/>
      <c r="AU477" s="22" t="n"/>
      <c r="AV477" s="22" t="n"/>
      <c r="AW477" s="18">
        <f>IF(OR(O477="",AV477=""),"",O477*AV477)</f>
        <v/>
      </c>
      <c r="AX477" s="16" t="n"/>
      <c r="AY477" s="16" t="n"/>
      <c r="AZ477" s="16" t="n"/>
      <c r="BA477" s="16" t="n"/>
      <c r="BB477" s="16" t="n"/>
      <c r="BC477" s="18" t="n"/>
      <c r="BD477" s="16" t="n"/>
      <c r="BE477" s="16">
        <f>IF(C477="","",IF(AND(ISNUMBER(P477),P477&gt;MAX_PRICE),"Price too high",IF(AND(ISNUMBER(AB477),AB477&lt;=2),"Quality risk",IF(AND(ISNUMBER(U477),U477&lt;=2),"Aesthetic mismatch",IF(AY477="High","Too fragile",IF(AND(ISNUMBER(R477),R477&lt;LOW_PROFIT_PCT),"Low profit",IF(AND(ISNUMBER(AT477),AT477&gt;MOQ_WARNING),"MOQ too high",IF(OR(AD477="Maybe",AD477="Price Review"),"Needs partner review",IF(AD477="Buy","Good candidate","")))))))))</f>
        <v/>
      </c>
      <c r="BF477" s="16" t="n"/>
      <c r="BG477" s="16" t="n"/>
      <c r="BH477" s="16" t="n"/>
      <c r="BI477" s="16" t="n"/>
      <c r="BJ477" s="16" t="n"/>
      <c r="BK477" s="16" t="n"/>
      <c r="BL477" s="16">
        <f>IF(C477="","",IF(AND(BG477="Yes",BH477="Yes",BI477="Yes",BJ477="Yes",BK477="Yes"),"Yes","No"))</f>
        <v/>
      </c>
      <c r="BM477" s="18" t="n"/>
      <c r="BN477" s="18" t="n"/>
      <c r="BO477" s="18">
        <f>IF(OR(BM477="",BN477=""),"",BM477+BN477)</f>
        <v/>
      </c>
      <c r="BP477" s="18" t="n"/>
      <c r="BQ477" s="18">
        <f>IF(OR(BP477="",BO477=""),"",BP477-BO477)</f>
        <v/>
      </c>
      <c r="BR477" s="19">
        <f>IF(OR(BP477="",BP477=0,BQ477=""),"",BQ477/BP477)</f>
        <v/>
      </c>
      <c r="BS477" s="17" t="n"/>
      <c r="BT477" s="22" t="n"/>
      <c r="BU477" s="22" t="n"/>
      <c r="BV477" s="16" t="n"/>
      <c r="BW477" s="16" t="n"/>
      <c r="BX477" s="22">
        <f>IF(OR(BT477="",BU477=""),"",BT477-BU477)</f>
        <v/>
      </c>
      <c r="BY477" s="16" t="n"/>
      <c r="BZ477" s="17" t="n"/>
      <c r="CA477" s="16" t="n"/>
      <c r="CB477" s="16" t="n"/>
    </row>
    <row r="478">
      <c r="A478" s="23">
        <f>IF(C478="","","AYN-"&amp;IFERROR(VLOOKUP(E478,CATEGORY_PREFIX_TABLE,2,FALSE),"OTH")&amp;"-"&amp;TEXT(ROW()-2,"0000"))</f>
        <v/>
      </c>
      <c r="B478" s="24" t="n"/>
      <c r="C478" s="23" t="n"/>
      <c r="D478" s="23" t="n"/>
      <c r="E478" s="23" t="n"/>
      <c r="F478" s="23" t="n"/>
      <c r="G478" s="23" t="n"/>
      <c r="H478" s="23" t="n"/>
      <c r="I478" s="23" t="n"/>
      <c r="J478" s="23" t="n"/>
      <c r="K478" s="25">
        <f>IF(I478="","",IF(J478="BDT",I478,IF(J478="USD",I478*USD_BDT,IF(J478="RMB",I478*RMB_BDT,""))))</f>
        <v/>
      </c>
      <c r="L478" s="25" t="n"/>
      <c r="M478" s="26" t="n"/>
      <c r="N478" s="25" t="n"/>
      <c r="O478" s="25">
        <f>IF(K478="","",K478+IFERROR(L478,0)+(K478*IF(M478="",CUSTOMS_PCT,M478))+IF(N478="",MISC_FEE,N478))</f>
        <v/>
      </c>
      <c r="P478" s="25">
        <f>IF(O478="","",ROUND(O478*(1+MARKUP_PCT),-1)-1)</f>
        <v/>
      </c>
      <c r="Q478" s="25">
        <f>IF(P478="","",P478-O478)</f>
        <v/>
      </c>
      <c r="R478" s="26">
        <f>IF(OR(P478="",P478=0),"",Q478/P478)</f>
        <v/>
      </c>
      <c r="S478" s="23" t="n"/>
      <c r="T478" s="23" t="n"/>
      <c r="U478" s="23" t="n"/>
      <c r="V478" s="23" t="n"/>
      <c r="W478" s="23" t="n"/>
      <c r="X478" s="23" t="n"/>
      <c r="Y478" s="23" t="n"/>
      <c r="Z478" s="23" t="n"/>
      <c r="AA478" s="23" t="n"/>
      <c r="AB478" s="23" t="n"/>
      <c r="AC478" s="27">
        <f>IF(COUNT(S478:AB478)&lt;10,"",(S478*W_FEMININE+T478*W_TREND+U478*W_AESTHETIC+V478*W_STYLE+W478*W_LIGHT+X478*W_REELS+Y478*W_GIFT+Z478*W_PRICEFIT+AA478*W_DEMAND+AB478*W_QUALITY)/5*100)</f>
        <v/>
      </c>
      <c r="AD478" s="23">
        <f>IF(P478="","",IF(P478&gt;HARD_REJECT_PRICE,"Reject",IF(P478&gt;MAX_PRICE,"Price Review",IF(AC478="","",IF(AND(AC478&gt;=BUY_THRESHOLD,OR(AB478&lt;=2,U478&lt;=2)),"Maybe",IF(AC478&gt;=BUY_THRESHOLD,"Buy",IF(AC478&gt;=MAYBE_THRESHOLD,"Maybe","Reject")))))))</f>
        <v/>
      </c>
      <c r="AE478" s="23" t="n"/>
      <c r="AF478" s="23" t="n"/>
      <c r="AG478" s="23" t="n"/>
      <c r="AH478" s="23" t="n"/>
      <c r="AI478" s="24" t="n"/>
      <c r="AJ478">
        <f>IF(AC478="",-9999-ROW()*0.0000001,AC478-ROW()*0.0000001)</f>
        <v/>
      </c>
      <c r="AK478">
        <f>IF(OR(AC478="",P478="",P478&gt;MAX_PRICE),-9999-ROW()*0.0000001,AC478-ROW()*0.0000001)</f>
        <v/>
      </c>
      <c r="AL478">
        <f>IF(AC478="",-9999-ROW()*0.0000001,X478*1000+AC478-ROW()*0.0000001)</f>
        <v/>
      </c>
      <c r="AM478">
        <f>IF(AC478="",-9999-ROW()*0.0000001,Y478*1000+AC478-ROW()*0.0000001)</f>
        <v/>
      </c>
      <c r="AN478">
        <f>IF(AND(OR(AD478="Maybe",AD478="Price Review"),AG478&lt;&gt;"Approved",AG478&lt;&gt;"Rejected"),IF(AC478="",0,AC478)-ROW()*0.0000001,-9999-ROW()*0.0000001)</f>
        <v/>
      </c>
      <c r="AO478" s="28" t="n"/>
      <c r="AP478" s="28" t="n"/>
      <c r="AQ478" s="29" t="n"/>
      <c r="AR478" s="29" t="n"/>
      <c r="AS478" s="23" t="n"/>
      <c r="AT478" s="29" t="n"/>
      <c r="AU478" s="29" t="n"/>
      <c r="AV478" s="29" t="n"/>
      <c r="AW478" s="25">
        <f>IF(OR(O478="",AV478=""),"",O478*AV478)</f>
        <v/>
      </c>
      <c r="AX478" s="23" t="n"/>
      <c r="AY478" s="23" t="n"/>
      <c r="AZ478" s="23" t="n"/>
      <c r="BA478" s="23" t="n"/>
      <c r="BB478" s="23" t="n"/>
      <c r="BC478" s="25" t="n"/>
      <c r="BD478" s="23" t="n"/>
      <c r="BE478" s="23">
        <f>IF(C478="","",IF(AND(ISNUMBER(P478),P478&gt;MAX_PRICE),"Price too high",IF(AND(ISNUMBER(AB478),AB478&lt;=2),"Quality risk",IF(AND(ISNUMBER(U478),U478&lt;=2),"Aesthetic mismatch",IF(AY478="High","Too fragile",IF(AND(ISNUMBER(R478),R478&lt;LOW_PROFIT_PCT),"Low profit",IF(AND(ISNUMBER(AT478),AT478&gt;MOQ_WARNING),"MOQ too high",IF(OR(AD478="Maybe",AD478="Price Review"),"Needs partner review",IF(AD478="Buy","Good candidate","")))))))))</f>
        <v/>
      </c>
      <c r="BF478" s="23" t="n"/>
      <c r="BG478" s="23" t="n"/>
      <c r="BH478" s="23" t="n"/>
      <c r="BI478" s="23" t="n"/>
      <c r="BJ478" s="23" t="n"/>
      <c r="BK478" s="23" t="n"/>
      <c r="BL478" s="23">
        <f>IF(C478="","",IF(AND(BG478="Yes",BH478="Yes",BI478="Yes",BJ478="Yes",BK478="Yes"),"Yes","No"))</f>
        <v/>
      </c>
      <c r="BM478" s="25" t="n"/>
      <c r="BN478" s="25" t="n"/>
      <c r="BO478" s="25">
        <f>IF(OR(BM478="",BN478=""),"",BM478+BN478)</f>
        <v/>
      </c>
      <c r="BP478" s="25" t="n"/>
      <c r="BQ478" s="25">
        <f>IF(OR(BP478="",BO478=""),"",BP478-BO478)</f>
        <v/>
      </c>
      <c r="BR478" s="26">
        <f>IF(OR(BP478="",BP478=0,BQ478=""),"",BQ478/BP478)</f>
        <v/>
      </c>
      <c r="BS478" s="24" t="n"/>
      <c r="BT478" s="29" t="n"/>
      <c r="BU478" s="29" t="n"/>
      <c r="BV478" s="23" t="n"/>
      <c r="BW478" s="23" t="n"/>
      <c r="BX478" s="29">
        <f>IF(OR(BT478="",BU478=""),"",BT478-BU478)</f>
        <v/>
      </c>
      <c r="BY478" s="23" t="n"/>
      <c r="BZ478" s="24" t="n"/>
      <c r="CA478" s="23" t="n"/>
      <c r="CB478" s="23" t="n"/>
    </row>
    <row r="479">
      <c r="A479" s="16">
        <f>IF(C479="","","AYN-"&amp;IFERROR(VLOOKUP(E479,CATEGORY_PREFIX_TABLE,2,FALSE),"OTH")&amp;"-"&amp;TEXT(ROW()-2,"0000"))</f>
        <v/>
      </c>
      <c r="B479" s="17" t="n"/>
      <c r="C479" s="16" t="n"/>
      <c r="D479" s="16" t="n"/>
      <c r="E479" s="16" t="n"/>
      <c r="F479" s="16" t="n"/>
      <c r="G479" s="16" t="n"/>
      <c r="H479" s="16" t="n"/>
      <c r="I479" s="16" t="n"/>
      <c r="J479" s="16" t="n"/>
      <c r="K479" s="18">
        <f>IF(I479="","",IF(J479="BDT",I479,IF(J479="USD",I479*USD_BDT,IF(J479="RMB",I479*RMB_BDT,""))))</f>
        <v/>
      </c>
      <c r="L479" s="18" t="n"/>
      <c r="M479" s="19" t="n"/>
      <c r="N479" s="18" t="n"/>
      <c r="O479" s="18">
        <f>IF(K479="","",K479+IFERROR(L479,0)+(K479*IF(M479="",CUSTOMS_PCT,M479))+IF(N479="",MISC_FEE,N479))</f>
        <v/>
      </c>
      <c r="P479" s="18">
        <f>IF(O479="","",ROUND(O479*(1+MARKUP_PCT),-1)-1)</f>
        <v/>
      </c>
      <c r="Q479" s="18">
        <f>IF(P479="","",P479-O479)</f>
        <v/>
      </c>
      <c r="R479" s="19">
        <f>IF(OR(P479="",P479=0),"",Q479/P479)</f>
        <v/>
      </c>
      <c r="S479" s="16" t="n"/>
      <c r="T479" s="16" t="n"/>
      <c r="U479" s="16" t="n"/>
      <c r="V479" s="16" t="n"/>
      <c r="W479" s="16" t="n"/>
      <c r="X479" s="16" t="n"/>
      <c r="Y479" s="16" t="n"/>
      <c r="Z479" s="16" t="n"/>
      <c r="AA479" s="16" t="n"/>
      <c r="AB479" s="16" t="n"/>
      <c r="AC479" s="20">
        <f>IF(COUNT(S479:AB479)&lt;10,"",(S479*W_FEMININE+T479*W_TREND+U479*W_AESTHETIC+V479*W_STYLE+W479*W_LIGHT+X479*W_REELS+Y479*W_GIFT+Z479*W_PRICEFIT+AA479*W_DEMAND+AB479*W_QUALITY)/5*100)</f>
        <v/>
      </c>
      <c r="AD479" s="16">
        <f>IF(P479="","",IF(P479&gt;HARD_REJECT_PRICE,"Reject",IF(P479&gt;MAX_PRICE,"Price Review",IF(AC479="","",IF(AND(AC479&gt;=BUY_THRESHOLD,OR(AB479&lt;=2,U479&lt;=2)),"Maybe",IF(AC479&gt;=BUY_THRESHOLD,"Buy",IF(AC479&gt;=MAYBE_THRESHOLD,"Maybe","Reject")))))))</f>
        <v/>
      </c>
      <c r="AE479" s="16" t="n"/>
      <c r="AF479" s="16" t="n"/>
      <c r="AG479" s="16" t="n"/>
      <c r="AH479" s="16" t="n"/>
      <c r="AI479" s="17" t="n"/>
      <c r="AJ479">
        <f>IF(AC479="",-9999-ROW()*0.0000001,AC479-ROW()*0.0000001)</f>
        <v/>
      </c>
      <c r="AK479">
        <f>IF(OR(AC479="",P479="",P479&gt;MAX_PRICE),-9999-ROW()*0.0000001,AC479-ROW()*0.0000001)</f>
        <v/>
      </c>
      <c r="AL479">
        <f>IF(AC479="",-9999-ROW()*0.0000001,X479*1000+AC479-ROW()*0.0000001)</f>
        <v/>
      </c>
      <c r="AM479">
        <f>IF(AC479="",-9999-ROW()*0.0000001,Y479*1000+AC479-ROW()*0.0000001)</f>
        <v/>
      </c>
      <c r="AN479">
        <f>IF(AND(OR(AD479="Maybe",AD479="Price Review"),AG479&lt;&gt;"Approved",AG479&lt;&gt;"Rejected"),IF(AC479="",0,AC479)-ROW()*0.0000001,-9999-ROW()*0.0000001)</f>
        <v/>
      </c>
      <c r="AO479" s="21" t="n"/>
      <c r="AP479" s="21" t="n"/>
      <c r="AQ479" s="22" t="n"/>
      <c r="AR479" s="22" t="n"/>
      <c r="AS479" s="16" t="n"/>
      <c r="AT479" s="22" t="n"/>
      <c r="AU479" s="22" t="n"/>
      <c r="AV479" s="22" t="n"/>
      <c r="AW479" s="18">
        <f>IF(OR(O479="",AV479=""),"",O479*AV479)</f>
        <v/>
      </c>
      <c r="AX479" s="16" t="n"/>
      <c r="AY479" s="16" t="n"/>
      <c r="AZ479" s="16" t="n"/>
      <c r="BA479" s="16" t="n"/>
      <c r="BB479" s="16" t="n"/>
      <c r="BC479" s="18" t="n"/>
      <c r="BD479" s="16" t="n"/>
      <c r="BE479" s="16">
        <f>IF(C479="","",IF(AND(ISNUMBER(P479),P479&gt;MAX_PRICE),"Price too high",IF(AND(ISNUMBER(AB479),AB479&lt;=2),"Quality risk",IF(AND(ISNUMBER(U479),U479&lt;=2),"Aesthetic mismatch",IF(AY479="High","Too fragile",IF(AND(ISNUMBER(R479),R479&lt;LOW_PROFIT_PCT),"Low profit",IF(AND(ISNUMBER(AT479),AT479&gt;MOQ_WARNING),"MOQ too high",IF(OR(AD479="Maybe",AD479="Price Review"),"Needs partner review",IF(AD479="Buy","Good candidate","")))))))))</f>
        <v/>
      </c>
      <c r="BF479" s="16" t="n"/>
      <c r="BG479" s="16" t="n"/>
      <c r="BH479" s="16" t="n"/>
      <c r="BI479" s="16" t="n"/>
      <c r="BJ479" s="16" t="n"/>
      <c r="BK479" s="16" t="n"/>
      <c r="BL479" s="16">
        <f>IF(C479="","",IF(AND(BG479="Yes",BH479="Yes",BI479="Yes",BJ479="Yes",BK479="Yes"),"Yes","No"))</f>
        <v/>
      </c>
      <c r="BM479" s="18" t="n"/>
      <c r="BN479" s="18" t="n"/>
      <c r="BO479" s="18">
        <f>IF(OR(BM479="",BN479=""),"",BM479+BN479)</f>
        <v/>
      </c>
      <c r="BP479" s="18" t="n"/>
      <c r="BQ479" s="18">
        <f>IF(OR(BP479="",BO479=""),"",BP479-BO479)</f>
        <v/>
      </c>
      <c r="BR479" s="19">
        <f>IF(OR(BP479="",BP479=0,BQ479=""),"",BQ479/BP479)</f>
        <v/>
      </c>
      <c r="BS479" s="17" t="n"/>
      <c r="BT479" s="22" t="n"/>
      <c r="BU479" s="22" t="n"/>
      <c r="BV479" s="16" t="n"/>
      <c r="BW479" s="16" t="n"/>
      <c r="BX479" s="22">
        <f>IF(OR(BT479="",BU479=""),"",BT479-BU479)</f>
        <v/>
      </c>
      <c r="BY479" s="16" t="n"/>
      <c r="BZ479" s="17" t="n"/>
      <c r="CA479" s="16" t="n"/>
      <c r="CB479" s="16" t="n"/>
    </row>
    <row r="480">
      <c r="A480" s="23">
        <f>IF(C480="","","AYN-"&amp;IFERROR(VLOOKUP(E480,CATEGORY_PREFIX_TABLE,2,FALSE),"OTH")&amp;"-"&amp;TEXT(ROW()-2,"0000"))</f>
        <v/>
      </c>
      <c r="B480" s="24" t="n"/>
      <c r="C480" s="23" t="n"/>
      <c r="D480" s="23" t="n"/>
      <c r="E480" s="23" t="n"/>
      <c r="F480" s="23" t="n"/>
      <c r="G480" s="23" t="n"/>
      <c r="H480" s="23" t="n"/>
      <c r="I480" s="23" t="n"/>
      <c r="J480" s="23" t="n"/>
      <c r="K480" s="25">
        <f>IF(I480="","",IF(J480="BDT",I480,IF(J480="USD",I480*USD_BDT,IF(J480="RMB",I480*RMB_BDT,""))))</f>
        <v/>
      </c>
      <c r="L480" s="25" t="n"/>
      <c r="M480" s="26" t="n"/>
      <c r="N480" s="25" t="n"/>
      <c r="O480" s="25">
        <f>IF(K480="","",K480+IFERROR(L480,0)+(K480*IF(M480="",CUSTOMS_PCT,M480))+IF(N480="",MISC_FEE,N480))</f>
        <v/>
      </c>
      <c r="P480" s="25">
        <f>IF(O480="","",ROUND(O480*(1+MARKUP_PCT),-1)-1)</f>
        <v/>
      </c>
      <c r="Q480" s="25">
        <f>IF(P480="","",P480-O480)</f>
        <v/>
      </c>
      <c r="R480" s="26">
        <f>IF(OR(P480="",P480=0),"",Q480/P480)</f>
        <v/>
      </c>
      <c r="S480" s="23" t="n"/>
      <c r="T480" s="23" t="n"/>
      <c r="U480" s="23" t="n"/>
      <c r="V480" s="23" t="n"/>
      <c r="W480" s="23" t="n"/>
      <c r="X480" s="23" t="n"/>
      <c r="Y480" s="23" t="n"/>
      <c r="Z480" s="23" t="n"/>
      <c r="AA480" s="23" t="n"/>
      <c r="AB480" s="23" t="n"/>
      <c r="AC480" s="27">
        <f>IF(COUNT(S480:AB480)&lt;10,"",(S480*W_FEMININE+T480*W_TREND+U480*W_AESTHETIC+V480*W_STYLE+W480*W_LIGHT+X480*W_REELS+Y480*W_GIFT+Z480*W_PRICEFIT+AA480*W_DEMAND+AB480*W_QUALITY)/5*100)</f>
        <v/>
      </c>
      <c r="AD480" s="23">
        <f>IF(P480="","",IF(P480&gt;HARD_REJECT_PRICE,"Reject",IF(P480&gt;MAX_PRICE,"Price Review",IF(AC480="","",IF(AND(AC480&gt;=BUY_THRESHOLD,OR(AB480&lt;=2,U480&lt;=2)),"Maybe",IF(AC480&gt;=BUY_THRESHOLD,"Buy",IF(AC480&gt;=MAYBE_THRESHOLD,"Maybe","Reject")))))))</f>
        <v/>
      </c>
      <c r="AE480" s="23" t="n"/>
      <c r="AF480" s="23" t="n"/>
      <c r="AG480" s="23" t="n"/>
      <c r="AH480" s="23" t="n"/>
      <c r="AI480" s="24" t="n"/>
      <c r="AJ480">
        <f>IF(AC480="",-9999-ROW()*0.0000001,AC480-ROW()*0.0000001)</f>
        <v/>
      </c>
      <c r="AK480">
        <f>IF(OR(AC480="",P480="",P480&gt;MAX_PRICE),-9999-ROW()*0.0000001,AC480-ROW()*0.0000001)</f>
        <v/>
      </c>
      <c r="AL480">
        <f>IF(AC480="",-9999-ROW()*0.0000001,X480*1000+AC480-ROW()*0.0000001)</f>
        <v/>
      </c>
      <c r="AM480">
        <f>IF(AC480="",-9999-ROW()*0.0000001,Y480*1000+AC480-ROW()*0.0000001)</f>
        <v/>
      </c>
      <c r="AN480">
        <f>IF(AND(OR(AD480="Maybe",AD480="Price Review"),AG480&lt;&gt;"Approved",AG480&lt;&gt;"Rejected"),IF(AC480="",0,AC480)-ROW()*0.0000001,-9999-ROW()*0.0000001)</f>
        <v/>
      </c>
      <c r="AO480" s="28" t="n"/>
      <c r="AP480" s="28" t="n"/>
      <c r="AQ480" s="29" t="n"/>
      <c r="AR480" s="29" t="n"/>
      <c r="AS480" s="23" t="n"/>
      <c r="AT480" s="29" t="n"/>
      <c r="AU480" s="29" t="n"/>
      <c r="AV480" s="29" t="n"/>
      <c r="AW480" s="25">
        <f>IF(OR(O480="",AV480=""),"",O480*AV480)</f>
        <v/>
      </c>
      <c r="AX480" s="23" t="n"/>
      <c r="AY480" s="23" t="n"/>
      <c r="AZ480" s="23" t="n"/>
      <c r="BA480" s="23" t="n"/>
      <c r="BB480" s="23" t="n"/>
      <c r="BC480" s="25" t="n"/>
      <c r="BD480" s="23" t="n"/>
      <c r="BE480" s="23">
        <f>IF(C480="","",IF(AND(ISNUMBER(P480),P480&gt;MAX_PRICE),"Price too high",IF(AND(ISNUMBER(AB480),AB480&lt;=2),"Quality risk",IF(AND(ISNUMBER(U480),U480&lt;=2),"Aesthetic mismatch",IF(AY480="High","Too fragile",IF(AND(ISNUMBER(R480),R480&lt;LOW_PROFIT_PCT),"Low profit",IF(AND(ISNUMBER(AT480),AT480&gt;MOQ_WARNING),"MOQ too high",IF(OR(AD480="Maybe",AD480="Price Review"),"Needs partner review",IF(AD480="Buy","Good candidate","")))))))))</f>
        <v/>
      </c>
      <c r="BF480" s="23" t="n"/>
      <c r="BG480" s="23" t="n"/>
      <c r="BH480" s="23" t="n"/>
      <c r="BI480" s="23" t="n"/>
      <c r="BJ480" s="23" t="n"/>
      <c r="BK480" s="23" t="n"/>
      <c r="BL480" s="23">
        <f>IF(C480="","",IF(AND(BG480="Yes",BH480="Yes",BI480="Yes",BJ480="Yes",BK480="Yes"),"Yes","No"))</f>
        <v/>
      </c>
      <c r="BM480" s="25" t="n"/>
      <c r="BN480" s="25" t="n"/>
      <c r="BO480" s="25">
        <f>IF(OR(BM480="",BN480=""),"",BM480+BN480)</f>
        <v/>
      </c>
      <c r="BP480" s="25" t="n"/>
      <c r="BQ480" s="25">
        <f>IF(OR(BP480="",BO480=""),"",BP480-BO480)</f>
        <v/>
      </c>
      <c r="BR480" s="26">
        <f>IF(OR(BP480="",BP480=0,BQ480=""),"",BQ480/BP480)</f>
        <v/>
      </c>
      <c r="BS480" s="24" t="n"/>
      <c r="BT480" s="29" t="n"/>
      <c r="BU480" s="29" t="n"/>
      <c r="BV480" s="23" t="n"/>
      <c r="BW480" s="23" t="n"/>
      <c r="BX480" s="29">
        <f>IF(OR(BT480="",BU480=""),"",BT480-BU480)</f>
        <v/>
      </c>
      <c r="BY480" s="23" t="n"/>
      <c r="BZ480" s="24" t="n"/>
      <c r="CA480" s="23" t="n"/>
      <c r="CB480" s="23" t="n"/>
    </row>
    <row r="481">
      <c r="A481" s="16">
        <f>IF(C481="","","AYN-"&amp;IFERROR(VLOOKUP(E481,CATEGORY_PREFIX_TABLE,2,FALSE),"OTH")&amp;"-"&amp;TEXT(ROW()-2,"0000"))</f>
        <v/>
      </c>
      <c r="B481" s="17" t="n"/>
      <c r="C481" s="16" t="n"/>
      <c r="D481" s="16" t="n"/>
      <c r="E481" s="16" t="n"/>
      <c r="F481" s="16" t="n"/>
      <c r="G481" s="16" t="n"/>
      <c r="H481" s="16" t="n"/>
      <c r="I481" s="16" t="n"/>
      <c r="J481" s="16" t="n"/>
      <c r="K481" s="18">
        <f>IF(I481="","",IF(J481="BDT",I481,IF(J481="USD",I481*USD_BDT,IF(J481="RMB",I481*RMB_BDT,""))))</f>
        <v/>
      </c>
      <c r="L481" s="18" t="n"/>
      <c r="M481" s="19" t="n"/>
      <c r="N481" s="18" t="n"/>
      <c r="O481" s="18">
        <f>IF(K481="","",K481+IFERROR(L481,0)+(K481*IF(M481="",CUSTOMS_PCT,M481))+IF(N481="",MISC_FEE,N481))</f>
        <v/>
      </c>
      <c r="P481" s="18">
        <f>IF(O481="","",ROUND(O481*(1+MARKUP_PCT),-1)-1)</f>
        <v/>
      </c>
      <c r="Q481" s="18">
        <f>IF(P481="","",P481-O481)</f>
        <v/>
      </c>
      <c r="R481" s="19">
        <f>IF(OR(P481="",P481=0),"",Q481/P481)</f>
        <v/>
      </c>
      <c r="S481" s="16" t="n"/>
      <c r="T481" s="16" t="n"/>
      <c r="U481" s="16" t="n"/>
      <c r="V481" s="16" t="n"/>
      <c r="W481" s="16" t="n"/>
      <c r="X481" s="16" t="n"/>
      <c r="Y481" s="16" t="n"/>
      <c r="Z481" s="16" t="n"/>
      <c r="AA481" s="16" t="n"/>
      <c r="AB481" s="16" t="n"/>
      <c r="AC481" s="20">
        <f>IF(COUNT(S481:AB481)&lt;10,"",(S481*W_FEMININE+T481*W_TREND+U481*W_AESTHETIC+V481*W_STYLE+W481*W_LIGHT+X481*W_REELS+Y481*W_GIFT+Z481*W_PRICEFIT+AA481*W_DEMAND+AB481*W_QUALITY)/5*100)</f>
        <v/>
      </c>
      <c r="AD481" s="16">
        <f>IF(P481="","",IF(P481&gt;HARD_REJECT_PRICE,"Reject",IF(P481&gt;MAX_PRICE,"Price Review",IF(AC481="","",IF(AND(AC481&gt;=BUY_THRESHOLD,OR(AB481&lt;=2,U481&lt;=2)),"Maybe",IF(AC481&gt;=BUY_THRESHOLD,"Buy",IF(AC481&gt;=MAYBE_THRESHOLD,"Maybe","Reject")))))))</f>
        <v/>
      </c>
      <c r="AE481" s="16" t="n"/>
      <c r="AF481" s="16" t="n"/>
      <c r="AG481" s="16" t="n"/>
      <c r="AH481" s="16" t="n"/>
      <c r="AI481" s="17" t="n"/>
      <c r="AJ481">
        <f>IF(AC481="",-9999-ROW()*0.0000001,AC481-ROW()*0.0000001)</f>
        <v/>
      </c>
      <c r="AK481">
        <f>IF(OR(AC481="",P481="",P481&gt;MAX_PRICE),-9999-ROW()*0.0000001,AC481-ROW()*0.0000001)</f>
        <v/>
      </c>
      <c r="AL481">
        <f>IF(AC481="",-9999-ROW()*0.0000001,X481*1000+AC481-ROW()*0.0000001)</f>
        <v/>
      </c>
      <c r="AM481">
        <f>IF(AC481="",-9999-ROW()*0.0000001,Y481*1000+AC481-ROW()*0.0000001)</f>
        <v/>
      </c>
      <c r="AN481">
        <f>IF(AND(OR(AD481="Maybe",AD481="Price Review"),AG481&lt;&gt;"Approved",AG481&lt;&gt;"Rejected"),IF(AC481="",0,AC481)-ROW()*0.0000001,-9999-ROW()*0.0000001)</f>
        <v/>
      </c>
      <c r="AO481" s="21" t="n"/>
      <c r="AP481" s="21" t="n"/>
      <c r="AQ481" s="22" t="n"/>
      <c r="AR481" s="22" t="n"/>
      <c r="AS481" s="16" t="n"/>
      <c r="AT481" s="22" t="n"/>
      <c r="AU481" s="22" t="n"/>
      <c r="AV481" s="22" t="n"/>
      <c r="AW481" s="18">
        <f>IF(OR(O481="",AV481=""),"",O481*AV481)</f>
        <v/>
      </c>
      <c r="AX481" s="16" t="n"/>
      <c r="AY481" s="16" t="n"/>
      <c r="AZ481" s="16" t="n"/>
      <c r="BA481" s="16" t="n"/>
      <c r="BB481" s="16" t="n"/>
      <c r="BC481" s="18" t="n"/>
      <c r="BD481" s="16" t="n"/>
      <c r="BE481" s="16">
        <f>IF(C481="","",IF(AND(ISNUMBER(P481),P481&gt;MAX_PRICE),"Price too high",IF(AND(ISNUMBER(AB481),AB481&lt;=2),"Quality risk",IF(AND(ISNUMBER(U481),U481&lt;=2),"Aesthetic mismatch",IF(AY481="High","Too fragile",IF(AND(ISNUMBER(R481),R481&lt;LOW_PROFIT_PCT),"Low profit",IF(AND(ISNUMBER(AT481),AT481&gt;MOQ_WARNING),"MOQ too high",IF(OR(AD481="Maybe",AD481="Price Review"),"Needs partner review",IF(AD481="Buy","Good candidate","")))))))))</f>
        <v/>
      </c>
      <c r="BF481" s="16" t="n"/>
      <c r="BG481" s="16" t="n"/>
      <c r="BH481" s="16" t="n"/>
      <c r="BI481" s="16" t="n"/>
      <c r="BJ481" s="16" t="n"/>
      <c r="BK481" s="16" t="n"/>
      <c r="BL481" s="16">
        <f>IF(C481="","",IF(AND(BG481="Yes",BH481="Yes",BI481="Yes",BJ481="Yes",BK481="Yes"),"Yes","No"))</f>
        <v/>
      </c>
      <c r="BM481" s="18" t="n"/>
      <c r="BN481" s="18" t="n"/>
      <c r="BO481" s="18">
        <f>IF(OR(BM481="",BN481=""),"",BM481+BN481)</f>
        <v/>
      </c>
      <c r="BP481" s="18" t="n"/>
      <c r="BQ481" s="18">
        <f>IF(OR(BP481="",BO481=""),"",BP481-BO481)</f>
        <v/>
      </c>
      <c r="BR481" s="19">
        <f>IF(OR(BP481="",BP481=0,BQ481=""),"",BQ481/BP481)</f>
        <v/>
      </c>
      <c r="BS481" s="17" t="n"/>
      <c r="BT481" s="22" t="n"/>
      <c r="BU481" s="22" t="n"/>
      <c r="BV481" s="16" t="n"/>
      <c r="BW481" s="16" t="n"/>
      <c r="BX481" s="22">
        <f>IF(OR(BT481="",BU481=""),"",BT481-BU481)</f>
        <v/>
      </c>
      <c r="BY481" s="16" t="n"/>
      <c r="BZ481" s="17" t="n"/>
      <c r="CA481" s="16" t="n"/>
      <c r="CB481" s="16" t="n"/>
    </row>
    <row r="482">
      <c r="A482" s="23">
        <f>IF(C482="","","AYN-"&amp;IFERROR(VLOOKUP(E482,CATEGORY_PREFIX_TABLE,2,FALSE),"OTH")&amp;"-"&amp;TEXT(ROW()-2,"0000"))</f>
        <v/>
      </c>
      <c r="B482" s="24" t="n"/>
      <c r="C482" s="23" t="n"/>
      <c r="D482" s="23" t="n"/>
      <c r="E482" s="23" t="n"/>
      <c r="F482" s="23" t="n"/>
      <c r="G482" s="23" t="n"/>
      <c r="H482" s="23" t="n"/>
      <c r="I482" s="23" t="n"/>
      <c r="J482" s="23" t="n"/>
      <c r="K482" s="25">
        <f>IF(I482="","",IF(J482="BDT",I482,IF(J482="USD",I482*USD_BDT,IF(J482="RMB",I482*RMB_BDT,""))))</f>
        <v/>
      </c>
      <c r="L482" s="25" t="n"/>
      <c r="M482" s="26" t="n"/>
      <c r="N482" s="25" t="n"/>
      <c r="O482" s="25">
        <f>IF(K482="","",K482+IFERROR(L482,0)+(K482*IF(M482="",CUSTOMS_PCT,M482))+IF(N482="",MISC_FEE,N482))</f>
        <v/>
      </c>
      <c r="P482" s="25">
        <f>IF(O482="","",ROUND(O482*(1+MARKUP_PCT),-1)-1)</f>
        <v/>
      </c>
      <c r="Q482" s="25">
        <f>IF(P482="","",P482-O482)</f>
        <v/>
      </c>
      <c r="R482" s="26">
        <f>IF(OR(P482="",P482=0),"",Q482/P482)</f>
        <v/>
      </c>
      <c r="S482" s="23" t="n"/>
      <c r="T482" s="23" t="n"/>
      <c r="U482" s="23" t="n"/>
      <c r="V482" s="23" t="n"/>
      <c r="W482" s="23" t="n"/>
      <c r="X482" s="23" t="n"/>
      <c r="Y482" s="23" t="n"/>
      <c r="Z482" s="23" t="n"/>
      <c r="AA482" s="23" t="n"/>
      <c r="AB482" s="23" t="n"/>
      <c r="AC482" s="27">
        <f>IF(COUNT(S482:AB482)&lt;10,"",(S482*W_FEMININE+T482*W_TREND+U482*W_AESTHETIC+V482*W_STYLE+W482*W_LIGHT+X482*W_REELS+Y482*W_GIFT+Z482*W_PRICEFIT+AA482*W_DEMAND+AB482*W_QUALITY)/5*100)</f>
        <v/>
      </c>
      <c r="AD482" s="23">
        <f>IF(P482="","",IF(P482&gt;HARD_REJECT_PRICE,"Reject",IF(P482&gt;MAX_PRICE,"Price Review",IF(AC482="","",IF(AND(AC482&gt;=BUY_THRESHOLD,OR(AB482&lt;=2,U482&lt;=2)),"Maybe",IF(AC482&gt;=BUY_THRESHOLD,"Buy",IF(AC482&gt;=MAYBE_THRESHOLD,"Maybe","Reject")))))))</f>
        <v/>
      </c>
      <c r="AE482" s="23" t="n"/>
      <c r="AF482" s="23" t="n"/>
      <c r="AG482" s="23" t="n"/>
      <c r="AH482" s="23" t="n"/>
      <c r="AI482" s="24" t="n"/>
      <c r="AJ482">
        <f>IF(AC482="",-9999-ROW()*0.0000001,AC482-ROW()*0.0000001)</f>
        <v/>
      </c>
      <c r="AK482">
        <f>IF(OR(AC482="",P482="",P482&gt;MAX_PRICE),-9999-ROW()*0.0000001,AC482-ROW()*0.0000001)</f>
        <v/>
      </c>
      <c r="AL482">
        <f>IF(AC482="",-9999-ROW()*0.0000001,X482*1000+AC482-ROW()*0.0000001)</f>
        <v/>
      </c>
      <c r="AM482">
        <f>IF(AC482="",-9999-ROW()*0.0000001,Y482*1000+AC482-ROW()*0.0000001)</f>
        <v/>
      </c>
      <c r="AN482">
        <f>IF(AND(OR(AD482="Maybe",AD482="Price Review"),AG482&lt;&gt;"Approved",AG482&lt;&gt;"Rejected"),IF(AC482="",0,AC482)-ROW()*0.0000001,-9999-ROW()*0.0000001)</f>
        <v/>
      </c>
      <c r="AO482" s="28" t="n"/>
      <c r="AP482" s="28" t="n"/>
      <c r="AQ482" s="29" t="n"/>
      <c r="AR482" s="29" t="n"/>
      <c r="AS482" s="23" t="n"/>
      <c r="AT482" s="29" t="n"/>
      <c r="AU482" s="29" t="n"/>
      <c r="AV482" s="29" t="n"/>
      <c r="AW482" s="25">
        <f>IF(OR(O482="",AV482=""),"",O482*AV482)</f>
        <v/>
      </c>
      <c r="AX482" s="23" t="n"/>
      <c r="AY482" s="23" t="n"/>
      <c r="AZ482" s="23" t="n"/>
      <c r="BA482" s="23" t="n"/>
      <c r="BB482" s="23" t="n"/>
      <c r="BC482" s="25" t="n"/>
      <c r="BD482" s="23" t="n"/>
      <c r="BE482" s="23">
        <f>IF(C482="","",IF(AND(ISNUMBER(P482),P482&gt;MAX_PRICE),"Price too high",IF(AND(ISNUMBER(AB482),AB482&lt;=2),"Quality risk",IF(AND(ISNUMBER(U482),U482&lt;=2),"Aesthetic mismatch",IF(AY482="High","Too fragile",IF(AND(ISNUMBER(R482),R482&lt;LOW_PROFIT_PCT),"Low profit",IF(AND(ISNUMBER(AT482),AT482&gt;MOQ_WARNING),"MOQ too high",IF(OR(AD482="Maybe",AD482="Price Review"),"Needs partner review",IF(AD482="Buy","Good candidate","")))))))))</f>
        <v/>
      </c>
      <c r="BF482" s="23" t="n"/>
      <c r="BG482" s="23" t="n"/>
      <c r="BH482" s="23" t="n"/>
      <c r="BI482" s="23" t="n"/>
      <c r="BJ482" s="23" t="n"/>
      <c r="BK482" s="23" t="n"/>
      <c r="BL482" s="23">
        <f>IF(C482="","",IF(AND(BG482="Yes",BH482="Yes",BI482="Yes",BJ482="Yes",BK482="Yes"),"Yes","No"))</f>
        <v/>
      </c>
      <c r="BM482" s="25" t="n"/>
      <c r="BN482" s="25" t="n"/>
      <c r="BO482" s="25">
        <f>IF(OR(BM482="",BN482=""),"",BM482+BN482)</f>
        <v/>
      </c>
      <c r="BP482" s="25" t="n"/>
      <c r="BQ482" s="25">
        <f>IF(OR(BP482="",BO482=""),"",BP482-BO482)</f>
        <v/>
      </c>
      <c r="BR482" s="26">
        <f>IF(OR(BP482="",BP482=0,BQ482=""),"",BQ482/BP482)</f>
        <v/>
      </c>
      <c r="BS482" s="24" t="n"/>
      <c r="BT482" s="29" t="n"/>
      <c r="BU482" s="29" t="n"/>
      <c r="BV482" s="23" t="n"/>
      <c r="BW482" s="23" t="n"/>
      <c r="BX482" s="29">
        <f>IF(OR(BT482="",BU482=""),"",BT482-BU482)</f>
        <v/>
      </c>
      <c r="BY482" s="23" t="n"/>
      <c r="BZ482" s="24" t="n"/>
      <c r="CA482" s="23" t="n"/>
      <c r="CB482" s="23" t="n"/>
    </row>
    <row r="483">
      <c r="A483" s="16">
        <f>IF(C483="","","AYN-"&amp;IFERROR(VLOOKUP(E483,CATEGORY_PREFIX_TABLE,2,FALSE),"OTH")&amp;"-"&amp;TEXT(ROW()-2,"0000"))</f>
        <v/>
      </c>
      <c r="B483" s="17" t="n"/>
      <c r="C483" s="16" t="n"/>
      <c r="D483" s="16" t="n"/>
      <c r="E483" s="16" t="n"/>
      <c r="F483" s="16" t="n"/>
      <c r="G483" s="16" t="n"/>
      <c r="H483" s="16" t="n"/>
      <c r="I483" s="16" t="n"/>
      <c r="J483" s="16" t="n"/>
      <c r="K483" s="18">
        <f>IF(I483="","",IF(J483="BDT",I483,IF(J483="USD",I483*USD_BDT,IF(J483="RMB",I483*RMB_BDT,""))))</f>
        <v/>
      </c>
      <c r="L483" s="18" t="n"/>
      <c r="M483" s="19" t="n"/>
      <c r="N483" s="18" t="n"/>
      <c r="O483" s="18">
        <f>IF(K483="","",K483+IFERROR(L483,0)+(K483*IF(M483="",CUSTOMS_PCT,M483))+IF(N483="",MISC_FEE,N483))</f>
        <v/>
      </c>
      <c r="P483" s="18">
        <f>IF(O483="","",ROUND(O483*(1+MARKUP_PCT),-1)-1)</f>
        <v/>
      </c>
      <c r="Q483" s="18">
        <f>IF(P483="","",P483-O483)</f>
        <v/>
      </c>
      <c r="R483" s="19">
        <f>IF(OR(P483="",P483=0),"",Q483/P483)</f>
        <v/>
      </c>
      <c r="S483" s="16" t="n"/>
      <c r="T483" s="16" t="n"/>
      <c r="U483" s="16" t="n"/>
      <c r="V483" s="16" t="n"/>
      <c r="W483" s="16" t="n"/>
      <c r="X483" s="16" t="n"/>
      <c r="Y483" s="16" t="n"/>
      <c r="Z483" s="16" t="n"/>
      <c r="AA483" s="16" t="n"/>
      <c r="AB483" s="16" t="n"/>
      <c r="AC483" s="20">
        <f>IF(COUNT(S483:AB483)&lt;10,"",(S483*W_FEMININE+T483*W_TREND+U483*W_AESTHETIC+V483*W_STYLE+W483*W_LIGHT+X483*W_REELS+Y483*W_GIFT+Z483*W_PRICEFIT+AA483*W_DEMAND+AB483*W_QUALITY)/5*100)</f>
        <v/>
      </c>
      <c r="AD483" s="16">
        <f>IF(P483="","",IF(P483&gt;HARD_REJECT_PRICE,"Reject",IF(P483&gt;MAX_PRICE,"Price Review",IF(AC483="","",IF(AND(AC483&gt;=BUY_THRESHOLD,OR(AB483&lt;=2,U483&lt;=2)),"Maybe",IF(AC483&gt;=BUY_THRESHOLD,"Buy",IF(AC483&gt;=MAYBE_THRESHOLD,"Maybe","Reject")))))))</f>
        <v/>
      </c>
      <c r="AE483" s="16" t="n"/>
      <c r="AF483" s="16" t="n"/>
      <c r="AG483" s="16" t="n"/>
      <c r="AH483" s="16" t="n"/>
      <c r="AI483" s="17" t="n"/>
      <c r="AJ483">
        <f>IF(AC483="",-9999-ROW()*0.0000001,AC483-ROW()*0.0000001)</f>
        <v/>
      </c>
      <c r="AK483">
        <f>IF(OR(AC483="",P483="",P483&gt;MAX_PRICE),-9999-ROW()*0.0000001,AC483-ROW()*0.0000001)</f>
        <v/>
      </c>
      <c r="AL483">
        <f>IF(AC483="",-9999-ROW()*0.0000001,X483*1000+AC483-ROW()*0.0000001)</f>
        <v/>
      </c>
      <c r="AM483">
        <f>IF(AC483="",-9999-ROW()*0.0000001,Y483*1000+AC483-ROW()*0.0000001)</f>
        <v/>
      </c>
      <c r="AN483">
        <f>IF(AND(OR(AD483="Maybe",AD483="Price Review"),AG483&lt;&gt;"Approved",AG483&lt;&gt;"Rejected"),IF(AC483="",0,AC483)-ROW()*0.0000001,-9999-ROW()*0.0000001)</f>
        <v/>
      </c>
      <c r="AO483" s="21" t="n"/>
      <c r="AP483" s="21" t="n"/>
      <c r="AQ483" s="22" t="n"/>
      <c r="AR483" s="22" t="n"/>
      <c r="AS483" s="16" t="n"/>
      <c r="AT483" s="22" t="n"/>
      <c r="AU483" s="22" t="n"/>
      <c r="AV483" s="22" t="n"/>
      <c r="AW483" s="18">
        <f>IF(OR(O483="",AV483=""),"",O483*AV483)</f>
        <v/>
      </c>
      <c r="AX483" s="16" t="n"/>
      <c r="AY483" s="16" t="n"/>
      <c r="AZ483" s="16" t="n"/>
      <c r="BA483" s="16" t="n"/>
      <c r="BB483" s="16" t="n"/>
      <c r="BC483" s="18" t="n"/>
      <c r="BD483" s="16" t="n"/>
      <c r="BE483" s="16">
        <f>IF(C483="","",IF(AND(ISNUMBER(P483),P483&gt;MAX_PRICE),"Price too high",IF(AND(ISNUMBER(AB483),AB483&lt;=2),"Quality risk",IF(AND(ISNUMBER(U483),U483&lt;=2),"Aesthetic mismatch",IF(AY483="High","Too fragile",IF(AND(ISNUMBER(R483),R483&lt;LOW_PROFIT_PCT),"Low profit",IF(AND(ISNUMBER(AT483),AT483&gt;MOQ_WARNING),"MOQ too high",IF(OR(AD483="Maybe",AD483="Price Review"),"Needs partner review",IF(AD483="Buy","Good candidate","")))))))))</f>
        <v/>
      </c>
      <c r="BF483" s="16" t="n"/>
      <c r="BG483" s="16" t="n"/>
      <c r="BH483" s="16" t="n"/>
      <c r="BI483" s="16" t="n"/>
      <c r="BJ483" s="16" t="n"/>
      <c r="BK483" s="16" t="n"/>
      <c r="BL483" s="16">
        <f>IF(C483="","",IF(AND(BG483="Yes",BH483="Yes",BI483="Yes",BJ483="Yes",BK483="Yes"),"Yes","No"))</f>
        <v/>
      </c>
      <c r="BM483" s="18" t="n"/>
      <c r="BN483" s="18" t="n"/>
      <c r="BO483" s="18">
        <f>IF(OR(BM483="",BN483=""),"",BM483+BN483)</f>
        <v/>
      </c>
      <c r="BP483" s="18" t="n"/>
      <c r="BQ483" s="18">
        <f>IF(OR(BP483="",BO483=""),"",BP483-BO483)</f>
        <v/>
      </c>
      <c r="BR483" s="19">
        <f>IF(OR(BP483="",BP483=0,BQ483=""),"",BQ483/BP483)</f>
        <v/>
      </c>
      <c r="BS483" s="17" t="n"/>
      <c r="BT483" s="22" t="n"/>
      <c r="BU483" s="22" t="n"/>
      <c r="BV483" s="16" t="n"/>
      <c r="BW483" s="16" t="n"/>
      <c r="BX483" s="22">
        <f>IF(OR(BT483="",BU483=""),"",BT483-BU483)</f>
        <v/>
      </c>
      <c r="BY483" s="16" t="n"/>
      <c r="BZ483" s="17" t="n"/>
      <c r="CA483" s="16" t="n"/>
      <c r="CB483" s="16" t="n"/>
    </row>
    <row r="484">
      <c r="A484" s="23">
        <f>IF(C484="","","AYN-"&amp;IFERROR(VLOOKUP(E484,CATEGORY_PREFIX_TABLE,2,FALSE),"OTH")&amp;"-"&amp;TEXT(ROW()-2,"0000"))</f>
        <v/>
      </c>
      <c r="B484" s="24" t="n"/>
      <c r="C484" s="23" t="n"/>
      <c r="D484" s="23" t="n"/>
      <c r="E484" s="23" t="n"/>
      <c r="F484" s="23" t="n"/>
      <c r="G484" s="23" t="n"/>
      <c r="H484" s="23" t="n"/>
      <c r="I484" s="23" t="n"/>
      <c r="J484" s="23" t="n"/>
      <c r="K484" s="25">
        <f>IF(I484="","",IF(J484="BDT",I484,IF(J484="USD",I484*USD_BDT,IF(J484="RMB",I484*RMB_BDT,""))))</f>
        <v/>
      </c>
      <c r="L484" s="25" t="n"/>
      <c r="M484" s="26" t="n"/>
      <c r="N484" s="25" t="n"/>
      <c r="O484" s="25">
        <f>IF(K484="","",K484+IFERROR(L484,0)+(K484*IF(M484="",CUSTOMS_PCT,M484))+IF(N484="",MISC_FEE,N484))</f>
        <v/>
      </c>
      <c r="P484" s="25">
        <f>IF(O484="","",ROUND(O484*(1+MARKUP_PCT),-1)-1)</f>
        <v/>
      </c>
      <c r="Q484" s="25">
        <f>IF(P484="","",P484-O484)</f>
        <v/>
      </c>
      <c r="R484" s="26">
        <f>IF(OR(P484="",P484=0),"",Q484/P484)</f>
        <v/>
      </c>
      <c r="S484" s="23" t="n"/>
      <c r="T484" s="23" t="n"/>
      <c r="U484" s="23" t="n"/>
      <c r="V484" s="23" t="n"/>
      <c r="W484" s="23" t="n"/>
      <c r="X484" s="23" t="n"/>
      <c r="Y484" s="23" t="n"/>
      <c r="Z484" s="23" t="n"/>
      <c r="AA484" s="23" t="n"/>
      <c r="AB484" s="23" t="n"/>
      <c r="AC484" s="27">
        <f>IF(COUNT(S484:AB484)&lt;10,"",(S484*W_FEMININE+T484*W_TREND+U484*W_AESTHETIC+V484*W_STYLE+W484*W_LIGHT+X484*W_REELS+Y484*W_GIFT+Z484*W_PRICEFIT+AA484*W_DEMAND+AB484*W_QUALITY)/5*100)</f>
        <v/>
      </c>
      <c r="AD484" s="23">
        <f>IF(P484="","",IF(P484&gt;HARD_REJECT_PRICE,"Reject",IF(P484&gt;MAX_PRICE,"Price Review",IF(AC484="","",IF(AND(AC484&gt;=BUY_THRESHOLD,OR(AB484&lt;=2,U484&lt;=2)),"Maybe",IF(AC484&gt;=BUY_THRESHOLD,"Buy",IF(AC484&gt;=MAYBE_THRESHOLD,"Maybe","Reject")))))))</f>
        <v/>
      </c>
      <c r="AE484" s="23" t="n"/>
      <c r="AF484" s="23" t="n"/>
      <c r="AG484" s="23" t="n"/>
      <c r="AH484" s="23" t="n"/>
      <c r="AI484" s="24" t="n"/>
      <c r="AJ484">
        <f>IF(AC484="",-9999-ROW()*0.0000001,AC484-ROW()*0.0000001)</f>
        <v/>
      </c>
      <c r="AK484">
        <f>IF(OR(AC484="",P484="",P484&gt;MAX_PRICE),-9999-ROW()*0.0000001,AC484-ROW()*0.0000001)</f>
        <v/>
      </c>
      <c r="AL484">
        <f>IF(AC484="",-9999-ROW()*0.0000001,X484*1000+AC484-ROW()*0.0000001)</f>
        <v/>
      </c>
      <c r="AM484">
        <f>IF(AC484="",-9999-ROW()*0.0000001,Y484*1000+AC484-ROW()*0.0000001)</f>
        <v/>
      </c>
      <c r="AN484">
        <f>IF(AND(OR(AD484="Maybe",AD484="Price Review"),AG484&lt;&gt;"Approved",AG484&lt;&gt;"Rejected"),IF(AC484="",0,AC484)-ROW()*0.0000001,-9999-ROW()*0.0000001)</f>
        <v/>
      </c>
      <c r="AO484" s="28" t="n"/>
      <c r="AP484" s="28" t="n"/>
      <c r="AQ484" s="29" t="n"/>
      <c r="AR484" s="29" t="n"/>
      <c r="AS484" s="23" t="n"/>
      <c r="AT484" s="29" t="n"/>
      <c r="AU484" s="29" t="n"/>
      <c r="AV484" s="29" t="n"/>
      <c r="AW484" s="25">
        <f>IF(OR(O484="",AV484=""),"",O484*AV484)</f>
        <v/>
      </c>
      <c r="AX484" s="23" t="n"/>
      <c r="AY484" s="23" t="n"/>
      <c r="AZ484" s="23" t="n"/>
      <c r="BA484" s="23" t="n"/>
      <c r="BB484" s="23" t="n"/>
      <c r="BC484" s="25" t="n"/>
      <c r="BD484" s="23" t="n"/>
      <c r="BE484" s="23">
        <f>IF(C484="","",IF(AND(ISNUMBER(P484),P484&gt;MAX_PRICE),"Price too high",IF(AND(ISNUMBER(AB484),AB484&lt;=2),"Quality risk",IF(AND(ISNUMBER(U484),U484&lt;=2),"Aesthetic mismatch",IF(AY484="High","Too fragile",IF(AND(ISNUMBER(R484),R484&lt;LOW_PROFIT_PCT),"Low profit",IF(AND(ISNUMBER(AT484),AT484&gt;MOQ_WARNING),"MOQ too high",IF(OR(AD484="Maybe",AD484="Price Review"),"Needs partner review",IF(AD484="Buy","Good candidate","")))))))))</f>
        <v/>
      </c>
      <c r="BF484" s="23" t="n"/>
      <c r="BG484" s="23" t="n"/>
      <c r="BH484" s="23" t="n"/>
      <c r="BI484" s="23" t="n"/>
      <c r="BJ484" s="23" t="n"/>
      <c r="BK484" s="23" t="n"/>
      <c r="BL484" s="23">
        <f>IF(C484="","",IF(AND(BG484="Yes",BH484="Yes",BI484="Yes",BJ484="Yes",BK484="Yes"),"Yes","No"))</f>
        <v/>
      </c>
      <c r="BM484" s="25" t="n"/>
      <c r="BN484" s="25" t="n"/>
      <c r="BO484" s="25">
        <f>IF(OR(BM484="",BN484=""),"",BM484+BN484)</f>
        <v/>
      </c>
      <c r="BP484" s="25" t="n"/>
      <c r="BQ484" s="25">
        <f>IF(OR(BP484="",BO484=""),"",BP484-BO484)</f>
        <v/>
      </c>
      <c r="BR484" s="26">
        <f>IF(OR(BP484="",BP484=0,BQ484=""),"",BQ484/BP484)</f>
        <v/>
      </c>
      <c r="BS484" s="24" t="n"/>
      <c r="BT484" s="29" t="n"/>
      <c r="BU484" s="29" t="n"/>
      <c r="BV484" s="23" t="n"/>
      <c r="BW484" s="23" t="n"/>
      <c r="BX484" s="29">
        <f>IF(OR(BT484="",BU484=""),"",BT484-BU484)</f>
        <v/>
      </c>
      <c r="BY484" s="23" t="n"/>
      <c r="BZ484" s="24" t="n"/>
      <c r="CA484" s="23" t="n"/>
      <c r="CB484" s="23" t="n"/>
    </row>
    <row r="485">
      <c r="A485" s="16">
        <f>IF(C485="","","AYN-"&amp;IFERROR(VLOOKUP(E485,CATEGORY_PREFIX_TABLE,2,FALSE),"OTH")&amp;"-"&amp;TEXT(ROW()-2,"0000"))</f>
        <v/>
      </c>
      <c r="B485" s="17" t="n"/>
      <c r="C485" s="16" t="n"/>
      <c r="D485" s="16" t="n"/>
      <c r="E485" s="16" t="n"/>
      <c r="F485" s="16" t="n"/>
      <c r="G485" s="16" t="n"/>
      <c r="H485" s="16" t="n"/>
      <c r="I485" s="16" t="n"/>
      <c r="J485" s="16" t="n"/>
      <c r="K485" s="18">
        <f>IF(I485="","",IF(J485="BDT",I485,IF(J485="USD",I485*USD_BDT,IF(J485="RMB",I485*RMB_BDT,""))))</f>
        <v/>
      </c>
      <c r="L485" s="18" t="n"/>
      <c r="M485" s="19" t="n"/>
      <c r="N485" s="18" t="n"/>
      <c r="O485" s="18">
        <f>IF(K485="","",K485+IFERROR(L485,0)+(K485*IF(M485="",CUSTOMS_PCT,M485))+IF(N485="",MISC_FEE,N485))</f>
        <v/>
      </c>
      <c r="P485" s="18">
        <f>IF(O485="","",ROUND(O485*(1+MARKUP_PCT),-1)-1)</f>
        <v/>
      </c>
      <c r="Q485" s="18">
        <f>IF(P485="","",P485-O485)</f>
        <v/>
      </c>
      <c r="R485" s="19">
        <f>IF(OR(P485="",P485=0),"",Q485/P485)</f>
        <v/>
      </c>
      <c r="S485" s="16" t="n"/>
      <c r="T485" s="16" t="n"/>
      <c r="U485" s="16" t="n"/>
      <c r="V485" s="16" t="n"/>
      <c r="W485" s="16" t="n"/>
      <c r="X485" s="16" t="n"/>
      <c r="Y485" s="16" t="n"/>
      <c r="Z485" s="16" t="n"/>
      <c r="AA485" s="16" t="n"/>
      <c r="AB485" s="16" t="n"/>
      <c r="AC485" s="20">
        <f>IF(COUNT(S485:AB485)&lt;10,"",(S485*W_FEMININE+T485*W_TREND+U485*W_AESTHETIC+V485*W_STYLE+W485*W_LIGHT+X485*W_REELS+Y485*W_GIFT+Z485*W_PRICEFIT+AA485*W_DEMAND+AB485*W_QUALITY)/5*100)</f>
        <v/>
      </c>
      <c r="AD485" s="16">
        <f>IF(P485="","",IF(P485&gt;HARD_REJECT_PRICE,"Reject",IF(P485&gt;MAX_PRICE,"Price Review",IF(AC485="","",IF(AND(AC485&gt;=BUY_THRESHOLD,OR(AB485&lt;=2,U485&lt;=2)),"Maybe",IF(AC485&gt;=BUY_THRESHOLD,"Buy",IF(AC485&gt;=MAYBE_THRESHOLD,"Maybe","Reject")))))))</f>
        <v/>
      </c>
      <c r="AE485" s="16" t="n"/>
      <c r="AF485" s="16" t="n"/>
      <c r="AG485" s="16" t="n"/>
      <c r="AH485" s="16" t="n"/>
      <c r="AI485" s="17" t="n"/>
      <c r="AJ485">
        <f>IF(AC485="",-9999-ROW()*0.0000001,AC485-ROW()*0.0000001)</f>
        <v/>
      </c>
      <c r="AK485">
        <f>IF(OR(AC485="",P485="",P485&gt;MAX_PRICE),-9999-ROW()*0.0000001,AC485-ROW()*0.0000001)</f>
        <v/>
      </c>
      <c r="AL485">
        <f>IF(AC485="",-9999-ROW()*0.0000001,X485*1000+AC485-ROW()*0.0000001)</f>
        <v/>
      </c>
      <c r="AM485">
        <f>IF(AC485="",-9999-ROW()*0.0000001,Y485*1000+AC485-ROW()*0.0000001)</f>
        <v/>
      </c>
      <c r="AN485">
        <f>IF(AND(OR(AD485="Maybe",AD485="Price Review"),AG485&lt;&gt;"Approved",AG485&lt;&gt;"Rejected"),IF(AC485="",0,AC485)-ROW()*0.0000001,-9999-ROW()*0.0000001)</f>
        <v/>
      </c>
      <c r="AO485" s="21" t="n"/>
      <c r="AP485" s="21" t="n"/>
      <c r="AQ485" s="22" t="n"/>
      <c r="AR485" s="22" t="n"/>
      <c r="AS485" s="16" t="n"/>
      <c r="AT485" s="22" t="n"/>
      <c r="AU485" s="22" t="n"/>
      <c r="AV485" s="22" t="n"/>
      <c r="AW485" s="18">
        <f>IF(OR(O485="",AV485=""),"",O485*AV485)</f>
        <v/>
      </c>
      <c r="AX485" s="16" t="n"/>
      <c r="AY485" s="16" t="n"/>
      <c r="AZ485" s="16" t="n"/>
      <c r="BA485" s="16" t="n"/>
      <c r="BB485" s="16" t="n"/>
      <c r="BC485" s="18" t="n"/>
      <c r="BD485" s="16" t="n"/>
      <c r="BE485" s="16">
        <f>IF(C485="","",IF(AND(ISNUMBER(P485),P485&gt;MAX_PRICE),"Price too high",IF(AND(ISNUMBER(AB485),AB485&lt;=2),"Quality risk",IF(AND(ISNUMBER(U485),U485&lt;=2),"Aesthetic mismatch",IF(AY485="High","Too fragile",IF(AND(ISNUMBER(R485),R485&lt;LOW_PROFIT_PCT),"Low profit",IF(AND(ISNUMBER(AT485),AT485&gt;MOQ_WARNING),"MOQ too high",IF(OR(AD485="Maybe",AD485="Price Review"),"Needs partner review",IF(AD485="Buy","Good candidate","")))))))))</f>
        <v/>
      </c>
      <c r="BF485" s="16" t="n"/>
      <c r="BG485" s="16" t="n"/>
      <c r="BH485" s="16" t="n"/>
      <c r="BI485" s="16" t="n"/>
      <c r="BJ485" s="16" t="n"/>
      <c r="BK485" s="16" t="n"/>
      <c r="BL485" s="16">
        <f>IF(C485="","",IF(AND(BG485="Yes",BH485="Yes",BI485="Yes",BJ485="Yes",BK485="Yes"),"Yes","No"))</f>
        <v/>
      </c>
      <c r="BM485" s="18" t="n"/>
      <c r="BN485" s="18" t="n"/>
      <c r="BO485" s="18">
        <f>IF(OR(BM485="",BN485=""),"",BM485+BN485)</f>
        <v/>
      </c>
      <c r="BP485" s="18" t="n"/>
      <c r="BQ485" s="18">
        <f>IF(OR(BP485="",BO485=""),"",BP485-BO485)</f>
        <v/>
      </c>
      <c r="BR485" s="19">
        <f>IF(OR(BP485="",BP485=0,BQ485=""),"",BQ485/BP485)</f>
        <v/>
      </c>
      <c r="BS485" s="17" t="n"/>
      <c r="BT485" s="22" t="n"/>
      <c r="BU485" s="22" t="n"/>
      <c r="BV485" s="16" t="n"/>
      <c r="BW485" s="16" t="n"/>
      <c r="BX485" s="22">
        <f>IF(OR(BT485="",BU485=""),"",BT485-BU485)</f>
        <v/>
      </c>
      <c r="BY485" s="16" t="n"/>
      <c r="BZ485" s="17" t="n"/>
      <c r="CA485" s="16" t="n"/>
      <c r="CB485" s="16" t="n"/>
    </row>
    <row r="486">
      <c r="A486" s="23">
        <f>IF(C486="","","AYN-"&amp;IFERROR(VLOOKUP(E486,CATEGORY_PREFIX_TABLE,2,FALSE),"OTH")&amp;"-"&amp;TEXT(ROW()-2,"0000"))</f>
        <v/>
      </c>
      <c r="B486" s="24" t="n"/>
      <c r="C486" s="23" t="n"/>
      <c r="D486" s="23" t="n"/>
      <c r="E486" s="23" t="n"/>
      <c r="F486" s="23" t="n"/>
      <c r="G486" s="23" t="n"/>
      <c r="H486" s="23" t="n"/>
      <c r="I486" s="23" t="n"/>
      <c r="J486" s="23" t="n"/>
      <c r="K486" s="25">
        <f>IF(I486="","",IF(J486="BDT",I486,IF(J486="USD",I486*USD_BDT,IF(J486="RMB",I486*RMB_BDT,""))))</f>
        <v/>
      </c>
      <c r="L486" s="25" t="n"/>
      <c r="M486" s="26" t="n"/>
      <c r="N486" s="25" t="n"/>
      <c r="O486" s="25">
        <f>IF(K486="","",K486+IFERROR(L486,0)+(K486*IF(M486="",CUSTOMS_PCT,M486))+IF(N486="",MISC_FEE,N486))</f>
        <v/>
      </c>
      <c r="P486" s="25">
        <f>IF(O486="","",ROUND(O486*(1+MARKUP_PCT),-1)-1)</f>
        <v/>
      </c>
      <c r="Q486" s="25">
        <f>IF(P486="","",P486-O486)</f>
        <v/>
      </c>
      <c r="R486" s="26">
        <f>IF(OR(P486="",P486=0),"",Q486/P486)</f>
        <v/>
      </c>
      <c r="S486" s="23" t="n"/>
      <c r="T486" s="23" t="n"/>
      <c r="U486" s="23" t="n"/>
      <c r="V486" s="23" t="n"/>
      <c r="W486" s="23" t="n"/>
      <c r="X486" s="23" t="n"/>
      <c r="Y486" s="23" t="n"/>
      <c r="Z486" s="23" t="n"/>
      <c r="AA486" s="23" t="n"/>
      <c r="AB486" s="23" t="n"/>
      <c r="AC486" s="27">
        <f>IF(COUNT(S486:AB486)&lt;10,"",(S486*W_FEMININE+T486*W_TREND+U486*W_AESTHETIC+V486*W_STYLE+W486*W_LIGHT+X486*W_REELS+Y486*W_GIFT+Z486*W_PRICEFIT+AA486*W_DEMAND+AB486*W_QUALITY)/5*100)</f>
        <v/>
      </c>
      <c r="AD486" s="23">
        <f>IF(P486="","",IF(P486&gt;HARD_REJECT_PRICE,"Reject",IF(P486&gt;MAX_PRICE,"Price Review",IF(AC486="","",IF(AND(AC486&gt;=BUY_THRESHOLD,OR(AB486&lt;=2,U486&lt;=2)),"Maybe",IF(AC486&gt;=BUY_THRESHOLD,"Buy",IF(AC486&gt;=MAYBE_THRESHOLD,"Maybe","Reject")))))))</f>
        <v/>
      </c>
      <c r="AE486" s="23" t="n"/>
      <c r="AF486" s="23" t="n"/>
      <c r="AG486" s="23" t="n"/>
      <c r="AH486" s="23" t="n"/>
      <c r="AI486" s="24" t="n"/>
      <c r="AJ486">
        <f>IF(AC486="",-9999-ROW()*0.0000001,AC486-ROW()*0.0000001)</f>
        <v/>
      </c>
      <c r="AK486">
        <f>IF(OR(AC486="",P486="",P486&gt;MAX_PRICE),-9999-ROW()*0.0000001,AC486-ROW()*0.0000001)</f>
        <v/>
      </c>
      <c r="AL486">
        <f>IF(AC486="",-9999-ROW()*0.0000001,X486*1000+AC486-ROW()*0.0000001)</f>
        <v/>
      </c>
      <c r="AM486">
        <f>IF(AC486="",-9999-ROW()*0.0000001,Y486*1000+AC486-ROW()*0.0000001)</f>
        <v/>
      </c>
      <c r="AN486">
        <f>IF(AND(OR(AD486="Maybe",AD486="Price Review"),AG486&lt;&gt;"Approved",AG486&lt;&gt;"Rejected"),IF(AC486="",0,AC486)-ROW()*0.0000001,-9999-ROW()*0.0000001)</f>
        <v/>
      </c>
      <c r="AO486" s="28" t="n"/>
      <c r="AP486" s="28" t="n"/>
      <c r="AQ486" s="29" t="n"/>
      <c r="AR486" s="29" t="n"/>
      <c r="AS486" s="23" t="n"/>
      <c r="AT486" s="29" t="n"/>
      <c r="AU486" s="29" t="n"/>
      <c r="AV486" s="29" t="n"/>
      <c r="AW486" s="25">
        <f>IF(OR(O486="",AV486=""),"",O486*AV486)</f>
        <v/>
      </c>
      <c r="AX486" s="23" t="n"/>
      <c r="AY486" s="23" t="n"/>
      <c r="AZ486" s="23" t="n"/>
      <c r="BA486" s="23" t="n"/>
      <c r="BB486" s="23" t="n"/>
      <c r="BC486" s="25" t="n"/>
      <c r="BD486" s="23" t="n"/>
      <c r="BE486" s="23">
        <f>IF(C486="","",IF(AND(ISNUMBER(P486),P486&gt;MAX_PRICE),"Price too high",IF(AND(ISNUMBER(AB486),AB486&lt;=2),"Quality risk",IF(AND(ISNUMBER(U486),U486&lt;=2),"Aesthetic mismatch",IF(AY486="High","Too fragile",IF(AND(ISNUMBER(R486),R486&lt;LOW_PROFIT_PCT),"Low profit",IF(AND(ISNUMBER(AT486),AT486&gt;MOQ_WARNING),"MOQ too high",IF(OR(AD486="Maybe",AD486="Price Review"),"Needs partner review",IF(AD486="Buy","Good candidate","")))))))))</f>
        <v/>
      </c>
      <c r="BF486" s="23" t="n"/>
      <c r="BG486" s="23" t="n"/>
      <c r="BH486" s="23" t="n"/>
      <c r="BI486" s="23" t="n"/>
      <c r="BJ486" s="23" t="n"/>
      <c r="BK486" s="23" t="n"/>
      <c r="BL486" s="23">
        <f>IF(C486="","",IF(AND(BG486="Yes",BH486="Yes",BI486="Yes",BJ486="Yes",BK486="Yes"),"Yes","No"))</f>
        <v/>
      </c>
      <c r="BM486" s="25" t="n"/>
      <c r="BN486" s="25" t="n"/>
      <c r="BO486" s="25">
        <f>IF(OR(BM486="",BN486=""),"",BM486+BN486)</f>
        <v/>
      </c>
      <c r="BP486" s="25" t="n"/>
      <c r="BQ486" s="25">
        <f>IF(OR(BP486="",BO486=""),"",BP486-BO486)</f>
        <v/>
      </c>
      <c r="BR486" s="26">
        <f>IF(OR(BP486="",BP486=0,BQ486=""),"",BQ486/BP486)</f>
        <v/>
      </c>
      <c r="BS486" s="24" t="n"/>
      <c r="BT486" s="29" t="n"/>
      <c r="BU486" s="29" t="n"/>
      <c r="BV486" s="23" t="n"/>
      <c r="BW486" s="23" t="n"/>
      <c r="BX486" s="29">
        <f>IF(OR(BT486="",BU486=""),"",BT486-BU486)</f>
        <v/>
      </c>
      <c r="BY486" s="23" t="n"/>
      <c r="BZ486" s="24" t="n"/>
      <c r="CA486" s="23" t="n"/>
      <c r="CB486" s="23" t="n"/>
    </row>
    <row r="487">
      <c r="A487" s="16">
        <f>IF(C487="","","AYN-"&amp;IFERROR(VLOOKUP(E487,CATEGORY_PREFIX_TABLE,2,FALSE),"OTH")&amp;"-"&amp;TEXT(ROW()-2,"0000"))</f>
        <v/>
      </c>
      <c r="B487" s="17" t="n"/>
      <c r="C487" s="16" t="n"/>
      <c r="D487" s="16" t="n"/>
      <c r="E487" s="16" t="n"/>
      <c r="F487" s="16" t="n"/>
      <c r="G487" s="16" t="n"/>
      <c r="H487" s="16" t="n"/>
      <c r="I487" s="16" t="n"/>
      <c r="J487" s="16" t="n"/>
      <c r="K487" s="18">
        <f>IF(I487="","",IF(J487="BDT",I487,IF(J487="USD",I487*USD_BDT,IF(J487="RMB",I487*RMB_BDT,""))))</f>
        <v/>
      </c>
      <c r="L487" s="18" t="n"/>
      <c r="M487" s="19" t="n"/>
      <c r="N487" s="18" t="n"/>
      <c r="O487" s="18">
        <f>IF(K487="","",K487+IFERROR(L487,0)+(K487*IF(M487="",CUSTOMS_PCT,M487))+IF(N487="",MISC_FEE,N487))</f>
        <v/>
      </c>
      <c r="P487" s="18">
        <f>IF(O487="","",ROUND(O487*(1+MARKUP_PCT),-1)-1)</f>
        <v/>
      </c>
      <c r="Q487" s="18">
        <f>IF(P487="","",P487-O487)</f>
        <v/>
      </c>
      <c r="R487" s="19">
        <f>IF(OR(P487="",P487=0),"",Q487/P487)</f>
        <v/>
      </c>
      <c r="S487" s="16" t="n"/>
      <c r="T487" s="16" t="n"/>
      <c r="U487" s="16" t="n"/>
      <c r="V487" s="16" t="n"/>
      <c r="W487" s="16" t="n"/>
      <c r="X487" s="16" t="n"/>
      <c r="Y487" s="16" t="n"/>
      <c r="Z487" s="16" t="n"/>
      <c r="AA487" s="16" t="n"/>
      <c r="AB487" s="16" t="n"/>
      <c r="AC487" s="20">
        <f>IF(COUNT(S487:AB487)&lt;10,"",(S487*W_FEMININE+T487*W_TREND+U487*W_AESTHETIC+V487*W_STYLE+W487*W_LIGHT+X487*W_REELS+Y487*W_GIFT+Z487*W_PRICEFIT+AA487*W_DEMAND+AB487*W_QUALITY)/5*100)</f>
        <v/>
      </c>
      <c r="AD487" s="16">
        <f>IF(P487="","",IF(P487&gt;HARD_REJECT_PRICE,"Reject",IF(P487&gt;MAX_PRICE,"Price Review",IF(AC487="","",IF(AND(AC487&gt;=BUY_THRESHOLD,OR(AB487&lt;=2,U487&lt;=2)),"Maybe",IF(AC487&gt;=BUY_THRESHOLD,"Buy",IF(AC487&gt;=MAYBE_THRESHOLD,"Maybe","Reject")))))))</f>
        <v/>
      </c>
      <c r="AE487" s="16" t="n"/>
      <c r="AF487" s="16" t="n"/>
      <c r="AG487" s="16" t="n"/>
      <c r="AH487" s="16" t="n"/>
      <c r="AI487" s="17" t="n"/>
      <c r="AJ487">
        <f>IF(AC487="",-9999-ROW()*0.0000001,AC487-ROW()*0.0000001)</f>
        <v/>
      </c>
      <c r="AK487">
        <f>IF(OR(AC487="",P487="",P487&gt;MAX_PRICE),-9999-ROW()*0.0000001,AC487-ROW()*0.0000001)</f>
        <v/>
      </c>
      <c r="AL487">
        <f>IF(AC487="",-9999-ROW()*0.0000001,X487*1000+AC487-ROW()*0.0000001)</f>
        <v/>
      </c>
      <c r="AM487">
        <f>IF(AC487="",-9999-ROW()*0.0000001,Y487*1000+AC487-ROW()*0.0000001)</f>
        <v/>
      </c>
      <c r="AN487">
        <f>IF(AND(OR(AD487="Maybe",AD487="Price Review"),AG487&lt;&gt;"Approved",AG487&lt;&gt;"Rejected"),IF(AC487="",0,AC487)-ROW()*0.0000001,-9999-ROW()*0.0000001)</f>
        <v/>
      </c>
      <c r="AO487" s="21" t="n"/>
      <c r="AP487" s="21" t="n"/>
      <c r="AQ487" s="22" t="n"/>
      <c r="AR487" s="22" t="n"/>
      <c r="AS487" s="16" t="n"/>
      <c r="AT487" s="22" t="n"/>
      <c r="AU487" s="22" t="n"/>
      <c r="AV487" s="22" t="n"/>
      <c r="AW487" s="18">
        <f>IF(OR(O487="",AV487=""),"",O487*AV487)</f>
        <v/>
      </c>
      <c r="AX487" s="16" t="n"/>
      <c r="AY487" s="16" t="n"/>
      <c r="AZ487" s="16" t="n"/>
      <c r="BA487" s="16" t="n"/>
      <c r="BB487" s="16" t="n"/>
      <c r="BC487" s="18" t="n"/>
      <c r="BD487" s="16" t="n"/>
      <c r="BE487" s="16">
        <f>IF(C487="","",IF(AND(ISNUMBER(P487),P487&gt;MAX_PRICE),"Price too high",IF(AND(ISNUMBER(AB487),AB487&lt;=2),"Quality risk",IF(AND(ISNUMBER(U487),U487&lt;=2),"Aesthetic mismatch",IF(AY487="High","Too fragile",IF(AND(ISNUMBER(R487),R487&lt;LOW_PROFIT_PCT),"Low profit",IF(AND(ISNUMBER(AT487),AT487&gt;MOQ_WARNING),"MOQ too high",IF(OR(AD487="Maybe",AD487="Price Review"),"Needs partner review",IF(AD487="Buy","Good candidate","")))))))))</f>
        <v/>
      </c>
      <c r="BF487" s="16" t="n"/>
      <c r="BG487" s="16" t="n"/>
      <c r="BH487" s="16" t="n"/>
      <c r="BI487" s="16" t="n"/>
      <c r="BJ487" s="16" t="n"/>
      <c r="BK487" s="16" t="n"/>
      <c r="BL487" s="16">
        <f>IF(C487="","",IF(AND(BG487="Yes",BH487="Yes",BI487="Yes",BJ487="Yes",BK487="Yes"),"Yes","No"))</f>
        <v/>
      </c>
      <c r="BM487" s="18" t="n"/>
      <c r="BN487" s="18" t="n"/>
      <c r="BO487" s="18">
        <f>IF(OR(BM487="",BN487=""),"",BM487+BN487)</f>
        <v/>
      </c>
      <c r="BP487" s="18" t="n"/>
      <c r="BQ487" s="18">
        <f>IF(OR(BP487="",BO487=""),"",BP487-BO487)</f>
        <v/>
      </c>
      <c r="BR487" s="19">
        <f>IF(OR(BP487="",BP487=0,BQ487=""),"",BQ487/BP487)</f>
        <v/>
      </c>
      <c r="BS487" s="17" t="n"/>
      <c r="BT487" s="22" t="n"/>
      <c r="BU487" s="22" t="n"/>
      <c r="BV487" s="16" t="n"/>
      <c r="BW487" s="16" t="n"/>
      <c r="BX487" s="22">
        <f>IF(OR(BT487="",BU487=""),"",BT487-BU487)</f>
        <v/>
      </c>
      <c r="BY487" s="16" t="n"/>
      <c r="BZ487" s="17" t="n"/>
      <c r="CA487" s="16" t="n"/>
      <c r="CB487" s="16" t="n"/>
    </row>
    <row r="488">
      <c r="A488" s="23">
        <f>IF(C488="","","AYN-"&amp;IFERROR(VLOOKUP(E488,CATEGORY_PREFIX_TABLE,2,FALSE),"OTH")&amp;"-"&amp;TEXT(ROW()-2,"0000"))</f>
        <v/>
      </c>
      <c r="B488" s="24" t="n"/>
      <c r="C488" s="23" t="n"/>
      <c r="D488" s="23" t="n"/>
      <c r="E488" s="23" t="n"/>
      <c r="F488" s="23" t="n"/>
      <c r="G488" s="23" t="n"/>
      <c r="H488" s="23" t="n"/>
      <c r="I488" s="23" t="n"/>
      <c r="J488" s="23" t="n"/>
      <c r="K488" s="25">
        <f>IF(I488="","",IF(J488="BDT",I488,IF(J488="USD",I488*USD_BDT,IF(J488="RMB",I488*RMB_BDT,""))))</f>
        <v/>
      </c>
      <c r="L488" s="25" t="n"/>
      <c r="M488" s="26" t="n"/>
      <c r="N488" s="25" t="n"/>
      <c r="O488" s="25">
        <f>IF(K488="","",K488+IFERROR(L488,0)+(K488*IF(M488="",CUSTOMS_PCT,M488))+IF(N488="",MISC_FEE,N488))</f>
        <v/>
      </c>
      <c r="P488" s="25">
        <f>IF(O488="","",ROUND(O488*(1+MARKUP_PCT),-1)-1)</f>
        <v/>
      </c>
      <c r="Q488" s="25">
        <f>IF(P488="","",P488-O488)</f>
        <v/>
      </c>
      <c r="R488" s="26">
        <f>IF(OR(P488="",P488=0),"",Q488/P488)</f>
        <v/>
      </c>
      <c r="S488" s="23" t="n"/>
      <c r="T488" s="23" t="n"/>
      <c r="U488" s="23" t="n"/>
      <c r="V488" s="23" t="n"/>
      <c r="W488" s="23" t="n"/>
      <c r="X488" s="23" t="n"/>
      <c r="Y488" s="23" t="n"/>
      <c r="Z488" s="23" t="n"/>
      <c r="AA488" s="23" t="n"/>
      <c r="AB488" s="23" t="n"/>
      <c r="AC488" s="27">
        <f>IF(COUNT(S488:AB488)&lt;10,"",(S488*W_FEMININE+T488*W_TREND+U488*W_AESTHETIC+V488*W_STYLE+W488*W_LIGHT+X488*W_REELS+Y488*W_GIFT+Z488*W_PRICEFIT+AA488*W_DEMAND+AB488*W_QUALITY)/5*100)</f>
        <v/>
      </c>
      <c r="AD488" s="23">
        <f>IF(P488="","",IF(P488&gt;HARD_REJECT_PRICE,"Reject",IF(P488&gt;MAX_PRICE,"Price Review",IF(AC488="","",IF(AND(AC488&gt;=BUY_THRESHOLD,OR(AB488&lt;=2,U488&lt;=2)),"Maybe",IF(AC488&gt;=BUY_THRESHOLD,"Buy",IF(AC488&gt;=MAYBE_THRESHOLD,"Maybe","Reject")))))))</f>
        <v/>
      </c>
      <c r="AE488" s="23" t="n"/>
      <c r="AF488" s="23" t="n"/>
      <c r="AG488" s="23" t="n"/>
      <c r="AH488" s="23" t="n"/>
      <c r="AI488" s="24" t="n"/>
      <c r="AJ488">
        <f>IF(AC488="",-9999-ROW()*0.0000001,AC488-ROW()*0.0000001)</f>
        <v/>
      </c>
      <c r="AK488">
        <f>IF(OR(AC488="",P488="",P488&gt;MAX_PRICE),-9999-ROW()*0.0000001,AC488-ROW()*0.0000001)</f>
        <v/>
      </c>
      <c r="AL488">
        <f>IF(AC488="",-9999-ROW()*0.0000001,X488*1000+AC488-ROW()*0.0000001)</f>
        <v/>
      </c>
      <c r="AM488">
        <f>IF(AC488="",-9999-ROW()*0.0000001,Y488*1000+AC488-ROW()*0.0000001)</f>
        <v/>
      </c>
      <c r="AN488">
        <f>IF(AND(OR(AD488="Maybe",AD488="Price Review"),AG488&lt;&gt;"Approved",AG488&lt;&gt;"Rejected"),IF(AC488="",0,AC488)-ROW()*0.0000001,-9999-ROW()*0.0000001)</f>
        <v/>
      </c>
      <c r="AO488" s="28" t="n"/>
      <c r="AP488" s="28" t="n"/>
      <c r="AQ488" s="29" t="n"/>
      <c r="AR488" s="29" t="n"/>
      <c r="AS488" s="23" t="n"/>
      <c r="AT488" s="29" t="n"/>
      <c r="AU488" s="29" t="n"/>
      <c r="AV488" s="29" t="n"/>
      <c r="AW488" s="25">
        <f>IF(OR(O488="",AV488=""),"",O488*AV488)</f>
        <v/>
      </c>
      <c r="AX488" s="23" t="n"/>
      <c r="AY488" s="23" t="n"/>
      <c r="AZ488" s="23" t="n"/>
      <c r="BA488" s="23" t="n"/>
      <c r="BB488" s="23" t="n"/>
      <c r="BC488" s="25" t="n"/>
      <c r="BD488" s="23" t="n"/>
      <c r="BE488" s="23">
        <f>IF(C488="","",IF(AND(ISNUMBER(P488),P488&gt;MAX_PRICE),"Price too high",IF(AND(ISNUMBER(AB488),AB488&lt;=2),"Quality risk",IF(AND(ISNUMBER(U488),U488&lt;=2),"Aesthetic mismatch",IF(AY488="High","Too fragile",IF(AND(ISNUMBER(R488),R488&lt;LOW_PROFIT_PCT),"Low profit",IF(AND(ISNUMBER(AT488),AT488&gt;MOQ_WARNING),"MOQ too high",IF(OR(AD488="Maybe",AD488="Price Review"),"Needs partner review",IF(AD488="Buy","Good candidate","")))))))))</f>
        <v/>
      </c>
      <c r="BF488" s="23" t="n"/>
      <c r="BG488" s="23" t="n"/>
      <c r="BH488" s="23" t="n"/>
      <c r="BI488" s="23" t="n"/>
      <c r="BJ488" s="23" t="n"/>
      <c r="BK488" s="23" t="n"/>
      <c r="BL488" s="23">
        <f>IF(C488="","",IF(AND(BG488="Yes",BH488="Yes",BI488="Yes",BJ488="Yes",BK488="Yes"),"Yes","No"))</f>
        <v/>
      </c>
      <c r="BM488" s="25" t="n"/>
      <c r="BN488" s="25" t="n"/>
      <c r="BO488" s="25">
        <f>IF(OR(BM488="",BN488=""),"",BM488+BN488)</f>
        <v/>
      </c>
      <c r="BP488" s="25" t="n"/>
      <c r="BQ488" s="25">
        <f>IF(OR(BP488="",BO488=""),"",BP488-BO488)</f>
        <v/>
      </c>
      <c r="BR488" s="26">
        <f>IF(OR(BP488="",BP488=0,BQ488=""),"",BQ488/BP488)</f>
        <v/>
      </c>
      <c r="BS488" s="24" t="n"/>
      <c r="BT488" s="29" t="n"/>
      <c r="BU488" s="29" t="n"/>
      <c r="BV488" s="23" t="n"/>
      <c r="BW488" s="23" t="n"/>
      <c r="BX488" s="29">
        <f>IF(OR(BT488="",BU488=""),"",BT488-BU488)</f>
        <v/>
      </c>
      <c r="BY488" s="23" t="n"/>
      <c r="BZ488" s="24" t="n"/>
      <c r="CA488" s="23" t="n"/>
      <c r="CB488" s="23" t="n"/>
    </row>
    <row r="489">
      <c r="A489" s="16">
        <f>IF(C489="","","AYN-"&amp;IFERROR(VLOOKUP(E489,CATEGORY_PREFIX_TABLE,2,FALSE),"OTH")&amp;"-"&amp;TEXT(ROW()-2,"0000"))</f>
        <v/>
      </c>
      <c r="B489" s="17" t="n"/>
      <c r="C489" s="16" t="n"/>
      <c r="D489" s="16" t="n"/>
      <c r="E489" s="16" t="n"/>
      <c r="F489" s="16" t="n"/>
      <c r="G489" s="16" t="n"/>
      <c r="H489" s="16" t="n"/>
      <c r="I489" s="16" t="n"/>
      <c r="J489" s="16" t="n"/>
      <c r="K489" s="18">
        <f>IF(I489="","",IF(J489="BDT",I489,IF(J489="USD",I489*USD_BDT,IF(J489="RMB",I489*RMB_BDT,""))))</f>
        <v/>
      </c>
      <c r="L489" s="18" t="n"/>
      <c r="M489" s="19" t="n"/>
      <c r="N489" s="18" t="n"/>
      <c r="O489" s="18">
        <f>IF(K489="","",K489+IFERROR(L489,0)+(K489*IF(M489="",CUSTOMS_PCT,M489))+IF(N489="",MISC_FEE,N489))</f>
        <v/>
      </c>
      <c r="P489" s="18">
        <f>IF(O489="","",ROUND(O489*(1+MARKUP_PCT),-1)-1)</f>
        <v/>
      </c>
      <c r="Q489" s="18">
        <f>IF(P489="","",P489-O489)</f>
        <v/>
      </c>
      <c r="R489" s="19">
        <f>IF(OR(P489="",P489=0),"",Q489/P489)</f>
        <v/>
      </c>
      <c r="S489" s="16" t="n"/>
      <c r="T489" s="16" t="n"/>
      <c r="U489" s="16" t="n"/>
      <c r="V489" s="16" t="n"/>
      <c r="W489" s="16" t="n"/>
      <c r="X489" s="16" t="n"/>
      <c r="Y489" s="16" t="n"/>
      <c r="Z489" s="16" t="n"/>
      <c r="AA489" s="16" t="n"/>
      <c r="AB489" s="16" t="n"/>
      <c r="AC489" s="20">
        <f>IF(COUNT(S489:AB489)&lt;10,"",(S489*W_FEMININE+T489*W_TREND+U489*W_AESTHETIC+V489*W_STYLE+W489*W_LIGHT+X489*W_REELS+Y489*W_GIFT+Z489*W_PRICEFIT+AA489*W_DEMAND+AB489*W_QUALITY)/5*100)</f>
        <v/>
      </c>
      <c r="AD489" s="16">
        <f>IF(P489="","",IF(P489&gt;HARD_REJECT_PRICE,"Reject",IF(P489&gt;MAX_PRICE,"Price Review",IF(AC489="","",IF(AND(AC489&gt;=BUY_THRESHOLD,OR(AB489&lt;=2,U489&lt;=2)),"Maybe",IF(AC489&gt;=BUY_THRESHOLD,"Buy",IF(AC489&gt;=MAYBE_THRESHOLD,"Maybe","Reject")))))))</f>
        <v/>
      </c>
      <c r="AE489" s="16" t="n"/>
      <c r="AF489" s="16" t="n"/>
      <c r="AG489" s="16" t="n"/>
      <c r="AH489" s="16" t="n"/>
      <c r="AI489" s="17" t="n"/>
      <c r="AJ489">
        <f>IF(AC489="",-9999-ROW()*0.0000001,AC489-ROW()*0.0000001)</f>
        <v/>
      </c>
      <c r="AK489">
        <f>IF(OR(AC489="",P489="",P489&gt;MAX_PRICE),-9999-ROW()*0.0000001,AC489-ROW()*0.0000001)</f>
        <v/>
      </c>
      <c r="AL489">
        <f>IF(AC489="",-9999-ROW()*0.0000001,X489*1000+AC489-ROW()*0.0000001)</f>
        <v/>
      </c>
      <c r="AM489">
        <f>IF(AC489="",-9999-ROW()*0.0000001,Y489*1000+AC489-ROW()*0.0000001)</f>
        <v/>
      </c>
      <c r="AN489">
        <f>IF(AND(OR(AD489="Maybe",AD489="Price Review"),AG489&lt;&gt;"Approved",AG489&lt;&gt;"Rejected"),IF(AC489="",0,AC489)-ROW()*0.0000001,-9999-ROW()*0.0000001)</f>
        <v/>
      </c>
      <c r="AO489" s="21" t="n"/>
      <c r="AP489" s="21" t="n"/>
      <c r="AQ489" s="22" t="n"/>
      <c r="AR489" s="22" t="n"/>
      <c r="AS489" s="16" t="n"/>
      <c r="AT489" s="22" t="n"/>
      <c r="AU489" s="22" t="n"/>
      <c r="AV489" s="22" t="n"/>
      <c r="AW489" s="18">
        <f>IF(OR(O489="",AV489=""),"",O489*AV489)</f>
        <v/>
      </c>
      <c r="AX489" s="16" t="n"/>
      <c r="AY489" s="16" t="n"/>
      <c r="AZ489" s="16" t="n"/>
      <c r="BA489" s="16" t="n"/>
      <c r="BB489" s="16" t="n"/>
      <c r="BC489" s="18" t="n"/>
      <c r="BD489" s="16" t="n"/>
      <c r="BE489" s="16">
        <f>IF(C489="","",IF(AND(ISNUMBER(P489),P489&gt;MAX_PRICE),"Price too high",IF(AND(ISNUMBER(AB489),AB489&lt;=2),"Quality risk",IF(AND(ISNUMBER(U489),U489&lt;=2),"Aesthetic mismatch",IF(AY489="High","Too fragile",IF(AND(ISNUMBER(R489),R489&lt;LOW_PROFIT_PCT),"Low profit",IF(AND(ISNUMBER(AT489),AT489&gt;MOQ_WARNING),"MOQ too high",IF(OR(AD489="Maybe",AD489="Price Review"),"Needs partner review",IF(AD489="Buy","Good candidate","")))))))))</f>
        <v/>
      </c>
      <c r="BF489" s="16" t="n"/>
      <c r="BG489" s="16" t="n"/>
      <c r="BH489" s="16" t="n"/>
      <c r="BI489" s="16" t="n"/>
      <c r="BJ489" s="16" t="n"/>
      <c r="BK489" s="16" t="n"/>
      <c r="BL489" s="16">
        <f>IF(C489="","",IF(AND(BG489="Yes",BH489="Yes",BI489="Yes",BJ489="Yes",BK489="Yes"),"Yes","No"))</f>
        <v/>
      </c>
      <c r="BM489" s="18" t="n"/>
      <c r="BN489" s="18" t="n"/>
      <c r="BO489" s="18">
        <f>IF(OR(BM489="",BN489=""),"",BM489+BN489)</f>
        <v/>
      </c>
      <c r="BP489" s="18" t="n"/>
      <c r="BQ489" s="18">
        <f>IF(OR(BP489="",BO489=""),"",BP489-BO489)</f>
        <v/>
      </c>
      <c r="BR489" s="19">
        <f>IF(OR(BP489="",BP489=0,BQ489=""),"",BQ489/BP489)</f>
        <v/>
      </c>
      <c r="BS489" s="17" t="n"/>
      <c r="BT489" s="22" t="n"/>
      <c r="BU489" s="22" t="n"/>
      <c r="BV489" s="16" t="n"/>
      <c r="BW489" s="16" t="n"/>
      <c r="BX489" s="22">
        <f>IF(OR(BT489="",BU489=""),"",BT489-BU489)</f>
        <v/>
      </c>
      <c r="BY489" s="16" t="n"/>
      <c r="BZ489" s="17" t="n"/>
      <c r="CA489" s="16" t="n"/>
      <c r="CB489" s="16" t="n"/>
    </row>
    <row r="490">
      <c r="A490" s="23">
        <f>IF(C490="","","AYN-"&amp;IFERROR(VLOOKUP(E490,CATEGORY_PREFIX_TABLE,2,FALSE),"OTH")&amp;"-"&amp;TEXT(ROW()-2,"0000"))</f>
        <v/>
      </c>
      <c r="B490" s="24" t="n"/>
      <c r="C490" s="23" t="n"/>
      <c r="D490" s="23" t="n"/>
      <c r="E490" s="23" t="n"/>
      <c r="F490" s="23" t="n"/>
      <c r="G490" s="23" t="n"/>
      <c r="H490" s="23" t="n"/>
      <c r="I490" s="23" t="n"/>
      <c r="J490" s="23" t="n"/>
      <c r="K490" s="25">
        <f>IF(I490="","",IF(J490="BDT",I490,IF(J490="USD",I490*USD_BDT,IF(J490="RMB",I490*RMB_BDT,""))))</f>
        <v/>
      </c>
      <c r="L490" s="25" t="n"/>
      <c r="M490" s="26" t="n"/>
      <c r="N490" s="25" t="n"/>
      <c r="O490" s="25">
        <f>IF(K490="","",K490+IFERROR(L490,0)+(K490*IF(M490="",CUSTOMS_PCT,M490))+IF(N490="",MISC_FEE,N490))</f>
        <v/>
      </c>
      <c r="P490" s="25">
        <f>IF(O490="","",ROUND(O490*(1+MARKUP_PCT),-1)-1)</f>
        <v/>
      </c>
      <c r="Q490" s="25">
        <f>IF(P490="","",P490-O490)</f>
        <v/>
      </c>
      <c r="R490" s="26">
        <f>IF(OR(P490="",P490=0),"",Q490/P490)</f>
        <v/>
      </c>
      <c r="S490" s="23" t="n"/>
      <c r="T490" s="23" t="n"/>
      <c r="U490" s="23" t="n"/>
      <c r="V490" s="23" t="n"/>
      <c r="W490" s="23" t="n"/>
      <c r="X490" s="23" t="n"/>
      <c r="Y490" s="23" t="n"/>
      <c r="Z490" s="23" t="n"/>
      <c r="AA490" s="23" t="n"/>
      <c r="AB490" s="23" t="n"/>
      <c r="AC490" s="27">
        <f>IF(COUNT(S490:AB490)&lt;10,"",(S490*W_FEMININE+T490*W_TREND+U490*W_AESTHETIC+V490*W_STYLE+W490*W_LIGHT+X490*W_REELS+Y490*W_GIFT+Z490*W_PRICEFIT+AA490*W_DEMAND+AB490*W_QUALITY)/5*100)</f>
        <v/>
      </c>
      <c r="AD490" s="23">
        <f>IF(P490="","",IF(P490&gt;HARD_REJECT_PRICE,"Reject",IF(P490&gt;MAX_PRICE,"Price Review",IF(AC490="","",IF(AND(AC490&gt;=BUY_THRESHOLD,OR(AB490&lt;=2,U490&lt;=2)),"Maybe",IF(AC490&gt;=BUY_THRESHOLD,"Buy",IF(AC490&gt;=MAYBE_THRESHOLD,"Maybe","Reject")))))))</f>
        <v/>
      </c>
      <c r="AE490" s="23" t="n"/>
      <c r="AF490" s="23" t="n"/>
      <c r="AG490" s="23" t="n"/>
      <c r="AH490" s="23" t="n"/>
      <c r="AI490" s="24" t="n"/>
      <c r="AJ490">
        <f>IF(AC490="",-9999-ROW()*0.0000001,AC490-ROW()*0.0000001)</f>
        <v/>
      </c>
      <c r="AK490">
        <f>IF(OR(AC490="",P490="",P490&gt;MAX_PRICE),-9999-ROW()*0.0000001,AC490-ROW()*0.0000001)</f>
        <v/>
      </c>
      <c r="AL490">
        <f>IF(AC490="",-9999-ROW()*0.0000001,X490*1000+AC490-ROW()*0.0000001)</f>
        <v/>
      </c>
      <c r="AM490">
        <f>IF(AC490="",-9999-ROW()*0.0000001,Y490*1000+AC490-ROW()*0.0000001)</f>
        <v/>
      </c>
      <c r="AN490">
        <f>IF(AND(OR(AD490="Maybe",AD490="Price Review"),AG490&lt;&gt;"Approved",AG490&lt;&gt;"Rejected"),IF(AC490="",0,AC490)-ROW()*0.0000001,-9999-ROW()*0.0000001)</f>
        <v/>
      </c>
      <c r="AO490" s="28" t="n"/>
      <c r="AP490" s="28" t="n"/>
      <c r="AQ490" s="29" t="n"/>
      <c r="AR490" s="29" t="n"/>
      <c r="AS490" s="23" t="n"/>
      <c r="AT490" s="29" t="n"/>
      <c r="AU490" s="29" t="n"/>
      <c r="AV490" s="29" t="n"/>
      <c r="AW490" s="25">
        <f>IF(OR(O490="",AV490=""),"",O490*AV490)</f>
        <v/>
      </c>
      <c r="AX490" s="23" t="n"/>
      <c r="AY490" s="23" t="n"/>
      <c r="AZ490" s="23" t="n"/>
      <c r="BA490" s="23" t="n"/>
      <c r="BB490" s="23" t="n"/>
      <c r="BC490" s="25" t="n"/>
      <c r="BD490" s="23" t="n"/>
      <c r="BE490" s="23">
        <f>IF(C490="","",IF(AND(ISNUMBER(P490),P490&gt;MAX_PRICE),"Price too high",IF(AND(ISNUMBER(AB490),AB490&lt;=2),"Quality risk",IF(AND(ISNUMBER(U490),U490&lt;=2),"Aesthetic mismatch",IF(AY490="High","Too fragile",IF(AND(ISNUMBER(R490),R490&lt;LOW_PROFIT_PCT),"Low profit",IF(AND(ISNUMBER(AT490),AT490&gt;MOQ_WARNING),"MOQ too high",IF(OR(AD490="Maybe",AD490="Price Review"),"Needs partner review",IF(AD490="Buy","Good candidate","")))))))))</f>
        <v/>
      </c>
      <c r="BF490" s="23" t="n"/>
      <c r="BG490" s="23" t="n"/>
      <c r="BH490" s="23" t="n"/>
      <c r="BI490" s="23" t="n"/>
      <c r="BJ490" s="23" t="n"/>
      <c r="BK490" s="23" t="n"/>
      <c r="BL490" s="23">
        <f>IF(C490="","",IF(AND(BG490="Yes",BH490="Yes",BI490="Yes",BJ490="Yes",BK490="Yes"),"Yes","No"))</f>
        <v/>
      </c>
      <c r="BM490" s="25" t="n"/>
      <c r="BN490" s="25" t="n"/>
      <c r="BO490" s="25">
        <f>IF(OR(BM490="",BN490=""),"",BM490+BN490)</f>
        <v/>
      </c>
      <c r="BP490" s="25" t="n"/>
      <c r="BQ490" s="25">
        <f>IF(OR(BP490="",BO490=""),"",BP490-BO490)</f>
        <v/>
      </c>
      <c r="BR490" s="26">
        <f>IF(OR(BP490="",BP490=0,BQ490=""),"",BQ490/BP490)</f>
        <v/>
      </c>
      <c r="BS490" s="24" t="n"/>
      <c r="BT490" s="29" t="n"/>
      <c r="BU490" s="29" t="n"/>
      <c r="BV490" s="23" t="n"/>
      <c r="BW490" s="23" t="n"/>
      <c r="BX490" s="29">
        <f>IF(OR(BT490="",BU490=""),"",BT490-BU490)</f>
        <v/>
      </c>
      <c r="BY490" s="23" t="n"/>
      <c r="BZ490" s="24" t="n"/>
      <c r="CA490" s="23" t="n"/>
      <c r="CB490" s="23" t="n"/>
    </row>
    <row r="491">
      <c r="A491" s="16">
        <f>IF(C491="","","AYN-"&amp;IFERROR(VLOOKUP(E491,CATEGORY_PREFIX_TABLE,2,FALSE),"OTH")&amp;"-"&amp;TEXT(ROW()-2,"0000"))</f>
        <v/>
      </c>
      <c r="B491" s="17" t="n"/>
      <c r="C491" s="16" t="n"/>
      <c r="D491" s="16" t="n"/>
      <c r="E491" s="16" t="n"/>
      <c r="F491" s="16" t="n"/>
      <c r="G491" s="16" t="n"/>
      <c r="H491" s="16" t="n"/>
      <c r="I491" s="16" t="n"/>
      <c r="J491" s="16" t="n"/>
      <c r="K491" s="18">
        <f>IF(I491="","",IF(J491="BDT",I491,IF(J491="USD",I491*USD_BDT,IF(J491="RMB",I491*RMB_BDT,""))))</f>
        <v/>
      </c>
      <c r="L491" s="18" t="n"/>
      <c r="M491" s="19" t="n"/>
      <c r="N491" s="18" t="n"/>
      <c r="O491" s="18">
        <f>IF(K491="","",K491+IFERROR(L491,0)+(K491*IF(M491="",CUSTOMS_PCT,M491))+IF(N491="",MISC_FEE,N491))</f>
        <v/>
      </c>
      <c r="P491" s="18">
        <f>IF(O491="","",ROUND(O491*(1+MARKUP_PCT),-1)-1)</f>
        <v/>
      </c>
      <c r="Q491" s="18">
        <f>IF(P491="","",P491-O491)</f>
        <v/>
      </c>
      <c r="R491" s="19">
        <f>IF(OR(P491="",P491=0),"",Q491/P491)</f>
        <v/>
      </c>
      <c r="S491" s="16" t="n"/>
      <c r="T491" s="16" t="n"/>
      <c r="U491" s="16" t="n"/>
      <c r="V491" s="16" t="n"/>
      <c r="W491" s="16" t="n"/>
      <c r="X491" s="16" t="n"/>
      <c r="Y491" s="16" t="n"/>
      <c r="Z491" s="16" t="n"/>
      <c r="AA491" s="16" t="n"/>
      <c r="AB491" s="16" t="n"/>
      <c r="AC491" s="20">
        <f>IF(COUNT(S491:AB491)&lt;10,"",(S491*W_FEMININE+T491*W_TREND+U491*W_AESTHETIC+V491*W_STYLE+W491*W_LIGHT+X491*W_REELS+Y491*W_GIFT+Z491*W_PRICEFIT+AA491*W_DEMAND+AB491*W_QUALITY)/5*100)</f>
        <v/>
      </c>
      <c r="AD491" s="16">
        <f>IF(P491="","",IF(P491&gt;HARD_REJECT_PRICE,"Reject",IF(P491&gt;MAX_PRICE,"Price Review",IF(AC491="","",IF(AND(AC491&gt;=BUY_THRESHOLD,OR(AB491&lt;=2,U491&lt;=2)),"Maybe",IF(AC491&gt;=BUY_THRESHOLD,"Buy",IF(AC491&gt;=MAYBE_THRESHOLD,"Maybe","Reject")))))))</f>
        <v/>
      </c>
      <c r="AE491" s="16" t="n"/>
      <c r="AF491" s="16" t="n"/>
      <c r="AG491" s="16" t="n"/>
      <c r="AH491" s="16" t="n"/>
      <c r="AI491" s="17" t="n"/>
      <c r="AJ491">
        <f>IF(AC491="",-9999-ROW()*0.0000001,AC491-ROW()*0.0000001)</f>
        <v/>
      </c>
      <c r="AK491">
        <f>IF(OR(AC491="",P491="",P491&gt;MAX_PRICE),-9999-ROW()*0.0000001,AC491-ROW()*0.0000001)</f>
        <v/>
      </c>
      <c r="AL491">
        <f>IF(AC491="",-9999-ROW()*0.0000001,X491*1000+AC491-ROW()*0.0000001)</f>
        <v/>
      </c>
      <c r="AM491">
        <f>IF(AC491="",-9999-ROW()*0.0000001,Y491*1000+AC491-ROW()*0.0000001)</f>
        <v/>
      </c>
      <c r="AN491">
        <f>IF(AND(OR(AD491="Maybe",AD491="Price Review"),AG491&lt;&gt;"Approved",AG491&lt;&gt;"Rejected"),IF(AC491="",0,AC491)-ROW()*0.0000001,-9999-ROW()*0.0000001)</f>
        <v/>
      </c>
      <c r="AO491" s="21" t="n"/>
      <c r="AP491" s="21" t="n"/>
      <c r="AQ491" s="22" t="n"/>
      <c r="AR491" s="22" t="n"/>
      <c r="AS491" s="16" t="n"/>
      <c r="AT491" s="22" t="n"/>
      <c r="AU491" s="22" t="n"/>
      <c r="AV491" s="22" t="n"/>
      <c r="AW491" s="18">
        <f>IF(OR(O491="",AV491=""),"",O491*AV491)</f>
        <v/>
      </c>
      <c r="AX491" s="16" t="n"/>
      <c r="AY491" s="16" t="n"/>
      <c r="AZ491" s="16" t="n"/>
      <c r="BA491" s="16" t="n"/>
      <c r="BB491" s="16" t="n"/>
      <c r="BC491" s="18" t="n"/>
      <c r="BD491" s="16" t="n"/>
      <c r="BE491" s="16">
        <f>IF(C491="","",IF(AND(ISNUMBER(P491),P491&gt;MAX_PRICE),"Price too high",IF(AND(ISNUMBER(AB491),AB491&lt;=2),"Quality risk",IF(AND(ISNUMBER(U491),U491&lt;=2),"Aesthetic mismatch",IF(AY491="High","Too fragile",IF(AND(ISNUMBER(R491),R491&lt;LOW_PROFIT_PCT),"Low profit",IF(AND(ISNUMBER(AT491),AT491&gt;MOQ_WARNING),"MOQ too high",IF(OR(AD491="Maybe",AD491="Price Review"),"Needs partner review",IF(AD491="Buy","Good candidate","")))))))))</f>
        <v/>
      </c>
      <c r="BF491" s="16" t="n"/>
      <c r="BG491" s="16" t="n"/>
      <c r="BH491" s="16" t="n"/>
      <c r="BI491" s="16" t="n"/>
      <c r="BJ491" s="16" t="n"/>
      <c r="BK491" s="16" t="n"/>
      <c r="BL491" s="16">
        <f>IF(C491="","",IF(AND(BG491="Yes",BH491="Yes",BI491="Yes",BJ491="Yes",BK491="Yes"),"Yes","No"))</f>
        <v/>
      </c>
      <c r="BM491" s="18" t="n"/>
      <c r="BN491" s="18" t="n"/>
      <c r="BO491" s="18">
        <f>IF(OR(BM491="",BN491=""),"",BM491+BN491)</f>
        <v/>
      </c>
      <c r="BP491" s="18" t="n"/>
      <c r="BQ491" s="18">
        <f>IF(OR(BP491="",BO491=""),"",BP491-BO491)</f>
        <v/>
      </c>
      <c r="BR491" s="19">
        <f>IF(OR(BP491="",BP491=0,BQ491=""),"",BQ491/BP491)</f>
        <v/>
      </c>
      <c r="BS491" s="17" t="n"/>
      <c r="BT491" s="22" t="n"/>
      <c r="BU491" s="22" t="n"/>
      <c r="BV491" s="16" t="n"/>
      <c r="BW491" s="16" t="n"/>
      <c r="BX491" s="22">
        <f>IF(OR(BT491="",BU491=""),"",BT491-BU491)</f>
        <v/>
      </c>
      <c r="BY491" s="16" t="n"/>
      <c r="BZ491" s="17" t="n"/>
      <c r="CA491" s="16" t="n"/>
      <c r="CB491" s="16" t="n"/>
    </row>
    <row r="492">
      <c r="A492" s="23">
        <f>IF(C492="","","AYN-"&amp;IFERROR(VLOOKUP(E492,CATEGORY_PREFIX_TABLE,2,FALSE),"OTH")&amp;"-"&amp;TEXT(ROW()-2,"0000"))</f>
        <v/>
      </c>
      <c r="B492" s="24" t="n"/>
      <c r="C492" s="23" t="n"/>
      <c r="D492" s="23" t="n"/>
      <c r="E492" s="23" t="n"/>
      <c r="F492" s="23" t="n"/>
      <c r="G492" s="23" t="n"/>
      <c r="H492" s="23" t="n"/>
      <c r="I492" s="23" t="n"/>
      <c r="J492" s="23" t="n"/>
      <c r="K492" s="25">
        <f>IF(I492="","",IF(J492="BDT",I492,IF(J492="USD",I492*USD_BDT,IF(J492="RMB",I492*RMB_BDT,""))))</f>
        <v/>
      </c>
      <c r="L492" s="25" t="n"/>
      <c r="M492" s="26" t="n"/>
      <c r="N492" s="25" t="n"/>
      <c r="O492" s="25">
        <f>IF(K492="","",K492+IFERROR(L492,0)+(K492*IF(M492="",CUSTOMS_PCT,M492))+IF(N492="",MISC_FEE,N492))</f>
        <v/>
      </c>
      <c r="P492" s="25">
        <f>IF(O492="","",ROUND(O492*(1+MARKUP_PCT),-1)-1)</f>
        <v/>
      </c>
      <c r="Q492" s="25">
        <f>IF(P492="","",P492-O492)</f>
        <v/>
      </c>
      <c r="R492" s="26">
        <f>IF(OR(P492="",P492=0),"",Q492/P492)</f>
        <v/>
      </c>
      <c r="S492" s="23" t="n"/>
      <c r="T492" s="23" t="n"/>
      <c r="U492" s="23" t="n"/>
      <c r="V492" s="23" t="n"/>
      <c r="W492" s="23" t="n"/>
      <c r="X492" s="23" t="n"/>
      <c r="Y492" s="23" t="n"/>
      <c r="Z492" s="23" t="n"/>
      <c r="AA492" s="23" t="n"/>
      <c r="AB492" s="23" t="n"/>
      <c r="AC492" s="27">
        <f>IF(COUNT(S492:AB492)&lt;10,"",(S492*W_FEMININE+T492*W_TREND+U492*W_AESTHETIC+V492*W_STYLE+W492*W_LIGHT+X492*W_REELS+Y492*W_GIFT+Z492*W_PRICEFIT+AA492*W_DEMAND+AB492*W_QUALITY)/5*100)</f>
        <v/>
      </c>
      <c r="AD492" s="23">
        <f>IF(P492="","",IF(P492&gt;HARD_REJECT_PRICE,"Reject",IF(P492&gt;MAX_PRICE,"Price Review",IF(AC492="","",IF(AND(AC492&gt;=BUY_THRESHOLD,OR(AB492&lt;=2,U492&lt;=2)),"Maybe",IF(AC492&gt;=BUY_THRESHOLD,"Buy",IF(AC492&gt;=MAYBE_THRESHOLD,"Maybe","Reject")))))))</f>
        <v/>
      </c>
      <c r="AE492" s="23" t="n"/>
      <c r="AF492" s="23" t="n"/>
      <c r="AG492" s="23" t="n"/>
      <c r="AH492" s="23" t="n"/>
      <c r="AI492" s="24" t="n"/>
      <c r="AJ492">
        <f>IF(AC492="",-9999-ROW()*0.0000001,AC492-ROW()*0.0000001)</f>
        <v/>
      </c>
      <c r="AK492">
        <f>IF(OR(AC492="",P492="",P492&gt;MAX_PRICE),-9999-ROW()*0.0000001,AC492-ROW()*0.0000001)</f>
        <v/>
      </c>
      <c r="AL492">
        <f>IF(AC492="",-9999-ROW()*0.0000001,X492*1000+AC492-ROW()*0.0000001)</f>
        <v/>
      </c>
      <c r="AM492">
        <f>IF(AC492="",-9999-ROW()*0.0000001,Y492*1000+AC492-ROW()*0.0000001)</f>
        <v/>
      </c>
      <c r="AN492">
        <f>IF(AND(OR(AD492="Maybe",AD492="Price Review"),AG492&lt;&gt;"Approved",AG492&lt;&gt;"Rejected"),IF(AC492="",0,AC492)-ROW()*0.0000001,-9999-ROW()*0.0000001)</f>
        <v/>
      </c>
      <c r="AO492" s="28" t="n"/>
      <c r="AP492" s="28" t="n"/>
      <c r="AQ492" s="29" t="n"/>
      <c r="AR492" s="29" t="n"/>
      <c r="AS492" s="23" t="n"/>
      <c r="AT492" s="29" t="n"/>
      <c r="AU492" s="29" t="n"/>
      <c r="AV492" s="29" t="n"/>
      <c r="AW492" s="25">
        <f>IF(OR(O492="",AV492=""),"",O492*AV492)</f>
        <v/>
      </c>
      <c r="AX492" s="23" t="n"/>
      <c r="AY492" s="23" t="n"/>
      <c r="AZ492" s="23" t="n"/>
      <c r="BA492" s="23" t="n"/>
      <c r="BB492" s="23" t="n"/>
      <c r="BC492" s="25" t="n"/>
      <c r="BD492" s="23" t="n"/>
      <c r="BE492" s="23">
        <f>IF(C492="","",IF(AND(ISNUMBER(P492),P492&gt;MAX_PRICE),"Price too high",IF(AND(ISNUMBER(AB492),AB492&lt;=2),"Quality risk",IF(AND(ISNUMBER(U492),U492&lt;=2),"Aesthetic mismatch",IF(AY492="High","Too fragile",IF(AND(ISNUMBER(R492),R492&lt;LOW_PROFIT_PCT),"Low profit",IF(AND(ISNUMBER(AT492),AT492&gt;MOQ_WARNING),"MOQ too high",IF(OR(AD492="Maybe",AD492="Price Review"),"Needs partner review",IF(AD492="Buy","Good candidate","")))))))))</f>
        <v/>
      </c>
      <c r="BF492" s="23" t="n"/>
      <c r="BG492" s="23" t="n"/>
      <c r="BH492" s="23" t="n"/>
      <c r="BI492" s="23" t="n"/>
      <c r="BJ492" s="23" t="n"/>
      <c r="BK492" s="23" t="n"/>
      <c r="BL492" s="23">
        <f>IF(C492="","",IF(AND(BG492="Yes",BH492="Yes",BI492="Yes",BJ492="Yes",BK492="Yes"),"Yes","No"))</f>
        <v/>
      </c>
      <c r="BM492" s="25" t="n"/>
      <c r="BN492" s="25" t="n"/>
      <c r="BO492" s="25">
        <f>IF(OR(BM492="",BN492=""),"",BM492+BN492)</f>
        <v/>
      </c>
      <c r="BP492" s="25" t="n"/>
      <c r="BQ492" s="25">
        <f>IF(OR(BP492="",BO492=""),"",BP492-BO492)</f>
        <v/>
      </c>
      <c r="BR492" s="26">
        <f>IF(OR(BP492="",BP492=0,BQ492=""),"",BQ492/BP492)</f>
        <v/>
      </c>
      <c r="BS492" s="24" t="n"/>
      <c r="BT492" s="29" t="n"/>
      <c r="BU492" s="29" t="n"/>
      <c r="BV492" s="23" t="n"/>
      <c r="BW492" s="23" t="n"/>
      <c r="BX492" s="29">
        <f>IF(OR(BT492="",BU492=""),"",BT492-BU492)</f>
        <v/>
      </c>
      <c r="BY492" s="23" t="n"/>
      <c r="BZ492" s="24" t="n"/>
      <c r="CA492" s="23" t="n"/>
      <c r="CB492" s="23" t="n"/>
    </row>
    <row r="493">
      <c r="A493" s="16">
        <f>IF(C493="","","AYN-"&amp;IFERROR(VLOOKUP(E493,CATEGORY_PREFIX_TABLE,2,FALSE),"OTH")&amp;"-"&amp;TEXT(ROW()-2,"0000"))</f>
        <v/>
      </c>
      <c r="B493" s="17" t="n"/>
      <c r="C493" s="16" t="n"/>
      <c r="D493" s="16" t="n"/>
      <c r="E493" s="16" t="n"/>
      <c r="F493" s="16" t="n"/>
      <c r="G493" s="16" t="n"/>
      <c r="H493" s="16" t="n"/>
      <c r="I493" s="16" t="n"/>
      <c r="J493" s="16" t="n"/>
      <c r="K493" s="18">
        <f>IF(I493="","",IF(J493="BDT",I493,IF(J493="USD",I493*USD_BDT,IF(J493="RMB",I493*RMB_BDT,""))))</f>
        <v/>
      </c>
      <c r="L493" s="18" t="n"/>
      <c r="M493" s="19" t="n"/>
      <c r="N493" s="18" t="n"/>
      <c r="O493" s="18">
        <f>IF(K493="","",K493+IFERROR(L493,0)+(K493*IF(M493="",CUSTOMS_PCT,M493))+IF(N493="",MISC_FEE,N493))</f>
        <v/>
      </c>
      <c r="P493" s="18">
        <f>IF(O493="","",ROUND(O493*(1+MARKUP_PCT),-1)-1)</f>
        <v/>
      </c>
      <c r="Q493" s="18">
        <f>IF(P493="","",P493-O493)</f>
        <v/>
      </c>
      <c r="R493" s="19">
        <f>IF(OR(P493="",P493=0),"",Q493/P493)</f>
        <v/>
      </c>
      <c r="S493" s="16" t="n"/>
      <c r="T493" s="16" t="n"/>
      <c r="U493" s="16" t="n"/>
      <c r="V493" s="16" t="n"/>
      <c r="W493" s="16" t="n"/>
      <c r="X493" s="16" t="n"/>
      <c r="Y493" s="16" t="n"/>
      <c r="Z493" s="16" t="n"/>
      <c r="AA493" s="16" t="n"/>
      <c r="AB493" s="16" t="n"/>
      <c r="AC493" s="20">
        <f>IF(COUNT(S493:AB493)&lt;10,"",(S493*W_FEMININE+T493*W_TREND+U493*W_AESTHETIC+V493*W_STYLE+W493*W_LIGHT+X493*W_REELS+Y493*W_GIFT+Z493*W_PRICEFIT+AA493*W_DEMAND+AB493*W_QUALITY)/5*100)</f>
        <v/>
      </c>
      <c r="AD493" s="16">
        <f>IF(P493="","",IF(P493&gt;HARD_REJECT_PRICE,"Reject",IF(P493&gt;MAX_PRICE,"Price Review",IF(AC493="","",IF(AND(AC493&gt;=BUY_THRESHOLD,OR(AB493&lt;=2,U493&lt;=2)),"Maybe",IF(AC493&gt;=BUY_THRESHOLD,"Buy",IF(AC493&gt;=MAYBE_THRESHOLD,"Maybe","Reject")))))))</f>
        <v/>
      </c>
      <c r="AE493" s="16" t="n"/>
      <c r="AF493" s="16" t="n"/>
      <c r="AG493" s="16" t="n"/>
      <c r="AH493" s="16" t="n"/>
      <c r="AI493" s="17" t="n"/>
      <c r="AJ493">
        <f>IF(AC493="",-9999-ROW()*0.0000001,AC493-ROW()*0.0000001)</f>
        <v/>
      </c>
      <c r="AK493">
        <f>IF(OR(AC493="",P493="",P493&gt;MAX_PRICE),-9999-ROW()*0.0000001,AC493-ROW()*0.0000001)</f>
        <v/>
      </c>
      <c r="AL493">
        <f>IF(AC493="",-9999-ROW()*0.0000001,X493*1000+AC493-ROW()*0.0000001)</f>
        <v/>
      </c>
      <c r="AM493">
        <f>IF(AC493="",-9999-ROW()*0.0000001,Y493*1000+AC493-ROW()*0.0000001)</f>
        <v/>
      </c>
      <c r="AN493">
        <f>IF(AND(OR(AD493="Maybe",AD493="Price Review"),AG493&lt;&gt;"Approved",AG493&lt;&gt;"Rejected"),IF(AC493="",0,AC493)-ROW()*0.0000001,-9999-ROW()*0.0000001)</f>
        <v/>
      </c>
      <c r="AO493" s="21" t="n"/>
      <c r="AP493" s="21" t="n"/>
      <c r="AQ493" s="22" t="n"/>
      <c r="AR493" s="22" t="n"/>
      <c r="AS493" s="16" t="n"/>
      <c r="AT493" s="22" t="n"/>
      <c r="AU493" s="22" t="n"/>
      <c r="AV493" s="22" t="n"/>
      <c r="AW493" s="18">
        <f>IF(OR(O493="",AV493=""),"",O493*AV493)</f>
        <v/>
      </c>
      <c r="AX493" s="16" t="n"/>
      <c r="AY493" s="16" t="n"/>
      <c r="AZ493" s="16" t="n"/>
      <c r="BA493" s="16" t="n"/>
      <c r="BB493" s="16" t="n"/>
      <c r="BC493" s="18" t="n"/>
      <c r="BD493" s="16" t="n"/>
      <c r="BE493" s="16">
        <f>IF(C493="","",IF(AND(ISNUMBER(P493),P493&gt;MAX_PRICE),"Price too high",IF(AND(ISNUMBER(AB493),AB493&lt;=2),"Quality risk",IF(AND(ISNUMBER(U493),U493&lt;=2),"Aesthetic mismatch",IF(AY493="High","Too fragile",IF(AND(ISNUMBER(R493),R493&lt;LOW_PROFIT_PCT),"Low profit",IF(AND(ISNUMBER(AT493),AT493&gt;MOQ_WARNING),"MOQ too high",IF(OR(AD493="Maybe",AD493="Price Review"),"Needs partner review",IF(AD493="Buy","Good candidate","")))))))))</f>
        <v/>
      </c>
      <c r="BF493" s="16" t="n"/>
      <c r="BG493" s="16" t="n"/>
      <c r="BH493" s="16" t="n"/>
      <c r="BI493" s="16" t="n"/>
      <c r="BJ493" s="16" t="n"/>
      <c r="BK493" s="16" t="n"/>
      <c r="BL493" s="16">
        <f>IF(C493="","",IF(AND(BG493="Yes",BH493="Yes",BI493="Yes",BJ493="Yes",BK493="Yes"),"Yes","No"))</f>
        <v/>
      </c>
      <c r="BM493" s="18" t="n"/>
      <c r="BN493" s="18" t="n"/>
      <c r="BO493" s="18">
        <f>IF(OR(BM493="",BN493=""),"",BM493+BN493)</f>
        <v/>
      </c>
      <c r="BP493" s="18" t="n"/>
      <c r="BQ493" s="18">
        <f>IF(OR(BP493="",BO493=""),"",BP493-BO493)</f>
        <v/>
      </c>
      <c r="BR493" s="19">
        <f>IF(OR(BP493="",BP493=0,BQ493=""),"",BQ493/BP493)</f>
        <v/>
      </c>
      <c r="BS493" s="17" t="n"/>
      <c r="BT493" s="22" t="n"/>
      <c r="BU493" s="22" t="n"/>
      <c r="BV493" s="16" t="n"/>
      <c r="BW493" s="16" t="n"/>
      <c r="BX493" s="22">
        <f>IF(OR(BT493="",BU493=""),"",BT493-BU493)</f>
        <v/>
      </c>
      <c r="BY493" s="16" t="n"/>
      <c r="BZ493" s="17" t="n"/>
      <c r="CA493" s="16" t="n"/>
      <c r="CB493" s="16" t="n"/>
    </row>
    <row r="494">
      <c r="A494" s="23">
        <f>IF(C494="","","AYN-"&amp;IFERROR(VLOOKUP(E494,CATEGORY_PREFIX_TABLE,2,FALSE),"OTH")&amp;"-"&amp;TEXT(ROW()-2,"0000"))</f>
        <v/>
      </c>
      <c r="B494" s="24" t="n"/>
      <c r="C494" s="23" t="n"/>
      <c r="D494" s="23" t="n"/>
      <c r="E494" s="23" t="n"/>
      <c r="F494" s="23" t="n"/>
      <c r="G494" s="23" t="n"/>
      <c r="H494" s="23" t="n"/>
      <c r="I494" s="23" t="n"/>
      <c r="J494" s="23" t="n"/>
      <c r="K494" s="25">
        <f>IF(I494="","",IF(J494="BDT",I494,IF(J494="USD",I494*USD_BDT,IF(J494="RMB",I494*RMB_BDT,""))))</f>
        <v/>
      </c>
      <c r="L494" s="25" t="n"/>
      <c r="M494" s="26" t="n"/>
      <c r="N494" s="25" t="n"/>
      <c r="O494" s="25">
        <f>IF(K494="","",K494+IFERROR(L494,0)+(K494*IF(M494="",CUSTOMS_PCT,M494))+IF(N494="",MISC_FEE,N494))</f>
        <v/>
      </c>
      <c r="P494" s="25">
        <f>IF(O494="","",ROUND(O494*(1+MARKUP_PCT),-1)-1)</f>
        <v/>
      </c>
      <c r="Q494" s="25">
        <f>IF(P494="","",P494-O494)</f>
        <v/>
      </c>
      <c r="R494" s="26">
        <f>IF(OR(P494="",P494=0),"",Q494/P494)</f>
        <v/>
      </c>
      <c r="S494" s="23" t="n"/>
      <c r="T494" s="23" t="n"/>
      <c r="U494" s="23" t="n"/>
      <c r="V494" s="23" t="n"/>
      <c r="W494" s="23" t="n"/>
      <c r="X494" s="23" t="n"/>
      <c r="Y494" s="23" t="n"/>
      <c r="Z494" s="23" t="n"/>
      <c r="AA494" s="23" t="n"/>
      <c r="AB494" s="23" t="n"/>
      <c r="AC494" s="27">
        <f>IF(COUNT(S494:AB494)&lt;10,"",(S494*W_FEMININE+T494*W_TREND+U494*W_AESTHETIC+V494*W_STYLE+W494*W_LIGHT+X494*W_REELS+Y494*W_GIFT+Z494*W_PRICEFIT+AA494*W_DEMAND+AB494*W_QUALITY)/5*100)</f>
        <v/>
      </c>
      <c r="AD494" s="23">
        <f>IF(P494="","",IF(P494&gt;HARD_REJECT_PRICE,"Reject",IF(P494&gt;MAX_PRICE,"Price Review",IF(AC494="","",IF(AND(AC494&gt;=BUY_THRESHOLD,OR(AB494&lt;=2,U494&lt;=2)),"Maybe",IF(AC494&gt;=BUY_THRESHOLD,"Buy",IF(AC494&gt;=MAYBE_THRESHOLD,"Maybe","Reject")))))))</f>
        <v/>
      </c>
      <c r="AE494" s="23" t="n"/>
      <c r="AF494" s="23" t="n"/>
      <c r="AG494" s="23" t="n"/>
      <c r="AH494" s="23" t="n"/>
      <c r="AI494" s="24" t="n"/>
      <c r="AJ494">
        <f>IF(AC494="",-9999-ROW()*0.0000001,AC494-ROW()*0.0000001)</f>
        <v/>
      </c>
      <c r="AK494">
        <f>IF(OR(AC494="",P494="",P494&gt;MAX_PRICE),-9999-ROW()*0.0000001,AC494-ROW()*0.0000001)</f>
        <v/>
      </c>
      <c r="AL494">
        <f>IF(AC494="",-9999-ROW()*0.0000001,X494*1000+AC494-ROW()*0.0000001)</f>
        <v/>
      </c>
      <c r="AM494">
        <f>IF(AC494="",-9999-ROW()*0.0000001,Y494*1000+AC494-ROW()*0.0000001)</f>
        <v/>
      </c>
      <c r="AN494">
        <f>IF(AND(OR(AD494="Maybe",AD494="Price Review"),AG494&lt;&gt;"Approved",AG494&lt;&gt;"Rejected"),IF(AC494="",0,AC494)-ROW()*0.0000001,-9999-ROW()*0.0000001)</f>
        <v/>
      </c>
      <c r="AO494" s="28" t="n"/>
      <c r="AP494" s="28" t="n"/>
      <c r="AQ494" s="29" t="n"/>
      <c r="AR494" s="29" t="n"/>
      <c r="AS494" s="23" t="n"/>
      <c r="AT494" s="29" t="n"/>
      <c r="AU494" s="29" t="n"/>
      <c r="AV494" s="29" t="n"/>
      <c r="AW494" s="25">
        <f>IF(OR(O494="",AV494=""),"",O494*AV494)</f>
        <v/>
      </c>
      <c r="AX494" s="23" t="n"/>
      <c r="AY494" s="23" t="n"/>
      <c r="AZ494" s="23" t="n"/>
      <c r="BA494" s="23" t="n"/>
      <c r="BB494" s="23" t="n"/>
      <c r="BC494" s="25" t="n"/>
      <c r="BD494" s="23" t="n"/>
      <c r="BE494" s="23">
        <f>IF(C494="","",IF(AND(ISNUMBER(P494),P494&gt;MAX_PRICE),"Price too high",IF(AND(ISNUMBER(AB494),AB494&lt;=2),"Quality risk",IF(AND(ISNUMBER(U494),U494&lt;=2),"Aesthetic mismatch",IF(AY494="High","Too fragile",IF(AND(ISNUMBER(R494),R494&lt;LOW_PROFIT_PCT),"Low profit",IF(AND(ISNUMBER(AT494),AT494&gt;MOQ_WARNING),"MOQ too high",IF(OR(AD494="Maybe",AD494="Price Review"),"Needs partner review",IF(AD494="Buy","Good candidate","")))))))))</f>
        <v/>
      </c>
      <c r="BF494" s="23" t="n"/>
      <c r="BG494" s="23" t="n"/>
      <c r="BH494" s="23" t="n"/>
      <c r="BI494" s="23" t="n"/>
      <c r="BJ494" s="23" t="n"/>
      <c r="BK494" s="23" t="n"/>
      <c r="BL494" s="23">
        <f>IF(C494="","",IF(AND(BG494="Yes",BH494="Yes",BI494="Yes",BJ494="Yes",BK494="Yes"),"Yes","No"))</f>
        <v/>
      </c>
      <c r="BM494" s="25" t="n"/>
      <c r="BN494" s="25" t="n"/>
      <c r="BO494" s="25">
        <f>IF(OR(BM494="",BN494=""),"",BM494+BN494)</f>
        <v/>
      </c>
      <c r="BP494" s="25" t="n"/>
      <c r="BQ494" s="25">
        <f>IF(OR(BP494="",BO494=""),"",BP494-BO494)</f>
        <v/>
      </c>
      <c r="BR494" s="26">
        <f>IF(OR(BP494="",BP494=0,BQ494=""),"",BQ494/BP494)</f>
        <v/>
      </c>
      <c r="BS494" s="24" t="n"/>
      <c r="BT494" s="29" t="n"/>
      <c r="BU494" s="29" t="n"/>
      <c r="BV494" s="23" t="n"/>
      <c r="BW494" s="23" t="n"/>
      <c r="BX494" s="29">
        <f>IF(OR(BT494="",BU494=""),"",BT494-BU494)</f>
        <v/>
      </c>
      <c r="BY494" s="23" t="n"/>
      <c r="BZ494" s="24" t="n"/>
      <c r="CA494" s="23" t="n"/>
      <c r="CB494" s="23" t="n"/>
    </row>
    <row r="495">
      <c r="A495" s="16">
        <f>IF(C495="","","AYN-"&amp;IFERROR(VLOOKUP(E495,CATEGORY_PREFIX_TABLE,2,FALSE),"OTH")&amp;"-"&amp;TEXT(ROW()-2,"0000"))</f>
        <v/>
      </c>
      <c r="B495" s="17" t="n"/>
      <c r="C495" s="16" t="n"/>
      <c r="D495" s="16" t="n"/>
      <c r="E495" s="16" t="n"/>
      <c r="F495" s="16" t="n"/>
      <c r="G495" s="16" t="n"/>
      <c r="H495" s="16" t="n"/>
      <c r="I495" s="16" t="n"/>
      <c r="J495" s="16" t="n"/>
      <c r="K495" s="18">
        <f>IF(I495="","",IF(J495="BDT",I495,IF(J495="USD",I495*USD_BDT,IF(J495="RMB",I495*RMB_BDT,""))))</f>
        <v/>
      </c>
      <c r="L495" s="18" t="n"/>
      <c r="M495" s="19" t="n"/>
      <c r="N495" s="18" t="n"/>
      <c r="O495" s="18">
        <f>IF(K495="","",K495+IFERROR(L495,0)+(K495*IF(M495="",CUSTOMS_PCT,M495))+IF(N495="",MISC_FEE,N495))</f>
        <v/>
      </c>
      <c r="P495" s="18">
        <f>IF(O495="","",ROUND(O495*(1+MARKUP_PCT),-1)-1)</f>
        <v/>
      </c>
      <c r="Q495" s="18">
        <f>IF(P495="","",P495-O495)</f>
        <v/>
      </c>
      <c r="R495" s="19">
        <f>IF(OR(P495="",P495=0),"",Q495/P495)</f>
        <v/>
      </c>
      <c r="S495" s="16" t="n"/>
      <c r="T495" s="16" t="n"/>
      <c r="U495" s="16" t="n"/>
      <c r="V495" s="16" t="n"/>
      <c r="W495" s="16" t="n"/>
      <c r="X495" s="16" t="n"/>
      <c r="Y495" s="16" t="n"/>
      <c r="Z495" s="16" t="n"/>
      <c r="AA495" s="16" t="n"/>
      <c r="AB495" s="16" t="n"/>
      <c r="AC495" s="20">
        <f>IF(COUNT(S495:AB495)&lt;10,"",(S495*W_FEMININE+T495*W_TREND+U495*W_AESTHETIC+V495*W_STYLE+W495*W_LIGHT+X495*W_REELS+Y495*W_GIFT+Z495*W_PRICEFIT+AA495*W_DEMAND+AB495*W_QUALITY)/5*100)</f>
        <v/>
      </c>
      <c r="AD495" s="16">
        <f>IF(P495="","",IF(P495&gt;HARD_REJECT_PRICE,"Reject",IF(P495&gt;MAX_PRICE,"Price Review",IF(AC495="","",IF(AND(AC495&gt;=BUY_THRESHOLD,OR(AB495&lt;=2,U495&lt;=2)),"Maybe",IF(AC495&gt;=BUY_THRESHOLD,"Buy",IF(AC495&gt;=MAYBE_THRESHOLD,"Maybe","Reject")))))))</f>
        <v/>
      </c>
      <c r="AE495" s="16" t="n"/>
      <c r="AF495" s="16" t="n"/>
      <c r="AG495" s="16" t="n"/>
      <c r="AH495" s="16" t="n"/>
      <c r="AI495" s="17" t="n"/>
      <c r="AJ495">
        <f>IF(AC495="",-9999-ROW()*0.0000001,AC495-ROW()*0.0000001)</f>
        <v/>
      </c>
      <c r="AK495">
        <f>IF(OR(AC495="",P495="",P495&gt;MAX_PRICE),-9999-ROW()*0.0000001,AC495-ROW()*0.0000001)</f>
        <v/>
      </c>
      <c r="AL495">
        <f>IF(AC495="",-9999-ROW()*0.0000001,X495*1000+AC495-ROW()*0.0000001)</f>
        <v/>
      </c>
      <c r="AM495">
        <f>IF(AC495="",-9999-ROW()*0.0000001,Y495*1000+AC495-ROW()*0.0000001)</f>
        <v/>
      </c>
      <c r="AN495">
        <f>IF(AND(OR(AD495="Maybe",AD495="Price Review"),AG495&lt;&gt;"Approved",AG495&lt;&gt;"Rejected"),IF(AC495="",0,AC495)-ROW()*0.0000001,-9999-ROW()*0.0000001)</f>
        <v/>
      </c>
      <c r="AO495" s="21" t="n"/>
      <c r="AP495" s="21" t="n"/>
      <c r="AQ495" s="22" t="n"/>
      <c r="AR495" s="22" t="n"/>
      <c r="AS495" s="16" t="n"/>
      <c r="AT495" s="22" t="n"/>
      <c r="AU495" s="22" t="n"/>
      <c r="AV495" s="22" t="n"/>
      <c r="AW495" s="18">
        <f>IF(OR(O495="",AV495=""),"",O495*AV495)</f>
        <v/>
      </c>
      <c r="AX495" s="16" t="n"/>
      <c r="AY495" s="16" t="n"/>
      <c r="AZ495" s="16" t="n"/>
      <c r="BA495" s="16" t="n"/>
      <c r="BB495" s="16" t="n"/>
      <c r="BC495" s="18" t="n"/>
      <c r="BD495" s="16" t="n"/>
      <c r="BE495" s="16">
        <f>IF(C495="","",IF(AND(ISNUMBER(P495),P495&gt;MAX_PRICE),"Price too high",IF(AND(ISNUMBER(AB495),AB495&lt;=2),"Quality risk",IF(AND(ISNUMBER(U495),U495&lt;=2),"Aesthetic mismatch",IF(AY495="High","Too fragile",IF(AND(ISNUMBER(R495),R495&lt;LOW_PROFIT_PCT),"Low profit",IF(AND(ISNUMBER(AT495),AT495&gt;MOQ_WARNING),"MOQ too high",IF(OR(AD495="Maybe",AD495="Price Review"),"Needs partner review",IF(AD495="Buy","Good candidate","")))))))))</f>
        <v/>
      </c>
      <c r="BF495" s="16" t="n"/>
      <c r="BG495" s="16" t="n"/>
      <c r="BH495" s="16" t="n"/>
      <c r="BI495" s="16" t="n"/>
      <c r="BJ495" s="16" t="n"/>
      <c r="BK495" s="16" t="n"/>
      <c r="BL495" s="16">
        <f>IF(C495="","",IF(AND(BG495="Yes",BH495="Yes",BI495="Yes",BJ495="Yes",BK495="Yes"),"Yes","No"))</f>
        <v/>
      </c>
      <c r="BM495" s="18" t="n"/>
      <c r="BN495" s="18" t="n"/>
      <c r="BO495" s="18">
        <f>IF(OR(BM495="",BN495=""),"",BM495+BN495)</f>
        <v/>
      </c>
      <c r="BP495" s="18" t="n"/>
      <c r="BQ495" s="18">
        <f>IF(OR(BP495="",BO495=""),"",BP495-BO495)</f>
        <v/>
      </c>
      <c r="BR495" s="19">
        <f>IF(OR(BP495="",BP495=0,BQ495=""),"",BQ495/BP495)</f>
        <v/>
      </c>
      <c r="BS495" s="17" t="n"/>
      <c r="BT495" s="22" t="n"/>
      <c r="BU495" s="22" t="n"/>
      <c r="BV495" s="16" t="n"/>
      <c r="BW495" s="16" t="n"/>
      <c r="BX495" s="22">
        <f>IF(OR(BT495="",BU495=""),"",BT495-BU495)</f>
        <v/>
      </c>
      <c r="BY495" s="16" t="n"/>
      <c r="BZ495" s="17" t="n"/>
      <c r="CA495" s="16" t="n"/>
      <c r="CB495" s="16" t="n"/>
    </row>
    <row r="496">
      <c r="A496" s="23">
        <f>IF(C496="","","AYN-"&amp;IFERROR(VLOOKUP(E496,CATEGORY_PREFIX_TABLE,2,FALSE),"OTH")&amp;"-"&amp;TEXT(ROW()-2,"0000"))</f>
        <v/>
      </c>
      <c r="B496" s="24" t="n"/>
      <c r="C496" s="23" t="n"/>
      <c r="D496" s="23" t="n"/>
      <c r="E496" s="23" t="n"/>
      <c r="F496" s="23" t="n"/>
      <c r="G496" s="23" t="n"/>
      <c r="H496" s="23" t="n"/>
      <c r="I496" s="23" t="n"/>
      <c r="J496" s="23" t="n"/>
      <c r="K496" s="25">
        <f>IF(I496="","",IF(J496="BDT",I496,IF(J496="USD",I496*USD_BDT,IF(J496="RMB",I496*RMB_BDT,""))))</f>
        <v/>
      </c>
      <c r="L496" s="25" t="n"/>
      <c r="M496" s="26" t="n"/>
      <c r="N496" s="25" t="n"/>
      <c r="O496" s="25">
        <f>IF(K496="","",K496+IFERROR(L496,0)+(K496*IF(M496="",CUSTOMS_PCT,M496))+IF(N496="",MISC_FEE,N496))</f>
        <v/>
      </c>
      <c r="P496" s="25">
        <f>IF(O496="","",ROUND(O496*(1+MARKUP_PCT),-1)-1)</f>
        <v/>
      </c>
      <c r="Q496" s="25">
        <f>IF(P496="","",P496-O496)</f>
        <v/>
      </c>
      <c r="R496" s="26">
        <f>IF(OR(P496="",P496=0),"",Q496/P496)</f>
        <v/>
      </c>
      <c r="S496" s="23" t="n"/>
      <c r="T496" s="23" t="n"/>
      <c r="U496" s="23" t="n"/>
      <c r="V496" s="23" t="n"/>
      <c r="W496" s="23" t="n"/>
      <c r="X496" s="23" t="n"/>
      <c r="Y496" s="23" t="n"/>
      <c r="Z496" s="23" t="n"/>
      <c r="AA496" s="23" t="n"/>
      <c r="AB496" s="23" t="n"/>
      <c r="AC496" s="27">
        <f>IF(COUNT(S496:AB496)&lt;10,"",(S496*W_FEMININE+T496*W_TREND+U496*W_AESTHETIC+V496*W_STYLE+W496*W_LIGHT+X496*W_REELS+Y496*W_GIFT+Z496*W_PRICEFIT+AA496*W_DEMAND+AB496*W_QUALITY)/5*100)</f>
        <v/>
      </c>
      <c r="AD496" s="23">
        <f>IF(P496="","",IF(P496&gt;HARD_REJECT_PRICE,"Reject",IF(P496&gt;MAX_PRICE,"Price Review",IF(AC496="","",IF(AND(AC496&gt;=BUY_THRESHOLD,OR(AB496&lt;=2,U496&lt;=2)),"Maybe",IF(AC496&gt;=BUY_THRESHOLD,"Buy",IF(AC496&gt;=MAYBE_THRESHOLD,"Maybe","Reject")))))))</f>
        <v/>
      </c>
      <c r="AE496" s="23" t="n"/>
      <c r="AF496" s="23" t="n"/>
      <c r="AG496" s="23" t="n"/>
      <c r="AH496" s="23" t="n"/>
      <c r="AI496" s="24" t="n"/>
      <c r="AJ496">
        <f>IF(AC496="",-9999-ROW()*0.0000001,AC496-ROW()*0.0000001)</f>
        <v/>
      </c>
      <c r="AK496">
        <f>IF(OR(AC496="",P496="",P496&gt;MAX_PRICE),-9999-ROW()*0.0000001,AC496-ROW()*0.0000001)</f>
        <v/>
      </c>
      <c r="AL496">
        <f>IF(AC496="",-9999-ROW()*0.0000001,X496*1000+AC496-ROW()*0.0000001)</f>
        <v/>
      </c>
      <c r="AM496">
        <f>IF(AC496="",-9999-ROW()*0.0000001,Y496*1000+AC496-ROW()*0.0000001)</f>
        <v/>
      </c>
      <c r="AN496">
        <f>IF(AND(OR(AD496="Maybe",AD496="Price Review"),AG496&lt;&gt;"Approved",AG496&lt;&gt;"Rejected"),IF(AC496="",0,AC496)-ROW()*0.0000001,-9999-ROW()*0.0000001)</f>
        <v/>
      </c>
      <c r="AO496" s="28" t="n"/>
      <c r="AP496" s="28" t="n"/>
      <c r="AQ496" s="29" t="n"/>
      <c r="AR496" s="29" t="n"/>
      <c r="AS496" s="23" t="n"/>
      <c r="AT496" s="29" t="n"/>
      <c r="AU496" s="29" t="n"/>
      <c r="AV496" s="29" t="n"/>
      <c r="AW496" s="25">
        <f>IF(OR(O496="",AV496=""),"",O496*AV496)</f>
        <v/>
      </c>
      <c r="AX496" s="23" t="n"/>
      <c r="AY496" s="23" t="n"/>
      <c r="AZ496" s="23" t="n"/>
      <c r="BA496" s="23" t="n"/>
      <c r="BB496" s="23" t="n"/>
      <c r="BC496" s="25" t="n"/>
      <c r="BD496" s="23" t="n"/>
      <c r="BE496" s="23">
        <f>IF(C496="","",IF(AND(ISNUMBER(P496),P496&gt;MAX_PRICE),"Price too high",IF(AND(ISNUMBER(AB496),AB496&lt;=2),"Quality risk",IF(AND(ISNUMBER(U496),U496&lt;=2),"Aesthetic mismatch",IF(AY496="High","Too fragile",IF(AND(ISNUMBER(R496),R496&lt;LOW_PROFIT_PCT),"Low profit",IF(AND(ISNUMBER(AT496),AT496&gt;MOQ_WARNING),"MOQ too high",IF(OR(AD496="Maybe",AD496="Price Review"),"Needs partner review",IF(AD496="Buy","Good candidate","")))))))))</f>
        <v/>
      </c>
      <c r="BF496" s="23" t="n"/>
      <c r="BG496" s="23" t="n"/>
      <c r="BH496" s="23" t="n"/>
      <c r="BI496" s="23" t="n"/>
      <c r="BJ496" s="23" t="n"/>
      <c r="BK496" s="23" t="n"/>
      <c r="BL496" s="23">
        <f>IF(C496="","",IF(AND(BG496="Yes",BH496="Yes",BI496="Yes",BJ496="Yes",BK496="Yes"),"Yes","No"))</f>
        <v/>
      </c>
      <c r="BM496" s="25" t="n"/>
      <c r="BN496" s="25" t="n"/>
      <c r="BO496" s="25">
        <f>IF(OR(BM496="",BN496=""),"",BM496+BN496)</f>
        <v/>
      </c>
      <c r="BP496" s="25" t="n"/>
      <c r="BQ496" s="25">
        <f>IF(OR(BP496="",BO496=""),"",BP496-BO496)</f>
        <v/>
      </c>
      <c r="BR496" s="26">
        <f>IF(OR(BP496="",BP496=0,BQ496=""),"",BQ496/BP496)</f>
        <v/>
      </c>
      <c r="BS496" s="24" t="n"/>
      <c r="BT496" s="29" t="n"/>
      <c r="BU496" s="29" t="n"/>
      <c r="BV496" s="23" t="n"/>
      <c r="BW496" s="23" t="n"/>
      <c r="BX496" s="29">
        <f>IF(OR(BT496="",BU496=""),"",BT496-BU496)</f>
        <v/>
      </c>
      <c r="BY496" s="23" t="n"/>
      <c r="BZ496" s="24" t="n"/>
      <c r="CA496" s="23" t="n"/>
      <c r="CB496" s="23" t="n"/>
    </row>
    <row r="497">
      <c r="A497" s="16">
        <f>IF(C497="","","AYN-"&amp;IFERROR(VLOOKUP(E497,CATEGORY_PREFIX_TABLE,2,FALSE),"OTH")&amp;"-"&amp;TEXT(ROW()-2,"0000"))</f>
        <v/>
      </c>
      <c r="B497" s="17" t="n"/>
      <c r="C497" s="16" t="n"/>
      <c r="D497" s="16" t="n"/>
      <c r="E497" s="16" t="n"/>
      <c r="F497" s="16" t="n"/>
      <c r="G497" s="16" t="n"/>
      <c r="H497" s="16" t="n"/>
      <c r="I497" s="16" t="n"/>
      <c r="J497" s="16" t="n"/>
      <c r="K497" s="18">
        <f>IF(I497="","",IF(J497="BDT",I497,IF(J497="USD",I497*USD_BDT,IF(J497="RMB",I497*RMB_BDT,""))))</f>
        <v/>
      </c>
      <c r="L497" s="18" t="n"/>
      <c r="M497" s="19" t="n"/>
      <c r="N497" s="18" t="n"/>
      <c r="O497" s="18">
        <f>IF(K497="","",K497+IFERROR(L497,0)+(K497*IF(M497="",CUSTOMS_PCT,M497))+IF(N497="",MISC_FEE,N497))</f>
        <v/>
      </c>
      <c r="P497" s="18">
        <f>IF(O497="","",ROUND(O497*(1+MARKUP_PCT),-1)-1)</f>
        <v/>
      </c>
      <c r="Q497" s="18">
        <f>IF(P497="","",P497-O497)</f>
        <v/>
      </c>
      <c r="R497" s="19">
        <f>IF(OR(P497="",P497=0),"",Q497/P497)</f>
        <v/>
      </c>
      <c r="S497" s="16" t="n"/>
      <c r="T497" s="16" t="n"/>
      <c r="U497" s="16" t="n"/>
      <c r="V497" s="16" t="n"/>
      <c r="W497" s="16" t="n"/>
      <c r="X497" s="16" t="n"/>
      <c r="Y497" s="16" t="n"/>
      <c r="Z497" s="16" t="n"/>
      <c r="AA497" s="16" t="n"/>
      <c r="AB497" s="16" t="n"/>
      <c r="AC497" s="20">
        <f>IF(COUNT(S497:AB497)&lt;10,"",(S497*W_FEMININE+T497*W_TREND+U497*W_AESTHETIC+V497*W_STYLE+W497*W_LIGHT+X497*W_REELS+Y497*W_GIFT+Z497*W_PRICEFIT+AA497*W_DEMAND+AB497*W_QUALITY)/5*100)</f>
        <v/>
      </c>
      <c r="AD497" s="16">
        <f>IF(P497="","",IF(P497&gt;HARD_REJECT_PRICE,"Reject",IF(P497&gt;MAX_PRICE,"Price Review",IF(AC497="","",IF(AND(AC497&gt;=BUY_THRESHOLD,OR(AB497&lt;=2,U497&lt;=2)),"Maybe",IF(AC497&gt;=BUY_THRESHOLD,"Buy",IF(AC497&gt;=MAYBE_THRESHOLD,"Maybe","Reject")))))))</f>
        <v/>
      </c>
      <c r="AE497" s="16" t="n"/>
      <c r="AF497" s="16" t="n"/>
      <c r="AG497" s="16" t="n"/>
      <c r="AH497" s="16" t="n"/>
      <c r="AI497" s="17" t="n"/>
      <c r="AJ497">
        <f>IF(AC497="",-9999-ROW()*0.0000001,AC497-ROW()*0.0000001)</f>
        <v/>
      </c>
      <c r="AK497">
        <f>IF(OR(AC497="",P497="",P497&gt;MAX_PRICE),-9999-ROW()*0.0000001,AC497-ROW()*0.0000001)</f>
        <v/>
      </c>
      <c r="AL497">
        <f>IF(AC497="",-9999-ROW()*0.0000001,X497*1000+AC497-ROW()*0.0000001)</f>
        <v/>
      </c>
      <c r="AM497">
        <f>IF(AC497="",-9999-ROW()*0.0000001,Y497*1000+AC497-ROW()*0.0000001)</f>
        <v/>
      </c>
      <c r="AN497">
        <f>IF(AND(OR(AD497="Maybe",AD497="Price Review"),AG497&lt;&gt;"Approved",AG497&lt;&gt;"Rejected"),IF(AC497="",0,AC497)-ROW()*0.0000001,-9999-ROW()*0.0000001)</f>
        <v/>
      </c>
      <c r="AO497" s="21" t="n"/>
      <c r="AP497" s="21" t="n"/>
      <c r="AQ497" s="22" t="n"/>
      <c r="AR497" s="22" t="n"/>
      <c r="AS497" s="16" t="n"/>
      <c r="AT497" s="22" t="n"/>
      <c r="AU497" s="22" t="n"/>
      <c r="AV497" s="22" t="n"/>
      <c r="AW497" s="18">
        <f>IF(OR(O497="",AV497=""),"",O497*AV497)</f>
        <v/>
      </c>
      <c r="AX497" s="16" t="n"/>
      <c r="AY497" s="16" t="n"/>
      <c r="AZ497" s="16" t="n"/>
      <c r="BA497" s="16" t="n"/>
      <c r="BB497" s="16" t="n"/>
      <c r="BC497" s="18" t="n"/>
      <c r="BD497" s="16" t="n"/>
      <c r="BE497" s="16">
        <f>IF(C497="","",IF(AND(ISNUMBER(P497),P497&gt;MAX_PRICE),"Price too high",IF(AND(ISNUMBER(AB497),AB497&lt;=2),"Quality risk",IF(AND(ISNUMBER(U497),U497&lt;=2),"Aesthetic mismatch",IF(AY497="High","Too fragile",IF(AND(ISNUMBER(R497),R497&lt;LOW_PROFIT_PCT),"Low profit",IF(AND(ISNUMBER(AT497),AT497&gt;MOQ_WARNING),"MOQ too high",IF(OR(AD497="Maybe",AD497="Price Review"),"Needs partner review",IF(AD497="Buy","Good candidate","")))))))))</f>
        <v/>
      </c>
      <c r="BF497" s="16" t="n"/>
      <c r="BG497" s="16" t="n"/>
      <c r="BH497" s="16" t="n"/>
      <c r="BI497" s="16" t="n"/>
      <c r="BJ497" s="16" t="n"/>
      <c r="BK497" s="16" t="n"/>
      <c r="BL497" s="16">
        <f>IF(C497="","",IF(AND(BG497="Yes",BH497="Yes",BI497="Yes",BJ497="Yes",BK497="Yes"),"Yes","No"))</f>
        <v/>
      </c>
      <c r="BM497" s="18" t="n"/>
      <c r="BN497" s="18" t="n"/>
      <c r="BO497" s="18">
        <f>IF(OR(BM497="",BN497=""),"",BM497+BN497)</f>
        <v/>
      </c>
      <c r="BP497" s="18" t="n"/>
      <c r="BQ497" s="18">
        <f>IF(OR(BP497="",BO497=""),"",BP497-BO497)</f>
        <v/>
      </c>
      <c r="BR497" s="19">
        <f>IF(OR(BP497="",BP497=0,BQ497=""),"",BQ497/BP497)</f>
        <v/>
      </c>
      <c r="BS497" s="17" t="n"/>
      <c r="BT497" s="22" t="n"/>
      <c r="BU497" s="22" t="n"/>
      <c r="BV497" s="16" t="n"/>
      <c r="BW497" s="16" t="n"/>
      <c r="BX497" s="22">
        <f>IF(OR(BT497="",BU497=""),"",BT497-BU497)</f>
        <v/>
      </c>
      <c r="BY497" s="16" t="n"/>
      <c r="BZ497" s="17" t="n"/>
      <c r="CA497" s="16" t="n"/>
      <c r="CB497" s="16" t="n"/>
    </row>
    <row r="498">
      <c r="A498" s="23">
        <f>IF(C498="","","AYN-"&amp;IFERROR(VLOOKUP(E498,CATEGORY_PREFIX_TABLE,2,FALSE),"OTH")&amp;"-"&amp;TEXT(ROW()-2,"0000"))</f>
        <v/>
      </c>
      <c r="B498" s="24" t="n"/>
      <c r="C498" s="23" t="n"/>
      <c r="D498" s="23" t="n"/>
      <c r="E498" s="23" t="n"/>
      <c r="F498" s="23" t="n"/>
      <c r="G498" s="23" t="n"/>
      <c r="H498" s="23" t="n"/>
      <c r="I498" s="23" t="n"/>
      <c r="J498" s="23" t="n"/>
      <c r="K498" s="25">
        <f>IF(I498="","",IF(J498="BDT",I498,IF(J498="USD",I498*USD_BDT,IF(J498="RMB",I498*RMB_BDT,""))))</f>
        <v/>
      </c>
      <c r="L498" s="25" t="n"/>
      <c r="M498" s="26" t="n"/>
      <c r="N498" s="25" t="n"/>
      <c r="O498" s="25">
        <f>IF(K498="","",K498+IFERROR(L498,0)+(K498*IF(M498="",CUSTOMS_PCT,M498))+IF(N498="",MISC_FEE,N498))</f>
        <v/>
      </c>
      <c r="P498" s="25">
        <f>IF(O498="","",ROUND(O498*(1+MARKUP_PCT),-1)-1)</f>
        <v/>
      </c>
      <c r="Q498" s="25">
        <f>IF(P498="","",P498-O498)</f>
        <v/>
      </c>
      <c r="R498" s="26">
        <f>IF(OR(P498="",P498=0),"",Q498/P498)</f>
        <v/>
      </c>
      <c r="S498" s="23" t="n"/>
      <c r="T498" s="23" t="n"/>
      <c r="U498" s="23" t="n"/>
      <c r="V498" s="23" t="n"/>
      <c r="W498" s="23" t="n"/>
      <c r="X498" s="23" t="n"/>
      <c r="Y498" s="23" t="n"/>
      <c r="Z498" s="23" t="n"/>
      <c r="AA498" s="23" t="n"/>
      <c r="AB498" s="23" t="n"/>
      <c r="AC498" s="27">
        <f>IF(COUNT(S498:AB498)&lt;10,"",(S498*W_FEMININE+T498*W_TREND+U498*W_AESTHETIC+V498*W_STYLE+W498*W_LIGHT+X498*W_REELS+Y498*W_GIFT+Z498*W_PRICEFIT+AA498*W_DEMAND+AB498*W_QUALITY)/5*100)</f>
        <v/>
      </c>
      <c r="AD498" s="23">
        <f>IF(P498="","",IF(P498&gt;HARD_REJECT_PRICE,"Reject",IF(P498&gt;MAX_PRICE,"Price Review",IF(AC498="","",IF(AND(AC498&gt;=BUY_THRESHOLD,OR(AB498&lt;=2,U498&lt;=2)),"Maybe",IF(AC498&gt;=BUY_THRESHOLD,"Buy",IF(AC498&gt;=MAYBE_THRESHOLD,"Maybe","Reject")))))))</f>
        <v/>
      </c>
      <c r="AE498" s="23" t="n"/>
      <c r="AF498" s="23" t="n"/>
      <c r="AG498" s="23" t="n"/>
      <c r="AH498" s="23" t="n"/>
      <c r="AI498" s="24" t="n"/>
      <c r="AJ498">
        <f>IF(AC498="",-9999-ROW()*0.0000001,AC498-ROW()*0.0000001)</f>
        <v/>
      </c>
      <c r="AK498">
        <f>IF(OR(AC498="",P498="",P498&gt;MAX_PRICE),-9999-ROW()*0.0000001,AC498-ROW()*0.0000001)</f>
        <v/>
      </c>
      <c r="AL498">
        <f>IF(AC498="",-9999-ROW()*0.0000001,X498*1000+AC498-ROW()*0.0000001)</f>
        <v/>
      </c>
      <c r="AM498">
        <f>IF(AC498="",-9999-ROW()*0.0000001,Y498*1000+AC498-ROW()*0.0000001)</f>
        <v/>
      </c>
      <c r="AN498">
        <f>IF(AND(OR(AD498="Maybe",AD498="Price Review"),AG498&lt;&gt;"Approved",AG498&lt;&gt;"Rejected"),IF(AC498="",0,AC498)-ROW()*0.0000001,-9999-ROW()*0.0000001)</f>
        <v/>
      </c>
      <c r="AO498" s="28" t="n"/>
      <c r="AP498" s="28" t="n"/>
      <c r="AQ498" s="29" t="n"/>
      <c r="AR498" s="29" t="n"/>
      <c r="AS498" s="23" t="n"/>
      <c r="AT498" s="29" t="n"/>
      <c r="AU498" s="29" t="n"/>
      <c r="AV498" s="29" t="n"/>
      <c r="AW498" s="25">
        <f>IF(OR(O498="",AV498=""),"",O498*AV498)</f>
        <v/>
      </c>
      <c r="AX498" s="23" t="n"/>
      <c r="AY498" s="23" t="n"/>
      <c r="AZ498" s="23" t="n"/>
      <c r="BA498" s="23" t="n"/>
      <c r="BB498" s="23" t="n"/>
      <c r="BC498" s="25" t="n"/>
      <c r="BD498" s="23" t="n"/>
      <c r="BE498" s="23">
        <f>IF(C498="","",IF(AND(ISNUMBER(P498),P498&gt;MAX_PRICE),"Price too high",IF(AND(ISNUMBER(AB498),AB498&lt;=2),"Quality risk",IF(AND(ISNUMBER(U498),U498&lt;=2),"Aesthetic mismatch",IF(AY498="High","Too fragile",IF(AND(ISNUMBER(R498),R498&lt;LOW_PROFIT_PCT),"Low profit",IF(AND(ISNUMBER(AT498),AT498&gt;MOQ_WARNING),"MOQ too high",IF(OR(AD498="Maybe",AD498="Price Review"),"Needs partner review",IF(AD498="Buy","Good candidate","")))))))))</f>
        <v/>
      </c>
      <c r="BF498" s="23" t="n"/>
      <c r="BG498" s="23" t="n"/>
      <c r="BH498" s="23" t="n"/>
      <c r="BI498" s="23" t="n"/>
      <c r="BJ498" s="23" t="n"/>
      <c r="BK498" s="23" t="n"/>
      <c r="BL498" s="23">
        <f>IF(C498="","",IF(AND(BG498="Yes",BH498="Yes",BI498="Yes",BJ498="Yes",BK498="Yes"),"Yes","No"))</f>
        <v/>
      </c>
      <c r="BM498" s="25" t="n"/>
      <c r="BN498" s="25" t="n"/>
      <c r="BO498" s="25">
        <f>IF(OR(BM498="",BN498=""),"",BM498+BN498)</f>
        <v/>
      </c>
      <c r="BP498" s="25" t="n"/>
      <c r="BQ498" s="25">
        <f>IF(OR(BP498="",BO498=""),"",BP498-BO498)</f>
        <v/>
      </c>
      <c r="BR498" s="26">
        <f>IF(OR(BP498="",BP498=0,BQ498=""),"",BQ498/BP498)</f>
        <v/>
      </c>
      <c r="BS498" s="24" t="n"/>
      <c r="BT498" s="29" t="n"/>
      <c r="BU498" s="29" t="n"/>
      <c r="BV498" s="23" t="n"/>
      <c r="BW498" s="23" t="n"/>
      <c r="BX498" s="29">
        <f>IF(OR(BT498="",BU498=""),"",BT498-BU498)</f>
        <v/>
      </c>
      <c r="BY498" s="23" t="n"/>
      <c r="BZ498" s="24" t="n"/>
      <c r="CA498" s="23" t="n"/>
      <c r="CB498" s="23" t="n"/>
    </row>
    <row r="499">
      <c r="A499" s="16">
        <f>IF(C499="","","AYN-"&amp;IFERROR(VLOOKUP(E499,CATEGORY_PREFIX_TABLE,2,FALSE),"OTH")&amp;"-"&amp;TEXT(ROW()-2,"0000"))</f>
        <v/>
      </c>
      <c r="B499" s="17" t="n"/>
      <c r="C499" s="16" t="n"/>
      <c r="D499" s="16" t="n"/>
      <c r="E499" s="16" t="n"/>
      <c r="F499" s="16" t="n"/>
      <c r="G499" s="16" t="n"/>
      <c r="H499" s="16" t="n"/>
      <c r="I499" s="16" t="n"/>
      <c r="J499" s="16" t="n"/>
      <c r="K499" s="18">
        <f>IF(I499="","",IF(J499="BDT",I499,IF(J499="USD",I499*USD_BDT,IF(J499="RMB",I499*RMB_BDT,""))))</f>
        <v/>
      </c>
      <c r="L499" s="18" t="n"/>
      <c r="M499" s="19" t="n"/>
      <c r="N499" s="18" t="n"/>
      <c r="O499" s="18">
        <f>IF(K499="","",K499+IFERROR(L499,0)+(K499*IF(M499="",CUSTOMS_PCT,M499))+IF(N499="",MISC_FEE,N499))</f>
        <v/>
      </c>
      <c r="P499" s="18">
        <f>IF(O499="","",ROUND(O499*(1+MARKUP_PCT),-1)-1)</f>
        <v/>
      </c>
      <c r="Q499" s="18">
        <f>IF(P499="","",P499-O499)</f>
        <v/>
      </c>
      <c r="R499" s="19">
        <f>IF(OR(P499="",P499=0),"",Q499/P499)</f>
        <v/>
      </c>
      <c r="S499" s="16" t="n"/>
      <c r="T499" s="16" t="n"/>
      <c r="U499" s="16" t="n"/>
      <c r="V499" s="16" t="n"/>
      <c r="W499" s="16" t="n"/>
      <c r="X499" s="16" t="n"/>
      <c r="Y499" s="16" t="n"/>
      <c r="Z499" s="16" t="n"/>
      <c r="AA499" s="16" t="n"/>
      <c r="AB499" s="16" t="n"/>
      <c r="AC499" s="20">
        <f>IF(COUNT(S499:AB499)&lt;10,"",(S499*W_FEMININE+T499*W_TREND+U499*W_AESTHETIC+V499*W_STYLE+W499*W_LIGHT+X499*W_REELS+Y499*W_GIFT+Z499*W_PRICEFIT+AA499*W_DEMAND+AB499*W_QUALITY)/5*100)</f>
        <v/>
      </c>
      <c r="AD499" s="16">
        <f>IF(P499="","",IF(P499&gt;HARD_REJECT_PRICE,"Reject",IF(P499&gt;MAX_PRICE,"Price Review",IF(AC499="","",IF(AND(AC499&gt;=BUY_THRESHOLD,OR(AB499&lt;=2,U499&lt;=2)),"Maybe",IF(AC499&gt;=BUY_THRESHOLD,"Buy",IF(AC499&gt;=MAYBE_THRESHOLD,"Maybe","Reject")))))))</f>
        <v/>
      </c>
      <c r="AE499" s="16" t="n"/>
      <c r="AF499" s="16" t="n"/>
      <c r="AG499" s="16" t="n"/>
      <c r="AH499" s="16" t="n"/>
      <c r="AI499" s="17" t="n"/>
      <c r="AJ499">
        <f>IF(AC499="",-9999-ROW()*0.0000001,AC499-ROW()*0.0000001)</f>
        <v/>
      </c>
      <c r="AK499">
        <f>IF(OR(AC499="",P499="",P499&gt;MAX_PRICE),-9999-ROW()*0.0000001,AC499-ROW()*0.0000001)</f>
        <v/>
      </c>
      <c r="AL499">
        <f>IF(AC499="",-9999-ROW()*0.0000001,X499*1000+AC499-ROW()*0.0000001)</f>
        <v/>
      </c>
      <c r="AM499">
        <f>IF(AC499="",-9999-ROW()*0.0000001,Y499*1000+AC499-ROW()*0.0000001)</f>
        <v/>
      </c>
      <c r="AN499">
        <f>IF(AND(OR(AD499="Maybe",AD499="Price Review"),AG499&lt;&gt;"Approved",AG499&lt;&gt;"Rejected"),IF(AC499="",0,AC499)-ROW()*0.0000001,-9999-ROW()*0.0000001)</f>
        <v/>
      </c>
      <c r="AO499" s="21" t="n"/>
      <c r="AP499" s="21" t="n"/>
      <c r="AQ499" s="22" t="n"/>
      <c r="AR499" s="22" t="n"/>
      <c r="AS499" s="16" t="n"/>
      <c r="AT499" s="22" t="n"/>
      <c r="AU499" s="22" t="n"/>
      <c r="AV499" s="22" t="n"/>
      <c r="AW499" s="18">
        <f>IF(OR(O499="",AV499=""),"",O499*AV499)</f>
        <v/>
      </c>
      <c r="AX499" s="16" t="n"/>
      <c r="AY499" s="16" t="n"/>
      <c r="AZ499" s="16" t="n"/>
      <c r="BA499" s="16" t="n"/>
      <c r="BB499" s="16" t="n"/>
      <c r="BC499" s="18" t="n"/>
      <c r="BD499" s="16" t="n"/>
      <c r="BE499" s="16">
        <f>IF(C499="","",IF(AND(ISNUMBER(P499),P499&gt;MAX_PRICE),"Price too high",IF(AND(ISNUMBER(AB499),AB499&lt;=2),"Quality risk",IF(AND(ISNUMBER(U499),U499&lt;=2),"Aesthetic mismatch",IF(AY499="High","Too fragile",IF(AND(ISNUMBER(R499),R499&lt;LOW_PROFIT_PCT),"Low profit",IF(AND(ISNUMBER(AT499),AT499&gt;MOQ_WARNING),"MOQ too high",IF(OR(AD499="Maybe",AD499="Price Review"),"Needs partner review",IF(AD499="Buy","Good candidate","")))))))))</f>
        <v/>
      </c>
      <c r="BF499" s="16" t="n"/>
      <c r="BG499" s="16" t="n"/>
      <c r="BH499" s="16" t="n"/>
      <c r="BI499" s="16" t="n"/>
      <c r="BJ499" s="16" t="n"/>
      <c r="BK499" s="16" t="n"/>
      <c r="BL499" s="16">
        <f>IF(C499="","",IF(AND(BG499="Yes",BH499="Yes",BI499="Yes",BJ499="Yes",BK499="Yes"),"Yes","No"))</f>
        <v/>
      </c>
      <c r="BM499" s="18" t="n"/>
      <c r="BN499" s="18" t="n"/>
      <c r="BO499" s="18">
        <f>IF(OR(BM499="",BN499=""),"",BM499+BN499)</f>
        <v/>
      </c>
      <c r="BP499" s="18" t="n"/>
      <c r="BQ499" s="18">
        <f>IF(OR(BP499="",BO499=""),"",BP499-BO499)</f>
        <v/>
      </c>
      <c r="BR499" s="19">
        <f>IF(OR(BP499="",BP499=0,BQ499=""),"",BQ499/BP499)</f>
        <v/>
      </c>
      <c r="BS499" s="17" t="n"/>
      <c r="BT499" s="22" t="n"/>
      <c r="BU499" s="22" t="n"/>
      <c r="BV499" s="16" t="n"/>
      <c r="BW499" s="16" t="n"/>
      <c r="BX499" s="22">
        <f>IF(OR(BT499="",BU499=""),"",BT499-BU499)</f>
        <v/>
      </c>
      <c r="BY499" s="16" t="n"/>
      <c r="BZ499" s="17" t="n"/>
      <c r="CA499" s="16" t="n"/>
      <c r="CB499" s="16" t="n"/>
    </row>
    <row r="500">
      <c r="A500" s="23">
        <f>IF(C500="","","AYN-"&amp;IFERROR(VLOOKUP(E500,CATEGORY_PREFIX_TABLE,2,FALSE),"OTH")&amp;"-"&amp;TEXT(ROW()-2,"0000"))</f>
        <v/>
      </c>
      <c r="B500" s="24" t="n"/>
      <c r="C500" s="23" t="n"/>
      <c r="D500" s="23" t="n"/>
      <c r="E500" s="23" t="n"/>
      <c r="F500" s="23" t="n"/>
      <c r="G500" s="23" t="n"/>
      <c r="H500" s="23" t="n"/>
      <c r="I500" s="23" t="n"/>
      <c r="J500" s="23" t="n"/>
      <c r="K500" s="25">
        <f>IF(I500="","",IF(J500="BDT",I500,IF(J500="USD",I500*USD_BDT,IF(J500="RMB",I500*RMB_BDT,""))))</f>
        <v/>
      </c>
      <c r="L500" s="25" t="n"/>
      <c r="M500" s="26" t="n"/>
      <c r="N500" s="25" t="n"/>
      <c r="O500" s="25">
        <f>IF(K500="","",K500+IFERROR(L500,0)+(K500*IF(M500="",CUSTOMS_PCT,M500))+IF(N500="",MISC_FEE,N500))</f>
        <v/>
      </c>
      <c r="P500" s="25">
        <f>IF(O500="","",ROUND(O500*(1+MARKUP_PCT),-1)-1)</f>
        <v/>
      </c>
      <c r="Q500" s="25">
        <f>IF(P500="","",P500-O500)</f>
        <v/>
      </c>
      <c r="R500" s="26">
        <f>IF(OR(P500="",P500=0),"",Q500/P500)</f>
        <v/>
      </c>
      <c r="S500" s="23" t="n"/>
      <c r="T500" s="23" t="n"/>
      <c r="U500" s="23" t="n"/>
      <c r="V500" s="23" t="n"/>
      <c r="W500" s="23" t="n"/>
      <c r="X500" s="23" t="n"/>
      <c r="Y500" s="23" t="n"/>
      <c r="Z500" s="23" t="n"/>
      <c r="AA500" s="23" t="n"/>
      <c r="AB500" s="23" t="n"/>
      <c r="AC500" s="27">
        <f>IF(COUNT(S500:AB500)&lt;10,"",(S500*W_FEMININE+T500*W_TREND+U500*W_AESTHETIC+V500*W_STYLE+W500*W_LIGHT+X500*W_REELS+Y500*W_GIFT+Z500*W_PRICEFIT+AA500*W_DEMAND+AB500*W_QUALITY)/5*100)</f>
        <v/>
      </c>
      <c r="AD500" s="23">
        <f>IF(P500="","",IF(P500&gt;HARD_REJECT_PRICE,"Reject",IF(P500&gt;MAX_PRICE,"Price Review",IF(AC500="","",IF(AND(AC500&gt;=BUY_THRESHOLD,OR(AB500&lt;=2,U500&lt;=2)),"Maybe",IF(AC500&gt;=BUY_THRESHOLD,"Buy",IF(AC500&gt;=MAYBE_THRESHOLD,"Maybe","Reject")))))))</f>
        <v/>
      </c>
      <c r="AE500" s="23" t="n"/>
      <c r="AF500" s="23" t="n"/>
      <c r="AG500" s="23" t="n"/>
      <c r="AH500" s="23" t="n"/>
      <c r="AI500" s="24" t="n"/>
      <c r="AJ500">
        <f>IF(AC500="",-9999-ROW()*0.0000001,AC500-ROW()*0.0000001)</f>
        <v/>
      </c>
      <c r="AK500">
        <f>IF(OR(AC500="",P500="",P500&gt;MAX_PRICE),-9999-ROW()*0.0000001,AC500-ROW()*0.0000001)</f>
        <v/>
      </c>
      <c r="AL500">
        <f>IF(AC500="",-9999-ROW()*0.0000001,X500*1000+AC500-ROW()*0.0000001)</f>
        <v/>
      </c>
      <c r="AM500">
        <f>IF(AC500="",-9999-ROW()*0.0000001,Y500*1000+AC500-ROW()*0.0000001)</f>
        <v/>
      </c>
      <c r="AN500">
        <f>IF(AND(OR(AD500="Maybe",AD500="Price Review"),AG500&lt;&gt;"Approved",AG500&lt;&gt;"Rejected"),IF(AC500="",0,AC500)-ROW()*0.0000001,-9999-ROW()*0.0000001)</f>
        <v/>
      </c>
      <c r="AO500" s="28" t="n"/>
      <c r="AP500" s="28" t="n"/>
      <c r="AQ500" s="29" t="n"/>
      <c r="AR500" s="29" t="n"/>
      <c r="AS500" s="23" t="n"/>
      <c r="AT500" s="29" t="n"/>
      <c r="AU500" s="29" t="n"/>
      <c r="AV500" s="29" t="n"/>
      <c r="AW500" s="25">
        <f>IF(OR(O500="",AV500=""),"",O500*AV500)</f>
        <v/>
      </c>
      <c r="AX500" s="23" t="n"/>
      <c r="AY500" s="23" t="n"/>
      <c r="AZ500" s="23" t="n"/>
      <c r="BA500" s="23" t="n"/>
      <c r="BB500" s="23" t="n"/>
      <c r="BC500" s="25" t="n"/>
      <c r="BD500" s="23" t="n"/>
      <c r="BE500" s="23">
        <f>IF(C500="","",IF(AND(ISNUMBER(P500),P500&gt;MAX_PRICE),"Price too high",IF(AND(ISNUMBER(AB500),AB500&lt;=2),"Quality risk",IF(AND(ISNUMBER(U500),U500&lt;=2),"Aesthetic mismatch",IF(AY500="High","Too fragile",IF(AND(ISNUMBER(R500),R500&lt;LOW_PROFIT_PCT),"Low profit",IF(AND(ISNUMBER(AT500),AT500&gt;MOQ_WARNING),"MOQ too high",IF(OR(AD500="Maybe",AD500="Price Review"),"Needs partner review",IF(AD500="Buy","Good candidate","")))))))))</f>
        <v/>
      </c>
      <c r="BF500" s="23" t="n"/>
      <c r="BG500" s="23" t="n"/>
      <c r="BH500" s="23" t="n"/>
      <c r="BI500" s="23" t="n"/>
      <c r="BJ500" s="23" t="n"/>
      <c r="BK500" s="23" t="n"/>
      <c r="BL500" s="23">
        <f>IF(C500="","",IF(AND(BG500="Yes",BH500="Yes",BI500="Yes",BJ500="Yes",BK500="Yes"),"Yes","No"))</f>
        <v/>
      </c>
      <c r="BM500" s="25" t="n"/>
      <c r="BN500" s="25" t="n"/>
      <c r="BO500" s="25">
        <f>IF(OR(BM500="",BN500=""),"",BM500+BN500)</f>
        <v/>
      </c>
      <c r="BP500" s="25" t="n"/>
      <c r="BQ500" s="25">
        <f>IF(OR(BP500="",BO500=""),"",BP500-BO500)</f>
        <v/>
      </c>
      <c r="BR500" s="26">
        <f>IF(OR(BP500="",BP500=0,BQ500=""),"",BQ500/BP500)</f>
        <v/>
      </c>
      <c r="BS500" s="24" t="n"/>
      <c r="BT500" s="29" t="n"/>
      <c r="BU500" s="29" t="n"/>
      <c r="BV500" s="23" t="n"/>
      <c r="BW500" s="23" t="n"/>
      <c r="BX500" s="29">
        <f>IF(OR(BT500="",BU500=""),"",BT500-BU500)</f>
        <v/>
      </c>
      <c r="BY500" s="23" t="n"/>
      <c r="BZ500" s="24" t="n"/>
      <c r="CA500" s="23" t="n"/>
      <c r="CB500" s="23" t="n"/>
    </row>
  </sheetData>
  <autoFilter ref="A2:CB500"/>
  <mergeCells count="2">
    <mergeCell ref="I1:R1"/>
    <mergeCell ref="A1:H1"/>
  </mergeCells>
  <conditionalFormatting sqref="AD3:AD500">
    <cfRule type="cellIs" priority="1" operator="equal" dxfId="0">
      <formula>"Buy"</formula>
    </cfRule>
    <cfRule type="cellIs" priority="2" operator="equal" dxfId="1">
      <formula>"Maybe"</formula>
    </cfRule>
    <cfRule type="cellIs" priority="3" operator="equal" dxfId="2">
      <formula>"Price Review"</formula>
    </cfRule>
    <cfRule type="cellIs" priority="4" operator="equal" dxfId="3">
      <formula>"Reject"</formula>
    </cfRule>
  </conditionalFormatting>
  <conditionalFormatting sqref="P3:P500">
    <cfRule type="expression" priority="5" dxfId="4">
      <formula>P3&gt;HARD_REJECT_PRICE</formula>
    </cfRule>
    <cfRule type="expression" priority="6" dxfId="5">
      <formula>AND(P3&gt;MAX_PRICE,P3&lt;=HARD_REJECT_PRICE)</formula>
    </cfRule>
  </conditionalFormatting>
  <conditionalFormatting sqref="U3:U500">
    <cfRule type="cellIs" priority="7" operator="lessThanOrEqual" dxfId="3">
      <formula>2</formula>
    </cfRule>
  </conditionalFormatting>
  <conditionalFormatting sqref="AB3:AB500">
    <cfRule type="cellIs" priority="8" operator="lessThanOrEqual" dxfId="3">
      <formula>2</formula>
    </cfRule>
  </conditionalFormatting>
  <conditionalFormatting sqref="AG3:AG500">
    <cfRule type="cellIs" priority="9" operator="equal" dxfId="6">
      <formula>"Approved"</formula>
    </cfRule>
    <cfRule type="cellIs" priority="10" operator="equal" dxfId="7">
      <formula>"Rejected"</formula>
    </cfRule>
    <cfRule type="cellIs" priority="11" operator="equal" dxfId="8">
      <formula>"Pending"</formula>
    </cfRule>
  </conditionalFormatting>
  <conditionalFormatting sqref="BE3:BE500">
    <cfRule type="cellIs" priority="12" operator="equal" dxfId="0">
      <formula>"Good candidate"</formula>
    </cfRule>
    <cfRule type="cellIs" priority="13" operator="equal" dxfId="1">
      <formula>"Needs partner review"</formula>
    </cfRule>
    <cfRule type="expression" priority="14" dxfId="3">
      <formula>AND(BE3&lt;&gt;"",BE3&lt;&gt;"Good candidate",BE3&lt;&gt;"Needs partner review")</formula>
    </cfRule>
  </conditionalFormatting>
  <conditionalFormatting sqref="BL3:BL500">
    <cfRule type="cellIs" priority="15" operator="equal" dxfId="0">
      <formula>"Yes"</formula>
    </cfRule>
    <cfRule type="cellIs" priority="16" operator="equal" dxfId="8">
      <formula>"No"</formula>
    </cfRule>
  </conditionalFormatting>
  <conditionalFormatting sqref="AY3:AY500">
    <cfRule type="cellIs" priority="17" operator="equal" dxfId="3">
      <formula>"High"</formula>
    </cfRule>
    <cfRule type="cellIs" priority="18" operator="equal" dxfId="8">
      <formula>"Medium"</formula>
    </cfRule>
    <cfRule type="cellIs" priority="19" operator="equal" dxfId="6">
      <formula>"Low"</formula>
    </cfRule>
  </conditionalFormatting>
  <conditionalFormatting sqref="BA3:BA500">
    <cfRule type="cellIs" priority="20" operator="equal" dxfId="3">
      <formula>"High"</formula>
    </cfRule>
    <cfRule type="cellIs" priority="21" operator="equal" dxfId="8">
      <formula>"Medium"</formula>
    </cfRule>
    <cfRule type="cellIs" priority="22" operator="equal" dxfId="6">
      <formula>"Low"</formula>
    </cfRule>
  </conditionalFormatting>
  <conditionalFormatting sqref="BD3:BD500">
    <cfRule type="cellIs" priority="23" operator="equal" dxfId="3">
      <formula>"High"</formula>
    </cfRule>
    <cfRule type="cellIs" priority="24" operator="equal" dxfId="8">
      <formula>"Medium"</formula>
    </cfRule>
    <cfRule type="cellIs" priority="25" operator="equal" dxfId="6">
      <formula>"Low"</formula>
    </cfRule>
  </conditionalFormatting>
  <conditionalFormatting sqref="BV3:BV500">
    <cfRule type="cellIs" priority="26" operator="equal" dxfId="0">
      <formula>"QC Passed"</formula>
    </cfRule>
    <cfRule type="cellIs" priority="27" operator="equal" dxfId="1">
      <formula>"QC Pending"</formula>
    </cfRule>
    <cfRule type="cellIs" priority="28" operator="equal" dxfId="2">
      <formula>"Minor Defect"</formula>
    </cfRule>
    <cfRule type="cellIs" priority="29" operator="equal" dxfId="2">
      <formula>"Discount Sell"</formula>
    </cfRule>
    <cfRule type="cellIs" priority="30" operator="equal" dxfId="3">
      <formula>"QC Failed"</formula>
    </cfRule>
    <cfRule type="cellIs" priority="31" operator="equal" dxfId="3">
      <formula>"Return/Reject"</formula>
    </cfRule>
  </conditionalFormatting>
  <dataValidations count="29">
    <dataValidation sqref="F3:F500" showDropDown="0" showInputMessage="0" showErrorMessage="0" allowBlank="1" errorTitle="Invalid entry" error="Please choose a value from the list." promptTitle="Choose from list" prompt="Where this product is sourced from" type="list">
      <formula1>LIST_PLATFORM</formula1>
    </dataValidation>
    <dataValidation sqref="E3:E500" showDropDown="0" showInputMessage="0" showErrorMessage="0" allowBlank="1" errorTitle="Invalid entry" error="Please choose a value from the list." promptTitle="Choose from list" prompt="Product category" type="list">
      <formula1>LIST_CATEGORY</formula1>
    </dataValidation>
    <dataValidation sqref="J3:J500" showDropDown="0" showInputMessage="0" showErrorMessage="0" allowBlank="1" errorTitle="Invalid entry" error="Please choose a value from the list." promptTitle="Choose from list" prompt="Currency the unit cost is quoted in" type="list">
      <formula1>LIST_CURRENCY</formula1>
    </dataValidation>
    <dataValidation sqref="AG3:AG500" showDropDown="0" showInputMessage="0" showErrorMessage="0" allowBlank="1" errorTitle="Invalid entry" error="Please choose a value from the list." promptTitle="Choose from list" prompt="Partner approval status" type="list">
      <formula1>LIST_APPROVAL</formula1>
    </dataValidation>
    <dataValidation sqref="S3:S500" showDropDown="0" showInputMessage="0" showErrorMessage="0" allowBlank="1" errorTitle="Invalid entry" error="Please choose a value from the list." promptTitle="Choose from list" prompt="Score 1 (worst) to 5 (best)" type="list">
      <formula1>LIST_SCORE</formula1>
    </dataValidation>
    <dataValidation sqref="T3:T500" showDropDown="0" showInputMessage="0" showErrorMessage="0" allowBlank="1" errorTitle="Invalid entry" error="Please choose a value from the list." promptTitle="Choose from list" prompt="Score 1 (worst) to 5 (best)" type="list">
      <formula1>LIST_SCORE</formula1>
    </dataValidation>
    <dataValidation sqref="U3:U500" showDropDown="0" showInputMessage="0" showErrorMessage="0" allowBlank="1" errorTitle="Invalid entry" error="Please choose a value from the list." promptTitle="Choose from list" prompt="Score 1 (worst) to 5 (best)" type="list">
      <formula1>LIST_SCORE</formula1>
    </dataValidation>
    <dataValidation sqref="V3:V500" showDropDown="0" showInputMessage="0" showErrorMessage="0" allowBlank="1" errorTitle="Invalid entry" error="Please choose a value from the list." promptTitle="Choose from list" prompt="Score 1 (worst) to 5 (best)" type="list">
      <formula1>LIST_SCORE</formula1>
    </dataValidation>
    <dataValidation sqref="W3:W500" showDropDown="0" showInputMessage="0" showErrorMessage="0" allowBlank="1" errorTitle="Invalid entry" error="Please choose a value from the list." promptTitle="Choose from list" prompt="Score 1 (worst) to 5 (best)" type="list">
      <formula1>LIST_SCORE</formula1>
    </dataValidation>
    <dataValidation sqref="X3:X500" showDropDown="0" showInputMessage="0" showErrorMessage="0" allowBlank="1" errorTitle="Invalid entry" error="Please choose a value from the list." promptTitle="Choose from list" prompt="Score 1 (worst) to 5 (best)" type="list">
      <formula1>LIST_SCORE</formula1>
    </dataValidation>
    <dataValidation sqref="Y3:Y500" showDropDown="0" showInputMessage="0" showErrorMessage="0" allowBlank="1" errorTitle="Invalid entry" error="Please choose a value from the list." promptTitle="Choose from list" prompt="Score 1 (worst) to 5 (best)" type="list">
      <formula1>LIST_SCORE</formula1>
    </dataValidation>
    <dataValidation sqref="Z3:Z500" showDropDown="0" showInputMessage="0" showErrorMessage="0" allowBlank="1" errorTitle="Invalid entry" error="Please choose a value from the list." promptTitle="Choose from list" prompt="Score 1 (worst) to 5 (best)" type="list">
      <formula1>LIST_SCORE</formula1>
    </dataValidation>
    <dataValidation sqref="AA3:AA500" showDropDown="0" showInputMessage="0" showErrorMessage="0" allowBlank="1" errorTitle="Invalid entry" error="Please choose a value from the list." promptTitle="Choose from list" prompt="Score 1 (worst) to 5 (best)" type="list">
      <formula1>LIST_SCORE</formula1>
    </dataValidation>
    <dataValidation sqref="AB3:AB500" showDropDown="0" showInputMessage="0" showErrorMessage="0" allowBlank="1" errorTitle="Invalid entry" error="Please choose a value from the list." promptTitle="Choose from list" prompt="Score 1 (worst) to 5 (best)" type="list">
      <formula1>LIST_SCORE</formula1>
    </dataValidation>
    <dataValidation sqref="AS3:AS500" showDropDown="0" showInputMessage="0" showErrorMessage="0" allowBlank="1" errorTitle="Invalid entry" error="Please choose a value from the list." promptTitle="Choose from list" prompt="Yes or No" type="list">
      <formula1>LIST_YESNO</formula1>
    </dataValidation>
    <dataValidation sqref="BB3:BB500" showDropDown="0" showInputMessage="0" showErrorMessage="0" allowBlank="1" errorTitle="Invalid entry" error="Please choose a value from the list." promptTitle="Choose from list" prompt="Yes or No" type="list">
      <formula1>LIST_YESNO</formula1>
    </dataValidation>
    <dataValidation sqref="BG3:BG500" showDropDown="0" showInputMessage="0" showErrorMessage="0" allowBlank="1" errorTitle="Invalid entry" error="Please choose a value from the list." promptTitle="Choose from list" prompt="Yes or No" type="list">
      <formula1>LIST_YESNO</formula1>
    </dataValidation>
    <dataValidation sqref="BH3:BH500" showDropDown="0" showInputMessage="0" showErrorMessage="0" allowBlank="1" errorTitle="Invalid entry" error="Please choose a value from the list." promptTitle="Choose from list" prompt="Yes or No" type="list">
      <formula1>LIST_YESNO</formula1>
    </dataValidation>
    <dataValidation sqref="BI3:BI500" showDropDown="0" showInputMessage="0" showErrorMessage="0" allowBlank="1" errorTitle="Invalid entry" error="Please choose a value from the list." promptTitle="Choose from list" prompt="Yes or No" type="list">
      <formula1>LIST_YESNO</formula1>
    </dataValidation>
    <dataValidation sqref="BJ3:BJ500" showDropDown="0" showInputMessage="0" showErrorMessage="0" allowBlank="1" errorTitle="Invalid entry" error="Please choose a value from the list." promptTitle="Choose from list" prompt="Yes or No" type="list">
      <formula1>LIST_YESNO</formula1>
    </dataValidation>
    <dataValidation sqref="BK3:BK500" showDropDown="0" showInputMessage="0" showErrorMessage="0" allowBlank="1" errorTitle="Invalid entry" error="Please choose a value from the list." promptTitle="Choose from list" prompt="Yes or No" type="list">
      <formula1>LIST_YESNO</formula1>
    </dataValidation>
    <dataValidation sqref="AY3:AY500" showDropDown="0" showInputMessage="0" showErrorMessage="0" allowBlank="1" errorTitle="Invalid entry" error="Please choose a value from the list." promptTitle="Choose from list" prompt="Low, Medium, or High" type="list">
      <formula1>LIST_LEVEL</formula1>
    </dataValidation>
    <dataValidation sqref="BA3:BA500" showDropDown="0" showInputMessage="0" showErrorMessage="0" allowBlank="1" errorTitle="Invalid entry" error="Please choose a value from the list." promptTitle="Choose from list" prompt="Low, Medium, or High" type="list">
      <formula1>LIST_LEVEL</formula1>
    </dataValidation>
    <dataValidation sqref="BD3:BD500" showDropDown="0" showInputMessage="0" showErrorMessage="0" allowBlank="1" errorTitle="Invalid entry" error="Please choose a value from the list." promptTitle="Choose from list" prompt="Low, Medium, or High" type="list">
      <formula1>LIST_LEVEL</formula1>
    </dataValidation>
    <dataValidation sqref="AZ3:AZ500" showDropDown="0" showInputMessage="0" showErrorMessage="0" allowBlank="1" errorTitle="Invalid entry" error="Please choose a value from the list." promptTitle="Choose from list" prompt="Easy, Medium, or Hard" type="list">
      <formula1>LIST_PACKAGING</formula1>
    </dataValidation>
    <dataValidation sqref="BF3:BF500" showDropDown="0" showInputMessage="0" showErrorMessage="0" allowBlank="1" errorTitle="Invalid entry" error="Please choose a value from the list." promptTitle="Choose from list" prompt="Where this product is in the sourcing pipeline" type="list">
      <formula1>LIST_SOURCING_STATUS</formula1>
    </dataValidation>
    <dataValidation sqref="BV3:BV500" showDropDown="0" showInputMessage="0" showErrorMessage="0" allowBlank="1" errorTitle="Invalid entry" error="Please choose a value from the list." promptTitle="Choose from list" prompt="Quality check result after the product arrives" type="list">
      <formula1>LIST_QC_STATUS</formula1>
    </dataValidation>
    <dataValidation sqref="BY3:BY500" showDropDown="0" showInputMessage="0" showErrorMessage="0" allowBlank="1" errorTitle="Invalid entry" error="Please choose a value from the list." promptTitle="Choose from list" prompt="Which AI tool gave the first-opinion scores" type="list">
      <formula1>LIST_AI_TOOL</formula1>
    </dataValidation>
    <dataValidation sqref="CB3:CB500" showDropDown="0" showInputMessage="0" showErrorMessage="0" allowBlank="1" errorTitle="Invalid entry" error="Please choose a value from the list." promptTitle="Choose from list" prompt="Did a human change any AI-suggested score?" type="list">
      <formula1>LIST_YESNO</formula1>
    </dataValidation>
  </dataValidations>
  <pageMargins left="0.75" right="0.75" top="1" bottom="1" header="0.5" footer="0.5"/>
</worksheet>
</file>

<file path=xl/worksheets/sheet2.xml><?xml version="1.0" encoding="utf-8"?>
<worksheet xmlns="http://schemas.openxmlformats.org/spreadsheetml/2006/main">
  <sheetPr>
    <tabColor rgb="008FA98E"/>
    <outlinePr summaryBelow="1" summaryRight="1"/>
    <pageSetUpPr/>
  </sheetPr>
  <dimension ref="A1:T500"/>
  <sheetViews>
    <sheetView showGridLines="0" workbookViewId="0">
      <selection activeCell="A1" sqref="A1"/>
    </sheetView>
  </sheetViews>
  <sheetFormatPr baseColWidth="8" defaultRowHeight="15"/>
  <cols>
    <col width="6" customWidth="1" min="1" max="1"/>
    <col width="11" customWidth="1" min="2" max="2"/>
    <col width="11" customWidth="1" min="3" max="3"/>
    <col width="11" customWidth="1" min="4" max="4"/>
    <col width="11" customWidth="1" min="5" max="5"/>
    <col width="9" customWidth="1" min="6" max="6"/>
    <col width="9" customWidth="1" min="7" max="7"/>
    <col width="8" customWidth="1" min="8" max="8"/>
    <col width="9" customWidth="1" min="9" max="9"/>
    <col width="9" customWidth="1" min="10" max="10"/>
    <col width="9" customWidth="1" min="11" max="11"/>
    <col width="9" customWidth="1" min="12" max="12"/>
    <col hidden="1" width="13" customWidth="1" min="18" max="18"/>
    <col hidden="1" width="13" customWidth="1" min="19" max="19"/>
    <col hidden="1" width="13" customWidth="1" min="20" max="20"/>
  </cols>
  <sheetData>
    <row r="1" ht="32" customHeight="1">
      <c r="A1" s="30" t="inlineStr">
        <is>
          <t>AAYNA PRODUCT SCOUT</t>
        </is>
      </c>
    </row>
    <row r="2" ht="16" customHeight="1">
      <c r="A2" s="31" t="inlineStr">
        <is>
          <t>Reflect your everyday style.</t>
        </is>
      </c>
    </row>
    <row r="3" ht="20" customHeight="1">
      <c r="A3" s="32" t="inlineStr">
        <is>
          <t>SOURCING DASHBOARD</t>
        </is>
      </c>
      <c r="R3">
        <f>IF('Product Tracker'!AD3="Buy",IF('Product Tracker'!AC3="",0,'Product Tracker'!AC3)-ROW()*0.0000001,-9999-ROW()*0.0000001)</f>
        <v/>
      </c>
      <c r="S3">
        <f>IF('Product Tracker'!BL3="Yes",IF('Product Tracker'!AC3="",0,'Product Tracker'!AC3)-ROW()*0.0000001,-9999-ROW()*0.0000001)</f>
        <v/>
      </c>
      <c r="T3">
        <f>IF(OR('Product Tracker'!AY3="High",'Product Tracker'!BA3="High",AND('Product Tracker'!AB3&lt;&gt;"",'Product Tracker'!AB3&lt;=2)),IF('Product Tracker'!AC3="",0,'Product Tracker'!AC3)-ROW()*0.0000001,-9999-ROW()*0.0000001)</f>
        <v/>
      </c>
    </row>
    <row r="4">
      <c r="R4">
        <f>IF('Product Tracker'!AD4="Buy",IF('Product Tracker'!AC4="",0,'Product Tracker'!AC4)-ROW()*0.0000001,-9999-ROW()*0.0000001)</f>
        <v/>
      </c>
      <c r="S4">
        <f>IF('Product Tracker'!BL4="Yes",IF('Product Tracker'!AC4="",0,'Product Tracker'!AC4)-ROW()*0.0000001,-9999-ROW()*0.0000001)</f>
        <v/>
      </c>
      <c r="T4">
        <f>IF(OR('Product Tracker'!AY4="High",'Product Tracker'!BA4="High",AND('Product Tracker'!AB4&lt;&gt;"",'Product Tracker'!AB4&lt;=2)),IF('Product Tracker'!AC4="",0,'Product Tracker'!AC4)-ROW()*0.0000001,-9999-ROW()*0.0000001)</f>
        <v/>
      </c>
    </row>
    <row r="5" ht="22" customHeight="1">
      <c r="A5" s="33" t="inlineStr">
        <is>
          <t>KPI OVERVIEW</t>
        </is>
      </c>
      <c r="R5">
        <f>IF('Product Tracker'!AD5="Buy",IF('Product Tracker'!AC5="",0,'Product Tracker'!AC5)-ROW()*0.0000001,-9999-ROW()*0.0000001)</f>
        <v/>
      </c>
      <c r="S5">
        <f>IF('Product Tracker'!BL5="Yes",IF('Product Tracker'!AC5="",0,'Product Tracker'!AC5)-ROW()*0.0000001,-9999-ROW()*0.0000001)</f>
        <v/>
      </c>
      <c r="T5">
        <f>IF(OR('Product Tracker'!AY5="High",'Product Tracker'!BA5="High",AND('Product Tracker'!AB5&lt;&gt;"",'Product Tracker'!AB5&lt;=2)),IF('Product Tracker'!AC5="",0,'Product Tracker'!AC5)-ROW()*0.0000001,-9999-ROW()*0.0000001)</f>
        <v/>
      </c>
    </row>
    <row r="6" ht="15" customHeight="1">
      <c r="A6" s="34" t="inlineStr">
        <is>
          <t>TOTAL PRODUCTS</t>
        </is>
      </c>
      <c r="B6" s="35" t="n"/>
      <c r="C6" s="36" t="n"/>
      <c r="D6" s="34" t="inlineStr">
        <is>
          <t>BUY</t>
        </is>
      </c>
      <c r="E6" s="35" t="n"/>
      <c r="F6" s="36" t="n"/>
      <c r="G6" s="34" t="inlineStr">
        <is>
          <t>MAYBE</t>
        </is>
      </c>
      <c r="H6" s="35" t="n"/>
      <c r="I6" s="36" t="n"/>
      <c r="J6" s="34" t="inlineStr">
        <is>
          <t>PRICE REVIEW</t>
        </is>
      </c>
      <c r="K6" s="35" t="n"/>
      <c r="L6" s="36" t="n"/>
      <c r="R6">
        <f>IF('Product Tracker'!AD6="Buy",IF('Product Tracker'!AC6="",0,'Product Tracker'!AC6)-ROW()*0.0000001,-9999-ROW()*0.0000001)</f>
        <v/>
      </c>
      <c r="S6">
        <f>IF('Product Tracker'!BL6="Yes",IF('Product Tracker'!AC6="",0,'Product Tracker'!AC6)-ROW()*0.0000001,-9999-ROW()*0.0000001)</f>
        <v/>
      </c>
      <c r="T6">
        <f>IF(OR('Product Tracker'!AY6="High",'Product Tracker'!BA6="High",AND('Product Tracker'!AB6&lt;&gt;"",'Product Tracker'!AB6&lt;=2)),IF('Product Tracker'!AC6="",0,'Product Tracker'!AC6)-ROW()*0.0000001,-9999-ROW()*0.0000001)</f>
        <v/>
      </c>
    </row>
    <row r="7" ht="20" customHeight="1">
      <c r="A7" s="37">
        <f>COUNTA('Product Tracker'!C3:C500)</f>
        <v/>
      </c>
      <c r="B7" s="38" t="n"/>
      <c r="C7" s="39" t="n"/>
      <c r="D7" s="40">
        <f>COUNTIF('Product Tracker'!AD3:AD500,"Buy")</f>
        <v/>
      </c>
      <c r="E7" s="38" t="n"/>
      <c r="F7" s="39" t="n"/>
      <c r="G7" s="41">
        <f>COUNTIF('Product Tracker'!AD3:AD500,"Maybe")</f>
        <v/>
      </c>
      <c r="H7" s="38" t="n"/>
      <c r="I7" s="39" t="n"/>
      <c r="J7" s="42">
        <f>COUNTIF('Product Tracker'!AD3:AD500,"Price Review")</f>
        <v/>
      </c>
      <c r="K7" s="38" t="n"/>
      <c r="L7" s="39" t="n"/>
      <c r="R7">
        <f>IF('Product Tracker'!AD7="Buy",IF('Product Tracker'!AC7="",0,'Product Tracker'!AC7)-ROW()*0.0000001,-9999-ROW()*0.0000001)</f>
        <v/>
      </c>
      <c r="S7">
        <f>IF('Product Tracker'!BL7="Yes",IF('Product Tracker'!AC7="",0,'Product Tracker'!AC7)-ROW()*0.0000001,-9999-ROW()*0.0000001)</f>
        <v/>
      </c>
      <c r="T7">
        <f>IF(OR('Product Tracker'!AY7="High",'Product Tracker'!BA7="High",AND('Product Tracker'!AB7&lt;&gt;"",'Product Tracker'!AB7&lt;=2)),IF('Product Tracker'!AC7="",0,'Product Tracker'!AC7)-ROW()*0.0000001,-9999-ROW()*0.0000001)</f>
        <v/>
      </c>
    </row>
    <row r="8" ht="20" customHeight="1">
      <c r="A8" s="43" t="n"/>
      <c r="B8" s="44" t="n"/>
      <c r="C8" s="45" t="n"/>
      <c r="D8" s="43" t="n"/>
      <c r="E8" s="44" t="n"/>
      <c r="F8" s="45" t="n"/>
      <c r="G8" s="43" t="n"/>
      <c r="H8" s="44" t="n"/>
      <c r="I8" s="45" t="n"/>
      <c r="J8" s="43" t="n"/>
      <c r="K8" s="44" t="n"/>
      <c r="L8" s="45" t="n"/>
      <c r="R8">
        <f>IF('Product Tracker'!AD8="Buy",IF('Product Tracker'!AC8="",0,'Product Tracker'!AC8)-ROW()*0.0000001,-9999-ROW()*0.0000001)</f>
        <v/>
      </c>
      <c r="S8">
        <f>IF('Product Tracker'!BL8="Yes",IF('Product Tracker'!AC8="",0,'Product Tracker'!AC8)-ROW()*0.0000001,-9999-ROW()*0.0000001)</f>
        <v/>
      </c>
      <c r="T8">
        <f>IF(OR('Product Tracker'!AY8="High",'Product Tracker'!BA8="High",AND('Product Tracker'!AB8&lt;&gt;"",'Product Tracker'!AB8&lt;=2)),IF('Product Tracker'!AC8="",0,'Product Tracker'!AC8)-ROW()*0.0000001,-9999-ROW()*0.0000001)</f>
        <v/>
      </c>
    </row>
    <row r="9">
      <c r="R9">
        <f>IF('Product Tracker'!AD9="Buy",IF('Product Tracker'!AC9="",0,'Product Tracker'!AC9)-ROW()*0.0000001,-9999-ROW()*0.0000001)</f>
        <v/>
      </c>
      <c r="S9">
        <f>IF('Product Tracker'!BL9="Yes",IF('Product Tracker'!AC9="",0,'Product Tracker'!AC9)-ROW()*0.0000001,-9999-ROW()*0.0000001)</f>
        <v/>
      </c>
      <c r="T9">
        <f>IF(OR('Product Tracker'!AY9="High",'Product Tracker'!BA9="High",AND('Product Tracker'!AB9&lt;&gt;"",'Product Tracker'!AB9&lt;=2)),IF('Product Tracker'!AC9="",0,'Product Tracker'!AC9)-ROW()*0.0000001,-9999-ROW()*0.0000001)</f>
        <v/>
      </c>
    </row>
    <row r="10" ht="15" customHeight="1">
      <c r="A10" s="34" t="inlineStr">
        <is>
          <t>REJECT</t>
        </is>
      </c>
      <c r="B10" s="35" t="n"/>
      <c r="C10" s="36" t="n"/>
      <c r="D10" s="34" t="inlineStr">
        <is>
          <t>WEBSITE READY</t>
        </is>
      </c>
      <c r="E10" s="35" t="n"/>
      <c r="F10" s="36" t="n"/>
      <c r="G10" s="34" t="inlineStr">
        <is>
          <t>HIGH RISK</t>
        </is>
      </c>
      <c r="H10" s="35" t="n"/>
      <c r="I10" s="36" t="n"/>
      <c r="J10" s="34" t="inlineStr">
        <is>
          <t>APPROVED COST</t>
        </is>
      </c>
      <c r="K10" s="35" t="n"/>
      <c r="L10" s="36" t="n"/>
      <c r="R10">
        <f>IF('Product Tracker'!AD10="Buy",IF('Product Tracker'!AC10="",0,'Product Tracker'!AC10)-ROW()*0.0000001,-9999-ROW()*0.0000001)</f>
        <v/>
      </c>
      <c r="S10">
        <f>IF('Product Tracker'!BL10="Yes",IF('Product Tracker'!AC10="",0,'Product Tracker'!AC10)-ROW()*0.0000001,-9999-ROW()*0.0000001)</f>
        <v/>
      </c>
      <c r="T10">
        <f>IF(OR('Product Tracker'!AY10="High",'Product Tracker'!BA10="High",AND('Product Tracker'!AB10&lt;&gt;"",'Product Tracker'!AB10&lt;=2)),IF('Product Tracker'!AC10="",0,'Product Tracker'!AC10)-ROW()*0.0000001,-9999-ROW()*0.0000001)</f>
        <v/>
      </c>
    </row>
    <row r="11" ht="20" customHeight="1">
      <c r="A11" s="46">
        <f>COUNTIF('Product Tracker'!AD3:AD500,"Reject")</f>
        <v/>
      </c>
      <c r="B11" s="38" t="n"/>
      <c r="C11" s="39" t="n"/>
      <c r="D11" s="40">
        <f>COUNTIF('Product Tracker'!BL3:BL500,"Yes")</f>
        <v/>
      </c>
      <c r="E11" s="38" t="n"/>
      <c r="F11" s="39" t="n"/>
      <c r="G11" s="46">
        <f>SUMPRODUCT(--(('Product Tracker'!AY3:AY500="High")+('Product Tracker'!BA3:BA500="High")+(('Product Tracker'!AB3:AB500&lt;&gt;"")*('Product Tracker'!AB3:AB500&lt;=2))&gt;0))</f>
        <v/>
      </c>
      <c r="H11" s="38" t="n"/>
      <c r="I11" s="39" t="n"/>
      <c r="J11" s="47">
        <f>SUMIF('Product Tracker'!AG3:AG500,"Approved",'Product Tracker'!AW3:AW500)</f>
        <v/>
      </c>
      <c r="K11" s="38" t="n"/>
      <c r="L11" s="39" t="n"/>
      <c r="R11">
        <f>IF('Product Tracker'!AD11="Buy",IF('Product Tracker'!AC11="",0,'Product Tracker'!AC11)-ROW()*0.0000001,-9999-ROW()*0.0000001)</f>
        <v/>
      </c>
      <c r="S11">
        <f>IF('Product Tracker'!BL11="Yes",IF('Product Tracker'!AC11="",0,'Product Tracker'!AC11)-ROW()*0.0000001,-9999-ROW()*0.0000001)</f>
        <v/>
      </c>
      <c r="T11">
        <f>IF(OR('Product Tracker'!AY11="High",'Product Tracker'!BA11="High",AND('Product Tracker'!AB11&lt;&gt;"",'Product Tracker'!AB11&lt;=2)),IF('Product Tracker'!AC11="",0,'Product Tracker'!AC11)-ROW()*0.0000001,-9999-ROW()*0.0000001)</f>
        <v/>
      </c>
    </row>
    <row r="12" ht="20" customHeight="1">
      <c r="A12" s="43" t="n"/>
      <c r="B12" s="44" t="n"/>
      <c r="C12" s="45" t="n"/>
      <c r="D12" s="43" t="n"/>
      <c r="E12" s="44" t="n"/>
      <c r="F12" s="45" t="n"/>
      <c r="G12" s="43" t="n"/>
      <c r="H12" s="44" t="n"/>
      <c r="I12" s="45" t="n"/>
      <c r="J12" s="43" t="n"/>
      <c r="K12" s="44" t="n"/>
      <c r="L12" s="45" t="n"/>
      <c r="R12">
        <f>IF('Product Tracker'!AD12="Buy",IF('Product Tracker'!AC12="",0,'Product Tracker'!AC12)-ROW()*0.0000001,-9999-ROW()*0.0000001)</f>
        <v/>
      </c>
      <c r="S12">
        <f>IF('Product Tracker'!BL12="Yes",IF('Product Tracker'!AC12="",0,'Product Tracker'!AC12)-ROW()*0.0000001,-9999-ROW()*0.0000001)</f>
        <v/>
      </c>
      <c r="T12">
        <f>IF(OR('Product Tracker'!AY12="High",'Product Tracker'!BA12="High",AND('Product Tracker'!AB12&lt;&gt;"",'Product Tracker'!AB12&lt;=2)),IF('Product Tracker'!AC12="",0,'Product Tracker'!AC12)-ROW()*0.0000001,-9999-ROW()*0.0000001)</f>
        <v/>
      </c>
    </row>
    <row r="13">
      <c r="R13">
        <f>IF('Product Tracker'!AD13="Buy",IF('Product Tracker'!AC13="",0,'Product Tracker'!AC13)-ROW()*0.0000001,-9999-ROW()*0.0000001)</f>
        <v/>
      </c>
      <c r="S13">
        <f>IF('Product Tracker'!BL13="Yes",IF('Product Tracker'!AC13="",0,'Product Tracker'!AC13)-ROW()*0.0000001,-9999-ROW()*0.0000001)</f>
        <v/>
      </c>
      <c r="T13">
        <f>IF(OR('Product Tracker'!AY13="High",'Product Tracker'!BA13="High",AND('Product Tracker'!AB13&lt;&gt;"",'Product Tracker'!AB13&lt;=2)),IF('Product Tracker'!AC13="",0,'Product Tracker'!AC13)-ROW()*0.0000001,-9999-ROW()*0.0000001)</f>
        <v/>
      </c>
    </row>
    <row r="14" ht="22" customHeight="1">
      <c r="A14" s="33" t="inlineStr">
        <is>
          <t>BUDGET OVERVIEW</t>
        </is>
      </c>
      <c r="R14">
        <f>IF('Product Tracker'!AD14="Buy",IF('Product Tracker'!AC14="",0,'Product Tracker'!AC14)-ROW()*0.0000001,-9999-ROW()*0.0000001)</f>
        <v/>
      </c>
      <c r="S14">
        <f>IF('Product Tracker'!BL14="Yes",IF('Product Tracker'!AC14="",0,'Product Tracker'!AC14)-ROW()*0.0000001,-9999-ROW()*0.0000001)</f>
        <v/>
      </c>
      <c r="T14">
        <f>IF(OR('Product Tracker'!AY14="High",'Product Tracker'!BA14="High",AND('Product Tracker'!AB14&lt;&gt;"",'Product Tracker'!AB14&lt;=2)),IF('Product Tracker'!AC14="",0,'Product Tracker'!AC14)-ROW()*0.0000001,-9999-ROW()*0.0000001)</f>
        <v/>
      </c>
    </row>
    <row r="15" ht="15" customHeight="1">
      <c r="A15" s="34" t="inlineStr">
        <is>
          <t>APPROVED PURCHASE COST</t>
        </is>
      </c>
      <c r="B15" s="35" t="n"/>
      <c r="C15" s="36" t="n"/>
      <c r="D15" s="34" t="inlineStr">
        <is>
          <t>REMAINING BUDGET</t>
        </is>
      </c>
      <c r="E15" s="35" t="n"/>
      <c r="F15" s="36" t="n"/>
      <c r="G15" s="34" t="inlineStr">
        <is>
          <t>APPROVED QUANTITY</t>
        </is>
      </c>
      <c r="H15" s="35" t="n"/>
      <c r="I15" s="36" t="n"/>
      <c r="J15" s="34" t="inlineStr">
        <is>
          <t>APPROVED PRODUCTS</t>
        </is>
      </c>
      <c r="K15" s="35" t="n"/>
      <c r="L15" s="36" t="n"/>
      <c r="R15">
        <f>IF('Product Tracker'!AD15="Buy",IF('Product Tracker'!AC15="",0,'Product Tracker'!AC15)-ROW()*0.0000001,-9999-ROW()*0.0000001)</f>
        <v/>
      </c>
      <c r="S15">
        <f>IF('Product Tracker'!BL15="Yes",IF('Product Tracker'!AC15="",0,'Product Tracker'!AC15)-ROW()*0.0000001,-9999-ROW()*0.0000001)</f>
        <v/>
      </c>
      <c r="T15">
        <f>IF(OR('Product Tracker'!AY15="High",'Product Tracker'!BA15="High",AND('Product Tracker'!AB15&lt;&gt;"",'Product Tracker'!AB15&lt;=2)),IF('Product Tracker'!AC15="",0,'Product Tracker'!AC15)-ROW()*0.0000001,-9999-ROW()*0.0000001)</f>
        <v/>
      </c>
    </row>
    <row r="16" ht="20" customHeight="1">
      <c r="A16" s="48">
        <f>SUMIF('Product Tracker'!AG3:AG500,"Approved",'Product Tracker'!AW3:AW500)</f>
        <v/>
      </c>
      <c r="B16" s="38" t="n"/>
      <c r="C16" s="39" t="n"/>
      <c r="D16" s="49">
        <f>MONTHLY_BUDGET-A16</f>
        <v/>
      </c>
      <c r="E16" s="38" t="n"/>
      <c r="F16" s="39" t="n"/>
      <c r="G16" s="50">
        <f>SUMIF('Product Tracker'!AG3:AG500,"Approved",'Product Tracker'!AV3:AV500)</f>
        <v/>
      </c>
      <c r="H16" s="38" t="n"/>
      <c r="I16" s="39" t="n"/>
      <c r="J16" s="50">
        <f>COUNTIF('Product Tracker'!AG3:AG500,"Approved")</f>
        <v/>
      </c>
      <c r="K16" s="38" t="n"/>
      <c r="L16" s="39" t="n"/>
      <c r="R16">
        <f>IF('Product Tracker'!AD16="Buy",IF('Product Tracker'!AC16="",0,'Product Tracker'!AC16)-ROW()*0.0000001,-9999-ROW()*0.0000001)</f>
        <v/>
      </c>
      <c r="S16">
        <f>IF('Product Tracker'!BL16="Yes",IF('Product Tracker'!AC16="",0,'Product Tracker'!AC16)-ROW()*0.0000001,-9999-ROW()*0.0000001)</f>
        <v/>
      </c>
      <c r="T16">
        <f>IF(OR('Product Tracker'!AY16="High",'Product Tracker'!BA16="High",AND('Product Tracker'!AB16&lt;&gt;"",'Product Tracker'!AB16&lt;=2)),IF('Product Tracker'!AC16="",0,'Product Tracker'!AC16)-ROW()*0.0000001,-9999-ROW()*0.0000001)</f>
        <v/>
      </c>
    </row>
    <row r="17" ht="20" customHeight="1">
      <c r="A17" s="43" t="n"/>
      <c r="B17" s="44" t="n"/>
      <c r="C17" s="45" t="n"/>
      <c r="D17" s="43" t="n"/>
      <c r="E17" s="44" t="n"/>
      <c r="F17" s="45" t="n"/>
      <c r="G17" s="43" t="n"/>
      <c r="H17" s="44" t="n"/>
      <c r="I17" s="45" t="n"/>
      <c r="J17" s="43" t="n"/>
      <c r="K17" s="44" t="n"/>
      <c r="L17" s="45" t="n"/>
      <c r="R17">
        <f>IF('Product Tracker'!AD17="Buy",IF('Product Tracker'!AC17="",0,'Product Tracker'!AC17)-ROW()*0.0000001,-9999-ROW()*0.0000001)</f>
        <v/>
      </c>
      <c r="S17">
        <f>IF('Product Tracker'!BL17="Yes",IF('Product Tracker'!AC17="",0,'Product Tracker'!AC17)-ROW()*0.0000001,-9999-ROW()*0.0000001)</f>
        <v/>
      </c>
      <c r="T17">
        <f>IF(OR('Product Tracker'!AY17="High",'Product Tracker'!BA17="High",AND('Product Tracker'!AB17&lt;&gt;"",'Product Tracker'!AB17&lt;=2)),IF('Product Tracker'!AC17="",0,'Product Tracker'!AC17)-ROW()*0.0000001,-9999-ROW()*0.0000001)</f>
        <v/>
      </c>
    </row>
    <row r="18" ht="22" customHeight="1">
      <c r="A18" s="51" t="inlineStr">
        <is>
          <t>BUDGET USED</t>
        </is>
      </c>
      <c r="B18" s="52" t="n"/>
      <c r="C18" s="52" t="n"/>
      <c r="D18" s="53">
        <f>IF(MONTHLY_BUDGET=0,"",A16/MONTHLY_BUDGET)</f>
        <v/>
      </c>
      <c r="E18" s="52" t="n"/>
      <c r="F18" s="52" t="n"/>
      <c r="G18" s="52" t="n"/>
      <c r="H18" s="52" t="n"/>
      <c r="I18" s="52" t="n"/>
      <c r="J18" s="52" t="n"/>
      <c r="K18" s="52" t="n"/>
      <c r="L18" s="52" t="n"/>
      <c r="R18">
        <f>IF('Product Tracker'!AD18="Buy",IF('Product Tracker'!AC18="",0,'Product Tracker'!AC18)-ROW()*0.0000001,-9999-ROW()*0.0000001)</f>
        <v/>
      </c>
      <c r="S18">
        <f>IF('Product Tracker'!BL18="Yes",IF('Product Tracker'!AC18="",0,'Product Tracker'!AC18)-ROW()*0.0000001,-9999-ROW()*0.0000001)</f>
        <v/>
      </c>
      <c r="T18">
        <f>IF(OR('Product Tracker'!AY18="High",'Product Tracker'!BA18="High",AND('Product Tracker'!AB18&lt;&gt;"",'Product Tracker'!AB18&lt;=2)),IF('Product Tracker'!AC18="",0,'Product Tracker'!AC18)-ROW()*0.0000001,-9999-ROW()*0.0000001)</f>
        <v/>
      </c>
    </row>
    <row r="19">
      <c r="R19">
        <f>IF('Product Tracker'!AD19="Buy",IF('Product Tracker'!AC19="",0,'Product Tracker'!AC19)-ROW()*0.0000001,-9999-ROW()*0.0000001)</f>
        <v/>
      </c>
      <c r="S19">
        <f>IF('Product Tracker'!BL19="Yes",IF('Product Tracker'!AC19="",0,'Product Tracker'!AC19)-ROW()*0.0000001,-9999-ROW()*0.0000001)</f>
        <v/>
      </c>
      <c r="T19">
        <f>IF(OR('Product Tracker'!AY19="High",'Product Tracker'!BA19="High",AND('Product Tracker'!AB19&lt;&gt;"",'Product Tracker'!AB19&lt;=2)),IF('Product Tracker'!AC19="",0,'Product Tracker'!AC19)-ROW()*0.0000001,-9999-ROW()*0.0000001)</f>
        <v/>
      </c>
    </row>
    <row r="20" ht="22" customHeight="1">
      <c r="A20" s="33" t="inlineStr">
        <is>
          <t>TOP PRODUCTS TO BUY</t>
        </is>
      </c>
      <c r="R20">
        <f>IF('Product Tracker'!AD20="Buy",IF('Product Tracker'!AC20="",0,'Product Tracker'!AC20)-ROW()*0.0000001,-9999-ROW()*0.0000001)</f>
        <v/>
      </c>
      <c r="S20">
        <f>IF('Product Tracker'!BL20="Yes",IF('Product Tracker'!AC20="",0,'Product Tracker'!AC20)-ROW()*0.0000001,-9999-ROW()*0.0000001)</f>
        <v/>
      </c>
      <c r="T20">
        <f>IF(OR('Product Tracker'!AY20="High",'Product Tracker'!BA20="High",AND('Product Tracker'!AB20&lt;&gt;"",'Product Tracker'!AB20&lt;=2)),IF('Product Tracker'!AC20="",0,'Product Tracker'!AC20)-ROW()*0.0000001,-9999-ROW()*0.0000001)</f>
        <v/>
      </c>
    </row>
    <row r="21" ht="18" customHeight="1">
      <c r="A21" s="54" t="inlineStr">
        <is>
          <t>Rank</t>
        </is>
      </c>
      <c r="B21" s="54" t="inlineStr">
        <is>
          <t>Product Name</t>
        </is>
      </c>
      <c r="C21" s="55" t="n"/>
      <c r="D21" s="55" t="n"/>
      <c r="E21" s="55" t="n"/>
      <c r="F21" s="54" t="inlineStr">
        <is>
          <t>SKU</t>
        </is>
      </c>
      <c r="G21" s="55" t="n"/>
      <c r="H21" s="54" t="inlineStr">
        <is>
          <t>Score</t>
        </is>
      </c>
      <c r="I21" s="54" t="inlineStr">
        <is>
          <t>Decision</t>
        </is>
      </c>
      <c r="J21" s="55" t="n"/>
      <c r="K21" s="54" t="inlineStr">
        <is>
          <t>Suggested Price</t>
        </is>
      </c>
      <c r="L21" s="55" t="n"/>
      <c r="R21">
        <f>IF('Product Tracker'!AD21="Buy",IF('Product Tracker'!AC21="",0,'Product Tracker'!AC21)-ROW()*0.0000001,-9999-ROW()*0.0000001)</f>
        <v/>
      </c>
      <c r="S21">
        <f>IF('Product Tracker'!BL21="Yes",IF('Product Tracker'!AC21="",0,'Product Tracker'!AC21)-ROW()*0.0000001,-9999-ROW()*0.0000001)</f>
        <v/>
      </c>
      <c r="T21">
        <f>IF(OR('Product Tracker'!AY21="High",'Product Tracker'!BA21="High",AND('Product Tracker'!AB21&lt;&gt;"",'Product Tracker'!AB21&lt;=2)),IF('Product Tracker'!AC21="",0,'Product Tracker'!AC21)-ROW()*0.0000001,-9999-ROW()*0.0000001)</f>
        <v/>
      </c>
    </row>
    <row r="22" ht="16" customHeight="1">
      <c r="A22" s="56" t="n">
        <v>1</v>
      </c>
      <c r="B22" s="57">
        <f>IF(LARGE($R$3:$R$500,1)&gt;-9000,IFERROR(INDEX('Product Tracker'!$C$3:$C$500,MATCH(LARGE($R$3:$R$500,1),$R$3:$R$500,0)),""),"")</f>
        <v/>
      </c>
      <c r="C22" s="57" t="n"/>
      <c r="D22" s="57" t="n"/>
      <c r="E22" s="57" t="n"/>
      <c r="F22" s="57">
        <f>IF(LARGE($R$3:$R$500,1)&gt;-9000,IFERROR(INDEX('Product Tracker'!$A$3:$A$500,MATCH(LARGE($R$3:$R$500,1),$R$3:$R$500,0)),""),"")</f>
        <v/>
      </c>
      <c r="G22" s="57" t="n"/>
      <c r="H22" s="58">
        <f>IF(LARGE($R$3:$R$500,1)&gt;-9000,IFERROR(INDEX('Product Tracker'!$AC$3:$AC$500,MATCH(LARGE($R$3:$R$500,1),$R$3:$R$500,0)),""),"")</f>
        <v/>
      </c>
      <c r="I22" s="56">
        <f>IF(LARGE($R$3:$R$500,1)&gt;-9000,IFERROR(INDEX('Product Tracker'!$AD$3:$AD$500,MATCH(LARGE($R$3:$R$500,1),$R$3:$R$500,0)),""),"")</f>
        <v/>
      </c>
      <c r="J22" s="57" t="n"/>
      <c r="K22" s="59">
        <f>IF(LARGE($R$3:$R$500,1)&gt;-9000,IFERROR(INDEX('Product Tracker'!$P$3:$P$500,MATCH(LARGE($R$3:$R$500,1),$R$3:$R$500,0)),""),"")</f>
        <v/>
      </c>
      <c r="L22" s="57" t="n"/>
      <c r="R22">
        <f>IF('Product Tracker'!AD22="Buy",IF('Product Tracker'!AC22="",0,'Product Tracker'!AC22)-ROW()*0.0000001,-9999-ROW()*0.0000001)</f>
        <v/>
      </c>
      <c r="S22">
        <f>IF('Product Tracker'!BL22="Yes",IF('Product Tracker'!AC22="",0,'Product Tracker'!AC22)-ROW()*0.0000001,-9999-ROW()*0.0000001)</f>
        <v/>
      </c>
      <c r="T22">
        <f>IF(OR('Product Tracker'!AY22="High",'Product Tracker'!BA22="High",AND('Product Tracker'!AB22&lt;&gt;"",'Product Tracker'!AB22&lt;=2)),IF('Product Tracker'!AC22="",0,'Product Tracker'!AC22)-ROW()*0.0000001,-9999-ROW()*0.0000001)</f>
        <v/>
      </c>
    </row>
    <row r="23" ht="16" customHeight="1">
      <c r="A23" s="60" t="n">
        <v>2</v>
      </c>
      <c r="B23" s="61">
        <f>IF(LARGE($R$3:$R$500,2)&gt;-9000,IFERROR(INDEX('Product Tracker'!$C$3:$C$500,MATCH(LARGE($R$3:$R$500,2),$R$3:$R$500,0)),""),"")</f>
        <v/>
      </c>
      <c r="C23" s="61" t="n"/>
      <c r="D23" s="61" t="n"/>
      <c r="E23" s="61" t="n"/>
      <c r="F23" s="61">
        <f>IF(LARGE($R$3:$R$500,2)&gt;-9000,IFERROR(INDEX('Product Tracker'!$A$3:$A$500,MATCH(LARGE($R$3:$R$500,2),$R$3:$R$500,0)),""),"")</f>
        <v/>
      </c>
      <c r="G23" s="61" t="n"/>
      <c r="H23" s="62">
        <f>IF(LARGE($R$3:$R$500,2)&gt;-9000,IFERROR(INDEX('Product Tracker'!$AC$3:$AC$500,MATCH(LARGE($R$3:$R$500,2),$R$3:$R$500,0)),""),"")</f>
        <v/>
      </c>
      <c r="I23" s="60">
        <f>IF(LARGE($R$3:$R$500,2)&gt;-9000,IFERROR(INDEX('Product Tracker'!$AD$3:$AD$500,MATCH(LARGE($R$3:$R$500,2),$R$3:$R$500,0)),""),"")</f>
        <v/>
      </c>
      <c r="J23" s="61" t="n"/>
      <c r="K23" s="63">
        <f>IF(LARGE($R$3:$R$500,2)&gt;-9000,IFERROR(INDEX('Product Tracker'!$P$3:$P$500,MATCH(LARGE($R$3:$R$500,2),$R$3:$R$500,0)),""),"")</f>
        <v/>
      </c>
      <c r="L23" s="61" t="n"/>
      <c r="R23">
        <f>IF('Product Tracker'!AD23="Buy",IF('Product Tracker'!AC23="",0,'Product Tracker'!AC23)-ROW()*0.0000001,-9999-ROW()*0.0000001)</f>
        <v/>
      </c>
      <c r="S23">
        <f>IF('Product Tracker'!BL23="Yes",IF('Product Tracker'!AC23="",0,'Product Tracker'!AC23)-ROW()*0.0000001,-9999-ROW()*0.0000001)</f>
        <v/>
      </c>
      <c r="T23">
        <f>IF(OR('Product Tracker'!AY23="High",'Product Tracker'!BA23="High",AND('Product Tracker'!AB23&lt;&gt;"",'Product Tracker'!AB23&lt;=2)),IF('Product Tracker'!AC23="",0,'Product Tracker'!AC23)-ROW()*0.0000001,-9999-ROW()*0.0000001)</f>
        <v/>
      </c>
    </row>
    <row r="24" ht="16" customHeight="1">
      <c r="A24" s="56" t="n">
        <v>3</v>
      </c>
      <c r="B24" s="57">
        <f>IF(LARGE($R$3:$R$500,3)&gt;-9000,IFERROR(INDEX('Product Tracker'!$C$3:$C$500,MATCH(LARGE($R$3:$R$500,3),$R$3:$R$500,0)),""),"")</f>
        <v/>
      </c>
      <c r="C24" s="57" t="n"/>
      <c r="D24" s="57" t="n"/>
      <c r="E24" s="57" t="n"/>
      <c r="F24" s="57">
        <f>IF(LARGE($R$3:$R$500,3)&gt;-9000,IFERROR(INDEX('Product Tracker'!$A$3:$A$500,MATCH(LARGE($R$3:$R$500,3),$R$3:$R$500,0)),""),"")</f>
        <v/>
      </c>
      <c r="G24" s="57" t="n"/>
      <c r="H24" s="58">
        <f>IF(LARGE($R$3:$R$500,3)&gt;-9000,IFERROR(INDEX('Product Tracker'!$AC$3:$AC$500,MATCH(LARGE($R$3:$R$500,3),$R$3:$R$500,0)),""),"")</f>
        <v/>
      </c>
      <c r="I24" s="56">
        <f>IF(LARGE($R$3:$R$500,3)&gt;-9000,IFERROR(INDEX('Product Tracker'!$AD$3:$AD$500,MATCH(LARGE($R$3:$R$500,3),$R$3:$R$500,0)),""),"")</f>
        <v/>
      </c>
      <c r="J24" s="57" t="n"/>
      <c r="K24" s="59">
        <f>IF(LARGE($R$3:$R$500,3)&gt;-9000,IFERROR(INDEX('Product Tracker'!$P$3:$P$500,MATCH(LARGE($R$3:$R$500,3),$R$3:$R$500,0)),""),"")</f>
        <v/>
      </c>
      <c r="L24" s="57" t="n"/>
      <c r="R24">
        <f>IF('Product Tracker'!AD24="Buy",IF('Product Tracker'!AC24="",0,'Product Tracker'!AC24)-ROW()*0.0000001,-9999-ROW()*0.0000001)</f>
        <v/>
      </c>
      <c r="S24">
        <f>IF('Product Tracker'!BL24="Yes",IF('Product Tracker'!AC24="",0,'Product Tracker'!AC24)-ROW()*0.0000001,-9999-ROW()*0.0000001)</f>
        <v/>
      </c>
      <c r="T24">
        <f>IF(OR('Product Tracker'!AY24="High",'Product Tracker'!BA24="High",AND('Product Tracker'!AB24&lt;&gt;"",'Product Tracker'!AB24&lt;=2)),IF('Product Tracker'!AC24="",0,'Product Tracker'!AC24)-ROW()*0.0000001,-9999-ROW()*0.0000001)</f>
        <v/>
      </c>
    </row>
    <row r="25" ht="16" customHeight="1">
      <c r="A25" s="60" t="n">
        <v>4</v>
      </c>
      <c r="B25" s="61">
        <f>IF(LARGE($R$3:$R$500,4)&gt;-9000,IFERROR(INDEX('Product Tracker'!$C$3:$C$500,MATCH(LARGE($R$3:$R$500,4),$R$3:$R$500,0)),""),"")</f>
        <v/>
      </c>
      <c r="C25" s="61" t="n"/>
      <c r="D25" s="61" t="n"/>
      <c r="E25" s="61" t="n"/>
      <c r="F25" s="61">
        <f>IF(LARGE($R$3:$R$500,4)&gt;-9000,IFERROR(INDEX('Product Tracker'!$A$3:$A$500,MATCH(LARGE($R$3:$R$500,4),$R$3:$R$500,0)),""),"")</f>
        <v/>
      </c>
      <c r="G25" s="61" t="n"/>
      <c r="H25" s="62">
        <f>IF(LARGE($R$3:$R$500,4)&gt;-9000,IFERROR(INDEX('Product Tracker'!$AC$3:$AC$500,MATCH(LARGE($R$3:$R$500,4),$R$3:$R$500,0)),""),"")</f>
        <v/>
      </c>
      <c r="I25" s="60">
        <f>IF(LARGE($R$3:$R$500,4)&gt;-9000,IFERROR(INDEX('Product Tracker'!$AD$3:$AD$500,MATCH(LARGE($R$3:$R$500,4),$R$3:$R$500,0)),""),"")</f>
        <v/>
      </c>
      <c r="J25" s="61" t="n"/>
      <c r="K25" s="63">
        <f>IF(LARGE($R$3:$R$500,4)&gt;-9000,IFERROR(INDEX('Product Tracker'!$P$3:$P$500,MATCH(LARGE($R$3:$R$500,4),$R$3:$R$500,0)),""),"")</f>
        <v/>
      </c>
      <c r="L25" s="61" t="n"/>
      <c r="R25">
        <f>IF('Product Tracker'!AD25="Buy",IF('Product Tracker'!AC25="",0,'Product Tracker'!AC25)-ROW()*0.0000001,-9999-ROW()*0.0000001)</f>
        <v/>
      </c>
      <c r="S25">
        <f>IF('Product Tracker'!BL25="Yes",IF('Product Tracker'!AC25="",0,'Product Tracker'!AC25)-ROW()*0.0000001,-9999-ROW()*0.0000001)</f>
        <v/>
      </c>
      <c r="T25">
        <f>IF(OR('Product Tracker'!AY25="High",'Product Tracker'!BA25="High",AND('Product Tracker'!AB25&lt;&gt;"",'Product Tracker'!AB25&lt;=2)),IF('Product Tracker'!AC25="",0,'Product Tracker'!AC25)-ROW()*0.0000001,-9999-ROW()*0.0000001)</f>
        <v/>
      </c>
    </row>
    <row r="26" ht="16" customHeight="1">
      <c r="A26" s="56" t="n">
        <v>5</v>
      </c>
      <c r="B26" s="57">
        <f>IF(LARGE($R$3:$R$500,5)&gt;-9000,IFERROR(INDEX('Product Tracker'!$C$3:$C$500,MATCH(LARGE($R$3:$R$500,5),$R$3:$R$500,0)),""),"")</f>
        <v/>
      </c>
      <c r="C26" s="57" t="n"/>
      <c r="D26" s="57" t="n"/>
      <c r="E26" s="57" t="n"/>
      <c r="F26" s="57">
        <f>IF(LARGE($R$3:$R$500,5)&gt;-9000,IFERROR(INDEX('Product Tracker'!$A$3:$A$500,MATCH(LARGE($R$3:$R$500,5),$R$3:$R$500,0)),""),"")</f>
        <v/>
      </c>
      <c r="G26" s="57" t="n"/>
      <c r="H26" s="58">
        <f>IF(LARGE($R$3:$R$500,5)&gt;-9000,IFERROR(INDEX('Product Tracker'!$AC$3:$AC$500,MATCH(LARGE($R$3:$R$500,5),$R$3:$R$500,0)),""),"")</f>
        <v/>
      </c>
      <c r="I26" s="56">
        <f>IF(LARGE($R$3:$R$500,5)&gt;-9000,IFERROR(INDEX('Product Tracker'!$AD$3:$AD$500,MATCH(LARGE($R$3:$R$500,5),$R$3:$R$500,0)),""),"")</f>
        <v/>
      </c>
      <c r="J26" s="57" t="n"/>
      <c r="K26" s="59">
        <f>IF(LARGE($R$3:$R$500,5)&gt;-9000,IFERROR(INDEX('Product Tracker'!$P$3:$P$500,MATCH(LARGE($R$3:$R$500,5),$R$3:$R$500,0)),""),"")</f>
        <v/>
      </c>
      <c r="L26" s="57" t="n"/>
      <c r="R26">
        <f>IF('Product Tracker'!AD26="Buy",IF('Product Tracker'!AC26="",0,'Product Tracker'!AC26)-ROW()*0.0000001,-9999-ROW()*0.0000001)</f>
        <v/>
      </c>
      <c r="S26">
        <f>IF('Product Tracker'!BL26="Yes",IF('Product Tracker'!AC26="",0,'Product Tracker'!AC26)-ROW()*0.0000001,-9999-ROW()*0.0000001)</f>
        <v/>
      </c>
      <c r="T26">
        <f>IF(OR('Product Tracker'!AY26="High",'Product Tracker'!BA26="High",AND('Product Tracker'!AB26&lt;&gt;"",'Product Tracker'!AB26&lt;=2)),IF('Product Tracker'!AC26="",0,'Product Tracker'!AC26)-ROW()*0.0000001,-9999-ROW()*0.0000001)</f>
        <v/>
      </c>
    </row>
    <row r="27" ht="16" customHeight="1">
      <c r="A27" s="60" t="n">
        <v>6</v>
      </c>
      <c r="B27" s="61">
        <f>IF(LARGE($R$3:$R$500,6)&gt;-9000,IFERROR(INDEX('Product Tracker'!$C$3:$C$500,MATCH(LARGE($R$3:$R$500,6),$R$3:$R$500,0)),""),"")</f>
        <v/>
      </c>
      <c r="C27" s="61" t="n"/>
      <c r="D27" s="61" t="n"/>
      <c r="E27" s="61" t="n"/>
      <c r="F27" s="61">
        <f>IF(LARGE($R$3:$R$500,6)&gt;-9000,IFERROR(INDEX('Product Tracker'!$A$3:$A$500,MATCH(LARGE($R$3:$R$500,6),$R$3:$R$500,0)),""),"")</f>
        <v/>
      </c>
      <c r="G27" s="61" t="n"/>
      <c r="H27" s="62">
        <f>IF(LARGE($R$3:$R$500,6)&gt;-9000,IFERROR(INDEX('Product Tracker'!$AC$3:$AC$500,MATCH(LARGE($R$3:$R$500,6),$R$3:$R$500,0)),""),"")</f>
        <v/>
      </c>
      <c r="I27" s="60">
        <f>IF(LARGE($R$3:$R$500,6)&gt;-9000,IFERROR(INDEX('Product Tracker'!$AD$3:$AD$500,MATCH(LARGE($R$3:$R$500,6),$R$3:$R$500,0)),""),"")</f>
        <v/>
      </c>
      <c r="J27" s="61" t="n"/>
      <c r="K27" s="63">
        <f>IF(LARGE($R$3:$R$500,6)&gt;-9000,IFERROR(INDEX('Product Tracker'!$P$3:$P$500,MATCH(LARGE($R$3:$R$500,6),$R$3:$R$500,0)),""),"")</f>
        <v/>
      </c>
      <c r="L27" s="61" t="n"/>
      <c r="R27">
        <f>IF('Product Tracker'!AD27="Buy",IF('Product Tracker'!AC27="",0,'Product Tracker'!AC27)-ROW()*0.0000001,-9999-ROW()*0.0000001)</f>
        <v/>
      </c>
      <c r="S27">
        <f>IF('Product Tracker'!BL27="Yes",IF('Product Tracker'!AC27="",0,'Product Tracker'!AC27)-ROW()*0.0000001,-9999-ROW()*0.0000001)</f>
        <v/>
      </c>
      <c r="T27">
        <f>IF(OR('Product Tracker'!AY27="High",'Product Tracker'!BA27="High",AND('Product Tracker'!AB27&lt;&gt;"",'Product Tracker'!AB27&lt;=2)),IF('Product Tracker'!AC27="",0,'Product Tracker'!AC27)-ROW()*0.0000001,-9999-ROW()*0.0000001)</f>
        <v/>
      </c>
    </row>
    <row r="28" ht="16" customHeight="1">
      <c r="A28" s="56" t="n">
        <v>7</v>
      </c>
      <c r="B28" s="57">
        <f>IF(LARGE($R$3:$R$500,7)&gt;-9000,IFERROR(INDEX('Product Tracker'!$C$3:$C$500,MATCH(LARGE($R$3:$R$500,7),$R$3:$R$500,0)),""),"")</f>
        <v/>
      </c>
      <c r="C28" s="57" t="n"/>
      <c r="D28" s="57" t="n"/>
      <c r="E28" s="57" t="n"/>
      <c r="F28" s="57">
        <f>IF(LARGE($R$3:$R$500,7)&gt;-9000,IFERROR(INDEX('Product Tracker'!$A$3:$A$500,MATCH(LARGE($R$3:$R$500,7),$R$3:$R$500,0)),""),"")</f>
        <v/>
      </c>
      <c r="G28" s="57" t="n"/>
      <c r="H28" s="58">
        <f>IF(LARGE($R$3:$R$500,7)&gt;-9000,IFERROR(INDEX('Product Tracker'!$AC$3:$AC$500,MATCH(LARGE($R$3:$R$500,7),$R$3:$R$500,0)),""),"")</f>
        <v/>
      </c>
      <c r="I28" s="56">
        <f>IF(LARGE($R$3:$R$500,7)&gt;-9000,IFERROR(INDEX('Product Tracker'!$AD$3:$AD$500,MATCH(LARGE($R$3:$R$500,7),$R$3:$R$500,0)),""),"")</f>
        <v/>
      </c>
      <c r="J28" s="57" t="n"/>
      <c r="K28" s="59">
        <f>IF(LARGE($R$3:$R$500,7)&gt;-9000,IFERROR(INDEX('Product Tracker'!$P$3:$P$500,MATCH(LARGE($R$3:$R$500,7),$R$3:$R$500,0)),""),"")</f>
        <v/>
      </c>
      <c r="L28" s="57" t="n"/>
      <c r="R28">
        <f>IF('Product Tracker'!AD28="Buy",IF('Product Tracker'!AC28="",0,'Product Tracker'!AC28)-ROW()*0.0000001,-9999-ROW()*0.0000001)</f>
        <v/>
      </c>
      <c r="S28">
        <f>IF('Product Tracker'!BL28="Yes",IF('Product Tracker'!AC28="",0,'Product Tracker'!AC28)-ROW()*0.0000001,-9999-ROW()*0.0000001)</f>
        <v/>
      </c>
      <c r="T28">
        <f>IF(OR('Product Tracker'!AY28="High",'Product Tracker'!BA28="High",AND('Product Tracker'!AB28&lt;&gt;"",'Product Tracker'!AB28&lt;=2)),IF('Product Tracker'!AC28="",0,'Product Tracker'!AC28)-ROW()*0.0000001,-9999-ROW()*0.0000001)</f>
        <v/>
      </c>
    </row>
    <row r="29" ht="16" customHeight="1">
      <c r="A29" s="60" t="n">
        <v>8</v>
      </c>
      <c r="B29" s="61">
        <f>IF(LARGE($R$3:$R$500,8)&gt;-9000,IFERROR(INDEX('Product Tracker'!$C$3:$C$500,MATCH(LARGE($R$3:$R$500,8),$R$3:$R$500,0)),""),"")</f>
        <v/>
      </c>
      <c r="C29" s="61" t="n"/>
      <c r="D29" s="61" t="n"/>
      <c r="E29" s="61" t="n"/>
      <c r="F29" s="61">
        <f>IF(LARGE($R$3:$R$500,8)&gt;-9000,IFERROR(INDEX('Product Tracker'!$A$3:$A$500,MATCH(LARGE($R$3:$R$500,8),$R$3:$R$500,0)),""),"")</f>
        <v/>
      </c>
      <c r="G29" s="61" t="n"/>
      <c r="H29" s="62">
        <f>IF(LARGE($R$3:$R$500,8)&gt;-9000,IFERROR(INDEX('Product Tracker'!$AC$3:$AC$500,MATCH(LARGE($R$3:$R$500,8),$R$3:$R$500,0)),""),"")</f>
        <v/>
      </c>
      <c r="I29" s="60">
        <f>IF(LARGE($R$3:$R$500,8)&gt;-9000,IFERROR(INDEX('Product Tracker'!$AD$3:$AD$500,MATCH(LARGE($R$3:$R$500,8),$R$3:$R$500,0)),""),"")</f>
        <v/>
      </c>
      <c r="J29" s="61" t="n"/>
      <c r="K29" s="63">
        <f>IF(LARGE($R$3:$R$500,8)&gt;-9000,IFERROR(INDEX('Product Tracker'!$P$3:$P$500,MATCH(LARGE($R$3:$R$500,8),$R$3:$R$500,0)),""),"")</f>
        <v/>
      </c>
      <c r="L29" s="61" t="n"/>
      <c r="R29">
        <f>IF('Product Tracker'!AD29="Buy",IF('Product Tracker'!AC29="",0,'Product Tracker'!AC29)-ROW()*0.0000001,-9999-ROW()*0.0000001)</f>
        <v/>
      </c>
      <c r="S29">
        <f>IF('Product Tracker'!BL29="Yes",IF('Product Tracker'!AC29="",0,'Product Tracker'!AC29)-ROW()*0.0000001,-9999-ROW()*0.0000001)</f>
        <v/>
      </c>
      <c r="T29">
        <f>IF(OR('Product Tracker'!AY29="High",'Product Tracker'!BA29="High",AND('Product Tracker'!AB29&lt;&gt;"",'Product Tracker'!AB29&lt;=2)),IF('Product Tracker'!AC29="",0,'Product Tracker'!AC29)-ROW()*0.0000001,-9999-ROW()*0.0000001)</f>
        <v/>
      </c>
    </row>
    <row r="30">
      <c r="R30">
        <f>IF('Product Tracker'!AD30="Buy",IF('Product Tracker'!AC30="",0,'Product Tracker'!AC30)-ROW()*0.0000001,-9999-ROW()*0.0000001)</f>
        <v/>
      </c>
      <c r="S30">
        <f>IF('Product Tracker'!BL30="Yes",IF('Product Tracker'!AC30="",0,'Product Tracker'!AC30)-ROW()*0.0000001,-9999-ROW()*0.0000001)</f>
        <v/>
      </c>
      <c r="T30">
        <f>IF(OR('Product Tracker'!AY30="High",'Product Tracker'!BA30="High",AND('Product Tracker'!AB30&lt;&gt;"",'Product Tracker'!AB30&lt;=2)),IF('Product Tracker'!AC30="",0,'Product Tracker'!AC30)-ROW()*0.0000001,-9999-ROW()*0.0000001)</f>
        <v/>
      </c>
    </row>
    <row r="31" ht="22" customHeight="1">
      <c r="A31" s="33" t="inlineStr">
        <is>
          <t>PRODUCTS NEEDING PARTNER REVIEW</t>
        </is>
      </c>
      <c r="R31">
        <f>IF('Product Tracker'!AD31="Buy",IF('Product Tracker'!AC31="",0,'Product Tracker'!AC31)-ROW()*0.0000001,-9999-ROW()*0.0000001)</f>
        <v/>
      </c>
      <c r="S31">
        <f>IF('Product Tracker'!BL31="Yes",IF('Product Tracker'!AC31="",0,'Product Tracker'!AC31)-ROW()*0.0000001,-9999-ROW()*0.0000001)</f>
        <v/>
      </c>
      <c r="T31">
        <f>IF(OR('Product Tracker'!AY31="High",'Product Tracker'!BA31="High",AND('Product Tracker'!AB31&lt;&gt;"",'Product Tracker'!AB31&lt;=2)),IF('Product Tracker'!AC31="",0,'Product Tracker'!AC31)-ROW()*0.0000001,-9999-ROW()*0.0000001)</f>
        <v/>
      </c>
    </row>
    <row r="32" ht="18" customHeight="1">
      <c r="A32" s="54" t="inlineStr">
        <is>
          <t>Rank</t>
        </is>
      </c>
      <c r="B32" s="54" t="inlineStr">
        <is>
          <t>Product Name</t>
        </is>
      </c>
      <c r="C32" s="55" t="n"/>
      <c r="D32" s="55" t="n"/>
      <c r="E32" s="55" t="n"/>
      <c r="F32" s="54" t="inlineStr">
        <is>
          <t>SKU</t>
        </is>
      </c>
      <c r="G32" s="55" t="n"/>
      <c r="H32" s="54" t="inlineStr">
        <is>
          <t>Score</t>
        </is>
      </c>
      <c r="I32" s="54" t="inlineStr">
        <is>
          <t>Decision</t>
        </is>
      </c>
      <c r="J32" s="55" t="n"/>
      <c r="K32" s="54" t="inlineStr">
        <is>
          <t>Suggested Price</t>
        </is>
      </c>
      <c r="L32" s="55" t="n"/>
      <c r="R32">
        <f>IF('Product Tracker'!AD32="Buy",IF('Product Tracker'!AC32="",0,'Product Tracker'!AC32)-ROW()*0.0000001,-9999-ROW()*0.0000001)</f>
        <v/>
      </c>
      <c r="S32">
        <f>IF('Product Tracker'!BL32="Yes",IF('Product Tracker'!AC32="",0,'Product Tracker'!AC32)-ROW()*0.0000001,-9999-ROW()*0.0000001)</f>
        <v/>
      </c>
      <c r="T32">
        <f>IF(OR('Product Tracker'!AY32="High",'Product Tracker'!BA32="High",AND('Product Tracker'!AB32&lt;&gt;"",'Product Tracker'!AB32&lt;=2)),IF('Product Tracker'!AC32="",0,'Product Tracker'!AC32)-ROW()*0.0000001,-9999-ROW()*0.0000001)</f>
        <v/>
      </c>
    </row>
    <row r="33" ht="16" customHeight="1">
      <c r="A33" s="56" t="n">
        <v>1</v>
      </c>
      <c r="B33" s="57">
        <f>IF(LARGE('Product Tracker'!$AN$3:$AN$500,1)&gt;-9000,IFERROR(INDEX('Product Tracker'!$C$3:$C$500,MATCH(LARGE('Product Tracker'!$AN$3:$AN$500,1),'Product Tracker'!$AN$3:$AN$500,0)),""),"")</f>
        <v/>
      </c>
      <c r="C33" s="57" t="n"/>
      <c r="D33" s="57" t="n"/>
      <c r="E33" s="57" t="n"/>
      <c r="F33" s="57">
        <f>IF(LARGE('Product Tracker'!$AN$3:$AN$500,1)&gt;-9000,IFERROR(INDEX('Product Tracker'!$A$3:$A$500,MATCH(LARGE('Product Tracker'!$AN$3:$AN$500,1),'Product Tracker'!$AN$3:$AN$500,0)),""),"")</f>
        <v/>
      </c>
      <c r="G33" s="57" t="n"/>
      <c r="H33" s="58">
        <f>IF(LARGE('Product Tracker'!$AN$3:$AN$500,1)&gt;-9000,IFERROR(INDEX('Product Tracker'!$AC$3:$AC$500,MATCH(LARGE('Product Tracker'!$AN$3:$AN$500,1),'Product Tracker'!$AN$3:$AN$500,0)),""),"")</f>
        <v/>
      </c>
      <c r="I33" s="56">
        <f>IF(LARGE('Product Tracker'!$AN$3:$AN$500,1)&gt;-9000,IFERROR(INDEX('Product Tracker'!$AD$3:$AD$500,MATCH(LARGE('Product Tracker'!$AN$3:$AN$500,1),'Product Tracker'!$AN$3:$AN$500,0)),""),"")</f>
        <v/>
      </c>
      <c r="J33" s="57" t="n"/>
      <c r="K33" s="59">
        <f>IF(LARGE('Product Tracker'!$AN$3:$AN$500,1)&gt;-9000,IFERROR(INDEX('Product Tracker'!$P$3:$P$500,MATCH(LARGE('Product Tracker'!$AN$3:$AN$500,1),'Product Tracker'!$AN$3:$AN$500,0)),""),"")</f>
        <v/>
      </c>
      <c r="L33" s="57" t="n"/>
      <c r="R33">
        <f>IF('Product Tracker'!AD33="Buy",IF('Product Tracker'!AC33="",0,'Product Tracker'!AC33)-ROW()*0.0000001,-9999-ROW()*0.0000001)</f>
        <v/>
      </c>
      <c r="S33">
        <f>IF('Product Tracker'!BL33="Yes",IF('Product Tracker'!AC33="",0,'Product Tracker'!AC33)-ROW()*0.0000001,-9999-ROW()*0.0000001)</f>
        <v/>
      </c>
      <c r="T33">
        <f>IF(OR('Product Tracker'!AY33="High",'Product Tracker'!BA33="High",AND('Product Tracker'!AB33&lt;&gt;"",'Product Tracker'!AB33&lt;=2)),IF('Product Tracker'!AC33="",0,'Product Tracker'!AC33)-ROW()*0.0000001,-9999-ROW()*0.0000001)</f>
        <v/>
      </c>
    </row>
    <row r="34" ht="16" customHeight="1">
      <c r="A34" s="60" t="n">
        <v>2</v>
      </c>
      <c r="B34" s="61">
        <f>IF(LARGE('Product Tracker'!$AN$3:$AN$500,2)&gt;-9000,IFERROR(INDEX('Product Tracker'!$C$3:$C$500,MATCH(LARGE('Product Tracker'!$AN$3:$AN$500,2),'Product Tracker'!$AN$3:$AN$500,0)),""),"")</f>
        <v/>
      </c>
      <c r="C34" s="61" t="n"/>
      <c r="D34" s="61" t="n"/>
      <c r="E34" s="61" t="n"/>
      <c r="F34" s="61">
        <f>IF(LARGE('Product Tracker'!$AN$3:$AN$500,2)&gt;-9000,IFERROR(INDEX('Product Tracker'!$A$3:$A$500,MATCH(LARGE('Product Tracker'!$AN$3:$AN$500,2),'Product Tracker'!$AN$3:$AN$500,0)),""),"")</f>
        <v/>
      </c>
      <c r="G34" s="61" t="n"/>
      <c r="H34" s="62">
        <f>IF(LARGE('Product Tracker'!$AN$3:$AN$500,2)&gt;-9000,IFERROR(INDEX('Product Tracker'!$AC$3:$AC$500,MATCH(LARGE('Product Tracker'!$AN$3:$AN$500,2),'Product Tracker'!$AN$3:$AN$500,0)),""),"")</f>
        <v/>
      </c>
      <c r="I34" s="60">
        <f>IF(LARGE('Product Tracker'!$AN$3:$AN$500,2)&gt;-9000,IFERROR(INDEX('Product Tracker'!$AD$3:$AD$500,MATCH(LARGE('Product Tracker'!$AN$3:$AN$500,2),'Product Tracker'!$AN$3:$AN$500,0)),""),"")</f>
        <v/>
      </c>
      <c r="J34" s="61" t="n"/>
      <c r="K34" s="63">
        <f>IF(LARGE('Product Tracker'!$AN$3:$AN$500,2)&gt;-9000,IFERROR(INDEX('Product Tracker'!$P$3:$P$500,MATCH(LARGE('Product Tracker'!$AN$3:$AN$500,2),'Product Tracker'!$AN$3:$AN$500,0)),""),"")</f>
        <v/>
      </c>
      <c r="L34" s="61" t="n"/>
      <c r="R34">
        <f>IF('Product Tracker'!AD34="Buy",IF('Product Tracker'!AC34="",0,'Product Tracker'!AC34)-ROW()*0.0000001,-9999-ROW()*0.0000001)</f>
        <v/>
      </c>
      <c r="S34">
        <f>IF('Product Tracker'!BL34="Yes",IF('Product Tracker'!AC34="",0,'Product Tracker'!AC34)-ROW()*0.0000001,-9999-ROW()*0.0000001)</f>
        <v/>
      </c>
      <c r="T34">
        <f>IF(OR('Product Tracker'!AY34="High",'Product Tracker'!BA34="High",AND('Product Tracker'!AB34&lt;&gt;"",'Product Tracker'!AB34&lt;=2)),IF('Product Tracker'!AC34="",0,'Product Tracker'!AC34)-ROW()*0.0000001,-9999-ROW()*0.0000001)</f>
        <v/>
      </c>
    </row>
    <row r="35" ht="16" customHeight="1">
      <c r="A35" s="56" t="n">
        <v>3</v>
      </c>
      <c r="B35" s="57">
        <f>IF(LARGE('Product Tracker'!$AN$3:$AN$500,3)&gt;-9000,IFERROR(INDEX('Product Tracker'!$C$3:$C$500,MATCH(LARGE('Product Tracker'!$AN$3:$AN$500,3),'Product Tracker'!$AN$3:$AN$500,0)),""),"")</f>
        <v/>
      </c>
      <c r="C35" s="57" t="n"/>
      <c r="D35" s="57" t="n"/>
      <c r="E35" s="57" t="n"/>
      <c r="F35" s="57">
        <f>IF(LARGE('Product Tracker'!$AN$3:$AN$500,3)&gt;-9000,IFERROR(INDEX('Product Tracker'!$A$3:$A$500,MATCH(LARGE('Product Tracker'!$AN$3:$AN$500,3),'Product Tracker'!$AN$3:$AN$500,0)),""),"")</f>
        <v/>
      </c>
      <c r="G35" s="57" t="n"/>
      <c r="H35" s="58">
        <f>IF(LARGE('Product Tracker'!$AN$3:$AN$500,3)&gt;-9000,IFERROR(INDEX('Product Tracker'!$AC$3:$AC$500,MATCH(LARGE('Product Tracker'!$AN$3:$AN$500,3),'Product Tracker'!$AN$3:$AN$500,0)),""),"")</f>
        <v/>
      </c>
      <c r="I35" s="56">
        <f>IF(LARGE('Product Tracker'!$AN$3:$AN$500,3)&gt;-9000,IFERROR(INDEX('Product Tracker'!$AD$3:$AD$500,MATCH(LARGE('Product Tracker'!$AN$3:$AN$500,3),'Product Tracker'!$AN$3:$AN$500,0)),""),"")</f>
        <v/>
      </c>
      <c r="J35" s="57" t="n"/>
      <c r="K35" s="59">
        <f>IF(LARGE('Product Tracker'!$AN$3:$AN$500,3)&gt;-9000,IFERROR(INDEX('Product Tracker'!$P$3:$P$500,MATCH(LARGE('Product Tracker'!$AN$3:$AN$500,3),'Product Tracker'!$AN$3:$AN$500,0)),""),"")</f>
        <v/>
      </c>
      <c r="L35" s="57" t="n"/>
      <c r="R35">
        <f>IF('Product Tracker'!AD35="Buy",IF('Product Tracker'!AC35="",0,'Product Tracker'!AC35)-ROW()*0.0000001,-9999-ROW()*0.0000001)</f>
        <v/>
      </c>
      <c r="S35">
        <f>IF('Product Tracker'!BL35="Yes",IF('Product Tracker'!AC35="",0,'Product Tracker'!AC35)-ROW()*0.0000001,-9999-ROW()*0.0000001)</f>
        <v/>
      </c>
      <c r="T35">
        <f>IF(OR('Product Tracker'!AY35="High",'Product Tracker'!BA35="High",AND('Product Tracker'!AB35&lt;&gt;"",'Product Tracker'!AB35&lt;=2)),IF('Product Tracker'!AC35="",0,'Product Tracker'!AC35)-ROW()*0.0000001,-9999-ROW()*0.0000001)</f>
        <v/>
      </c>
    </row>
    <row r="36" ht="16" customHeight="1">
      <c r="A36" s="60" t="n">
        <v>4</v>
      </c>
      <c r="B36" s="61">
        <f>IF(LARGE('Product Tracker'!$AN$3:$AN$500,4)&gt;-9000,IFERROR(INDEX('Product Tracker'!$C$3:$C$500,MATCH(LARGE('Product Tracker'!$AN$3:$AN$500,4),'Product Tracker'!$AN$3:$AN$500,0)),""),"")</f>
        <v/>
      </c>
      <c r="C36" s="61" t="n"/>
      <c r="D36" s="61" t="n"/>
      <c r="E36" s="61" t="n"/>
      <c r="F36" s="61">
        <f>IF(LARGE('Product Tracker'!$AN$3:$AN$500,4)&gt;-9000,IFERROR(INDEX('Product Tracker'!$A$3:$A$500,MATCH(LARGE('Product Tracker'!$AN$3:$AN$500,4),'Product Tracker'!$AN$3:$AN$500,0)),""),"")</f>
        <v/>
      </c>
      <c r="G36" s="61" t="n"/>
      <c r="H36" s="62">
        <f>IF(LARGE('Product Tracker'!$AN$3:$AN$500,4)&gt;-9000,IFERROR(INDEX('Product Tracker'!$AC$3:$AC$500,MATCH(LARGE('Product Tracker'!$AN$3:$AN$500,4),'Product Tracker'!$AN$3:$AN$500,0)),""),"")</f>
        <v/>
      </c>
      <c r="I36" s="60">
        <f>IF(LARGE('Product Tracker'!$AN$3:$AN$500,4)&gt;-9000,IFERROR(INDEX('Product Tracker'!$AD$3:$AD$500,MATCH(LARGE('Product Tracker'!$AN$3:$AN$500,4),'Product Tracker'!$AN$3:$AN$500,0)),""),"")</f>
        <v/>
      </c>
      <c r="J36" s="61" t="n"/>
      <c r="K36" s="63">
        <f>IF(LARGE('Product Tracker'!$AN$3:$AN$500,4)&gt;-9000,IFERROR(INDEX('Product Tracker'!$P$3:$P$500,MATCH(LARGE('Product Tracker'!$AN$3:$AN$500,4),'Product Tracker'!$AN$3:$AN$500,0)),""),"")</f>
        <v/>
      </c>
      <c r="L36" s="61" t="n"/>
      <c r="R36">
        <f>IF('Product Tracker'!AD36="Buy",IF('Product Tracker'!AC36="",0,'Product Tracker'!AC36)-ROW()*0.0000001,-9999-ROW()*0.0000001)</f>
        <v/>
      </c>
      <c r="S36">
        <f>IF('Product Tracker'!BL36="Yes",IF('Product Tracker'!AC36="",0,'Product Tracker'!AC36)-ROW()*0.0000001,-9999-ROW()*0.0000001)</f>
        <v/>
      </c>
      <c r="T36">
        <f>IF(OR('Product Tracker'!AY36="High",'Product Tracker'!BA36="High",AND('Product Tracker'!AB36&lt;&gt;"",'Product Tracker'!AB36&lt;=2)),IF('Product Tracker'!AC36="",0,'Product Tracker'!AC36)-ROW()*0.0000001,-9999-ROW()*0.0000001)</f>
        <v/>
      </c>
    </row>
    <row r="37" ht="16" customHeight="1">
      <c r="A37" s="56" t="n">
        <v>5</v>
      </c>
      <c r="B37" s="57">
        <f>IF(LARGE('Product Tracker'!$AN$3:$AN$500,5)&gt;-9000,IFERROR(INDEX('Product Tracker'!$C$3:$C$500,MATCH(LARGE('Product Tracker'!$AN$3:$AN$500,5),'Product Tracker'!$AN$3:$AN$500,0)),""),"")</f>
        <v/>
      </c>
      <c r="C37" s="57" t="n"/>
      <c r="D37" s="57" t="n"/>
      <c r="E37" s="57" t="n"/>
      <c r="F37" s="57">
        <f>IF(LARGE('Product Tracker'!$AN$3:$AN$500,5)&gt;-9000,IFERROR(INDEX('Product Tracker'!$A$3:$A$500,MATCH(LARGE('Product Tracker'!$AN$3:$AN$500,5),'Product Tracker'!$AN$3:$AN$500,0)),""),"")</f>
        <v/>
      </c>
      <c r="G37" s="57" t="n"/>
      <c r="H37" s="58">
        <f>IF(LARGE('Product Tracker'!$AN$3:$AN$500,5)&gt;-9000,IFERROR(INDEX('Product Tracker'!$AC$3:$AC$500,MATCH(LARGE('Product Tracker'!$AN$3:$AN$500,5),'Product Tracker'!$AN$3:$AN$500,0)),""),"")</f>
        <v/>
      </c>
      <c r="I37" s="56">
        <f>IF(LARGE('Product Tracker'!$AN$3:$AN$500,5)&gt;-9000,IFERROR(INDEX('Product Tracker'!$AD$3:$AD$500,MATCH(LARGE('Product Tracker'!$AN$3:$AN$500,5),'Product Tracker'!$AN$3:$AN$500,0)),""),"")</f>
        <v/>
      </c>
      <c r="J37" s="57" t="n"/>
      <c r="K37" s="59">
        <f>IF(LARGE('Product Tracker'!$AN$3:$AN$500,5)&gt;-9000,IFERROR(INDEX('Product Tracker'!$P$3:$P$500,MATCH(LARGE('Product Tracker'!$AN$3:$AN$500,5),'Product Tracker'!$AN$3:$AN$500,0)),""),"")</f>
        <v/>
      </c>
      <c r="L37" s="57" t="n"/>
      <c r="R37">
        <f>IF('Product Tracker'!AD37="Buy",IF('Product Tracker'!AC37="",0,'Product Tracker'!AC37)-ROW()*0.0000001,-9999-ROW()*0.0000001)</f>
        <v/>
      </c>
      <c r="S37">
        <f>IF('Product Tracker'!BL37="Yes",IF('Product Tracker'!AC37="",0,'Product Tracker'!AC37)-ROW()*0.0000001,-9999-ROW()*0.0000001)</f>
        <v/>
      </c>
      <c r="T37">
        <f>IF(OR('Product Tracker'!AY37="High",'Product Tracker'!BA37="High",AND('Product Tracker'!AB37&lt;&gt;"",'Product Tracker'!AB37&lt;=2)),IF('Product Tracker'!AC37="",0,'Product Tracker'!AC37)-ROW()*0.0000001,-9999-ROW()*0.0000001)</f>
        <v/>
      </c>
    </row>
    <row r="38" ht="16" customHeight="1">
      <c r="A38" s="60" t="n">
        <v>6</v>
      </c>
      <c r="B38" s="61">
        <f>IF(LARGE('Product Tracker'!$AN$3:$AN$500,6)&gt;-9000,IFERROR(INDEX('Product Tracker'!$C$3:$C$500,MATCH(LARGE('Product Tracker'!$AN$3:$AN$500,6),'Product Tracker'!$AN$3:$AN$500,0)),""),"")</f>
        <v/>
      </c>
      <c r="C38" s="61" t="n"/>
      <c r="D38" s="61" t="n"/>
      <c r="E38" s="61" t="n"/>
      <c r="F38" s="61">
        <f>IF(LARGE('Product Tracker'!$AN$3:$AN$500,6)&gt;-9000,IFERROR(INDEX('Product Tracker'!$A$3:$A$500,MATCH(LARGE('Product Tracker'!$AN$3:$AN$500,6),'Product Tracker'!$AN$3:$AN$500,0)),""),"")</f>
        <v/>
      </c>
      <c r="G38" s="61" t="n"/>
      <c r="H38" s="62">
        <f>IF(LARGE('Product Tracker'!$AN$3:$AN$500,6)&gt;-9000,IFERROR(INDEX('Product Tracker'!$AC$3:$AC$500,MATCH(LARGE('Product Tracker'!$AN$3:$AN$500,6),'Product Tracker'!$AN$3:$AN$500,0)),""),"")</f>
        <v/>
      </c>
      <c r="I38" s="60">
        <f>IF(LARGE('Product Tracker'!$AN$3:$AN$500,6)&gt;-9000,IFERROR(INDEX('Product Tracker'!$AD$3:$AD$500,MATCH(LARGE('Product Tracker'!$AN$3:$AN$500,6),'Product Tracker'!$AN$3:$AN$500,0)),""),"")</f>
        <v/>
      </c>
      <c r="J38" s="61" t="n"/>
      <c r="K38" s="63">
        <f>IF(LARGE('Product Tracker'!$AN$3:$AN$500,6)&gt;-9000,IFERROR(INDEX('Product Tracker'!$P$3:$P$500,MATCH(LARGE('Product Tracker'!$AN$3:$AN$500,6),'Product Tracker'!$AN$3:$AN$500,0)),""),"")</f>
        <v/>
      </c>
      <c r="L38" s="61" t="n"/>
      <c r="R38">
        <f>IF('Product Tracker'!AD38="Buy",IF('Product Tracker'!AC38="",0,'Product Tracker'!AC38)-ROW()*0.0000001,-9999-ROW()*0.0000001)</f>
        <v/>
      </c>
      <c r="S38">
        <f>IF('Product Tracker'!BL38="Yes",IF('Product Tracker'!AC38="",0,'Product Tracker'!AC38)-ROW()*0.0000001,-9999-ROW()*0.0000001)</f>
        <v/>
      </c>
      <c r="T38">
        <f>IF(OR('Product Tracker'!AY38="High",'Product Tracker'!BA38="High",AND('Product Tracker'!AB38&lt;&gt;"",'Product Tracker'!AB38&lt;=2)),IF('Product Tracker'!AC38="",0,'Product Tracker'!AC38)-ROW()*0.0000001,-9999-ROW()*0.0000001)</f>
        <v/>
      </c>
    </row>
    <row r="39" ht="16" customHeight="1">
      <c r="A39" s="56" t="n">
        <v>7</v>
      </c>
      <c r="B39" s="57">
        <f>IF(LARGE('Product Tracker'!$AN$3:$AN$500,7)&gt;-9000,IFERROR(INDEX('Product Tracker'!$C$3:$C$500,MATCH(LARGE('Product Tracker'!$AN$3:$AN$500,7),'Product Tracker'!$AN$3:$AN$500,0)),""),"")</f>
        <v/>
      </c>
      <c r="C39" s="57" t="n"/>
      <c r="D39" s="57" t="n"/>
      <c r="E39" s="57" t="n"/>
      <c r="F39" s="57">
        <f>IF(LARGE('Product Tracker'!$AN$3:$AN$500,7)&gt;-9000,IFERROR(INDEX('Product Tracker'!$A$3:$A$500,MATCH(LARGE('Product Tracker'!$AN$3:$AN$500,7),'Product Tracker'!$AN$3:$AN$500,0)),""),"")</f>
        <v/>
      </c>
      <c r="G39" s="57" t="n"/>
      <c r="H39" s="58">
        <f>IF(LARGE('Product Tracker'!$AN$3:$AN$500,7)&gt;-9000,IFERROR(INDEX('Product Tracker'!$AC$3:$AC$500,MATCH(LARGE('Product Tracker'!$AN$3:$AN$500,7),'Product Tracker'!$AN$3:$AN$500,0)),""),"")</f>
        <v/>
      </c>
      <c r="I39" s="56">
        <f>IF(LARGE('Product Tracker'!$AN$3:$AN$500,7)&gt;-9000,IFERROR(INDEX('Product Tracker'!$AD$3:$AD$500,MATCH(LARGE('Product Tracker'!$AN$3:$AN$500,7),'Product Tracker'!$AN$3:$AN$500,0)),""),"")</f>
        <v/>
      </c>
      <c r="J39" s="57" t="n"/>
      <c r="K39" s="59">
        <f>IF(LARGE('Product Tracker'!$AN$3:$AN$500,7)&gt;-9000,IFERROR(INDEX('Product Tracker'!$P$3:$P$500,MATCH(LARGE('Product Tracker'!$AN$3:$AN$500,7),'Product Tracker'!$AN$3:$AN$500,0)),""),"")</f>
        <v/>
      </c>
      <c r="L39" s="57" t="n"/>
      <c r="R39">
        <f>IF('Product Tracker'!AD39="Buy",IF('Product Tracker'!AC39="",0,'Product Tracker'!AC39)-ROW()*0.0000001,-9999-ROW()*0.0000001)</f>
        <v/>
      </c>
      <c r="S39">
        <f>IF('Product Tracker'!BL39="Yes",IF('Product Tracker'!AC39="",0,'Product Tracker'!AC39)-ROW()*0.0000001,-9999-ROW()*0.0000001)</f>
        <v/>
      </c>
      <c r="T39">
        <f>IF(OR('Product Tracker'!AY39="High",'Product Tracker'!BA39="High",AND('Product Tracker'!AB39&lt;&gt;"",'Product Tracker'!AB39&lt;=2)),IF('Product Tracker'!AC39="",0,'Product Tracker'!AC39)-ROW()*0.0000001,-9999-ROW()*0.0000001)</f>
        <v/>
      </c>
    </row>
    <row r="40" ht="16" customHeight="1">
      <c r="A40" s="60" t="n">
        <v>8</v>
      </c>
      <c r="B40" s="61">
        <f>IF(LARGE('Product Tracker'!$AN$3:$AN$500,8)&gt;-9000,IFERROR(INDEX('Product Tracker'!$C$3:$C$500,MATCH(LARGE('Product Tracker'!$AN$3:$AN$500,8),'Product Tracker'!$AN$3:$AN$500,0)),""),"")</f>
        <v/>
      </c>
      <c r="C40" s="61" t="n"/>
      <c r="D40" s="61" t="n"/>
      <c r="E40" s="61" t="n"/>
      <c r="F40" s="61">
        <f>IF(LARGE('Product Tracker'!$AN$3:$AN$500,8)&gt;-9000,IFERROR(INDEX('Product Tracker'!$A$3:$A$500,MATCH(LARGE('Product Tracker'!$AN$3:$AN$500,8),'Product Tracker'!$AN$3:$AN$500,0)),""),"")</f>
        <v/>
      </c>
      <c r="G40" s="61" t="n"/>
      <c r="H40" s="62">
        <f>IF(LARGE('Product Tracker'!$AN$3:$AN$500,8)&gt;-9000,IFERROR(INDEX('Product Tracker'!$AC$3:$AC$500,MATCH(LARGE('Product Tracker'!$AN$3:$AN$500,8),'Product Tracker'!$AN$3:$AN$500,0)),""),"")</f>
        <v/>
      </c>
      <c r="I40" s="60">
        <f>IF(LARGE('Product Tracker'!$AN$3:$AN$500,8)&gt;-9000,IFERROR(INDEX('Product Tracker'!$AD$3:$AD$500,MATCH(LARGE('Product Tracker'!$AN$3:$AN$500,8),'Product Tracker'!$AN$3:$AN$500,0)),""),"")</f>
        <v/>
      </c>
      <c r="J40" s="61" t="n"/>
      <c r="K40" s="63">
        <f>IF(LARGE('Product Tracker'!$AN$3:$AN$500,8)&gt;-9000,IFERROR(INDEX('Product Tracker'!$P$3:$P$500,MATCH(LARGE('Product Tracker'!$AN$3:$AN$500,8),'Product Tracker'!$AN$3:$AN$500,0)),""),"")</f>
        <v/>
      </c>
      <c r="L40" s="61" t="n"/>
      <c r="R40">
        <f>IF('Product Tracker'!AD40="Buy",IF('Product Tracker'!AC40="",0,'Product Tracker'!AC40)-ROW()*0.0000001,-9999-ROW()*0.0000001)</f>
        <v/>
      </c>
      <c r="S40">
        <f>IF('Product Tracker'!BL40="Yes",IF('Product Tracker'!AC40="",0,'Product Tracker'!AC40)-ROW()*0.0000001,-9999-ROW()*0.0000001)</f>
        <v/>
      </c>
      <c r="T40">
        <f>IF(OR('Product Tracker'!AY40="High",'Product Tracker'!BA40="High",AND('Product Tracker'!AB40&lt;&gt;"",'Product Tracker'!AB40&lt;=2)),IF('Product Tracker'!AC40="",0,'Product Tracker'!AC40)-ROW()*0.0000001,-9999-ROW()*0.0000001)</f>
        <v/>
      </c>
    </row>
    <row r="41">
      <c r="R41">
        <f>IF('Product Tracker'!AD41="Buy",IF('Product Tracker'!AC41="",0,'Product Tracker'!AC41)-ROW()*0.0000001,-9999-ROW()*0.0000001)</f>
        <v/>
      </c>
      <c r="S41">
        <f>IF('Product Tracker'!BL41="Yes",IF('Product Tracker'!AC41="",0,'Product Tracker'!AC41)-ROW()*0.0000001,-9999-ROW()*0.0000001)</f>
        <v/>
      </c>
      <c r="T41">
        <f>IF(OR('Product Tracker'!AY41="High",'Product Tracker'!BA41="High",AND('Product Tracker'!AB41&lt;&gt;"",'Product Tracker'!AB41&lt;=2)),IF('Product Tracker'!AC41="",0,'Product Tracker'!AC41)-ROW()*0.0000001,-9999-ROW()*0.0000001)</f>
        <v/>
      </c>
    </row>
    <row r="42" ht="22" customHeight="1">
      <c r="A42" s="33" t="inlineStr">
        <is>
          <t>WEBSITE READY PRODUCTS</t>
        </is>
      </c>
      <c r="R42">
        <f>IF('Product Tracker'!AD42="Buy",IF('Product Tracker'!AC42="",0,'Product Tracker'!AC42)-ROW()*0.0000001,-9999-ROW()*0.0000001)</f>
        <v/>
      </c>
      <c r="S42">
        <f>IF('Product Tracker'!BL42="Yes",IF('Product Tracker'!AC42="",0,'Product Tracker'!AC42)-ROW()*0.0000001,-9999-ROW()*0.0000001)</f>
        <v/>
      </c>
      <c r="T42">
        <f>IF(OR('Product Tracker'!AY42="High",'Product Tracker'!BA42="High",AND('Product Tracker'!AB42&lt;&gt;"",'Product Tracker'!AB42&lt;=2)),IF('Product Tracker'!AC42="",0,'Product Tracker'!AC42)-ROW()*0.0000001,-9999-ROW()*0.0000001)</f>
        <v/>
      </c>
    </row>
    <row r="43" ht="18" customHeight="1">
      <c r="A43" s="54" t="inlineStr">
        <is>
          <t>Rank</t>
        </is>
      </c>
      <c r="B43" s="54" t="inlineStr">
        <is>
          <t>Product Name</t>
        </is>
      </c>
      <c r="C43" s="55" t="n"/>
      <c r="D43" s="55" t="n"/>
      <c r="E43" s="55" t="n"/>
      <c r="F43" s="54" t="inlineStr">
        <is>
          <t>SKU</t>
        </is>
      </c>
      <c r="G43" s="55" t="n"/>
      <c r="H43" s="54" t="inlineStr">
        <is>
          <t>Score</t>
        </is>
      </c>
      <c r="I43" s="54" t="inlineStr">
        <is>
          <t>Decision</t>
        </is>
      </c>
      <c r="J43" s="55" t="n"/>
      <c r="K43" s="54" t="inlineStr">
        <is>
          <t>Suggested Price</t>
        </is>
      </c>
      <c r="L43" s="55" t="n"/>
      <c r="R43">
        <f>IF('Product Tracker'!AD43="Buy",IF('Product Tracker'!AC43="",0,'Product Tracker'!AC43)-ROW()*0.0000001,-9999-ROW()*0.0000001)</f>
        <v/>
      </c>
      <c r="S43">
        <f>IF('Product Tracker'!BL43="Yes",IF('Product Tracker'!AC43="",0,'Product Tracker'!AC43)-ROW()*0.0000001,-9999-ROW()*0.0000001)</f>
        <v/>
      </c>
      <c r="T43">
        <f>IF(OR('Product Tracker'!AY43="High",'Product Tracker'!BA43="High",AND('Product Tracker'!AB43&lt;&gt;"",'Product Tracker'!AB43&lt;=2)),IF('Product Tracker'!AC43="",0,'Product Tracker'!AC43)-ROW()*0.0000001,-9999-ROW()*0.0000001)</f>
        <v/>
      </c>
    </row>
    <row r="44" ht="16" customHeight="1">
      <c r="A44" s="56" t="n">
        <v>1</v>
      </c>
      <c r="B44" s="57">
        <f>IF(LARGE($S$3:$S$500,1)&gt;-9000,IFERROR(INDEX('Product Tracker'!$C$3:$C$500,MATCH(LARGE($S$3:$S$500,1),$S$3:$S$500,0)),""),"")</f>
        <v/>
      </c>
      <c r="C44" s="57" t="n"/>
      <c r="D44" s="57" t="n"/>
      <c r="E44" s="57" t="n"/>
      <c r="F44" s="57">
        <f>IF(LARGE($S$3:$S$500,1)&gt;-9000,IFERROR(INDEX('Product Tracker'!$A$3:$A$500,MATCH(LARGE($S$3:$S$500,1),$S$3:$S$500,0)),""),"")</f>
        <v/>
      </c>
      <c r="G44" s="57" t="n"/>
      <c r="H44" s="58">
        <f>IF(LARGE($S$3:$S$500,1)&gt;-9000,IFERROR(INDEX('Product Tracker'!$AC$3:$AC$500,MATCH(LARGE($S$3:$S$500,1),$S$3:$S$500,0)),""),"")</f>
        <v/>
      </c>
      <c r="I44" s="56">
        <f>IF(LARGE($S$3:$S$500,1)&gt;-9000,IFERROR(INDEX('Product Tracker'!$AD$3:$AD$500,MATCH(LARGE($S$3:$S$500,1),$S$3:$S$500,0)),""),"")</f>
        <v/>
      </c>
      <c r="J44" s="57" t="n"/>
      <c r="K44" s="59">
        <f>IF(LARGE($S$3:$S$500,1)&gt;-9000,IFERROR(INDEX('Product Tracker'!$P$3:$P$500,MATCH(LARGE($S$3:$S$500,1),$S$3:$S$500,0)),""),"")</f>
        <v/>
      </c>
      <c r="L44" s="57" t="n"/>
      <c r="R44">
        <f>IF('Product Tracker'!AD44="Buy",IF('Product Tracker'!AC44="",0,'Product Tracker'!AC44)-ROW()*0.0000001,-9999-ROW()*0.0000001)</f>
        <v/>
      </c>
      <c r="S44">
        <f>IF('Product Tracker'!BL44="Yes",IF('Product Tracker'!AC44="",0,'Product Tracker'!AC44)-ROW()*0.0000001,-9999-ROW()*0.0000001)</f>
        <v/>
      </c>
      <c r="T44">
        <f>IF(OR('Product Tracker'!AY44="High",'Product Tracker'!BA44="High",AND('Product Tracker'!AB44&lt;&gt;"",'Product Tracker'!AB44&lt;=2)),IF('Product Tracker'!AC44="",0,'Product Tracker'!AC44)-ROW()*0.0000001,-9999-ROW()*0.0000001)</f>
        <v/>
      </c>
    </row>
    <row r="45" ht="16" customHeight="1">
      <c r="A45" s="60" t="n">
        <v>2</v>
      </c>
      <c r="B45" s="61">
        <f>IF(LARGE($S$3:$S$500,2)&gt;-9000,IFERROR(INDEX('Product Tracker'!$C$3:$C$500,MATCH(LARGE($S$3:$S$500,2),$S$3:$S$500,0)),""),"")</f>
        <v/>
      </c>
      <c r="C45" s="61" t="n"/>
      <c r="D45" s="61" t="n"/>
      <c r="E45" s="61" t="n"/>
      <c r="F45" s="61">
        <f>IF(LARGE($S$3:$S$500,2)&gt;-9000,IFERROR(INDEX('Product Tracker'!$A$3:$A$500,MATCH(LARGE($S$3:$S$500,2),$S$3:$S$500,0)),""),"")</f>
        <v/>
      </c>
      <c r="G45" s="61" t="n"/>
      <c r="H45" s="62">
        <f>IF(LARGE($S$3:$S$500,2)&gt;-9000,IFERROR(INDEX('Product Tracker'!$AC$3:$AC$500,MATCH(LARGE($S$3:$S$500,2),$S$3:$S$500,0)),""),"")</f>
        <v/>
      </c>
      <c r="I45" s="60">
        <f>IF(LARGE($S$3:$S$500,2)&gt;-9000,IFERROR(INDEX('Product Tracker'!$AD$3:$AD$500,MATCH(LARGE($S$3:$S$500,2),$S$3:$S$500,0)),""),"")</f>
        <v/>
      </c>
      <c r="J45" s="61" t="n"/>
      <c r="K45" s="63">
        <f>IF(LARGE($S$3:$S$500,2)&gt;-9000,IFERROR(INDEX('Product Tracker'!$P$3:$P$500,MATCH(LARGE($S$3:$S$500,2),$S$3:$S$500,0)),""),"")</f>
        <v/>
      </c>
      <c r="L45" s="61" t="n"/>
      <c r="R45">
        <f>IF('Product Tracker'!AD45="Buy",IF('Product Tracker'!AC45="",0,'Product Tracker'!AC45)-ROW()*0.0000001,-9999-ROW()*0.0000001)</f>
        <v/>
      </c>
      <c r="S45">
        <f>IF('Product Tracker'!BL45="Yes",IF('Product Tracker'!AC45="",0,'Product Tracker'!AC45)-ROW()*0.0000001,-9999-ROW()*0.0000001)</f>
        <v/>
      </c>
      <c r="T45">
        <f>IF(OR('Product Tracker'!AY45="High",'Product Tracker'!BA45="High",AND('Product Tracker'!AB45&lt;&gt;"",'Product Tracker'!AB45&lt;=2)),IF('Product Tracker'!AC45="",0,'Product Tracker'!AC45)-ROW()*0.0000001,-9999-ROW()*0.0000001)</f>
        <v/>
      </c>
    </row>
    <row r="46" ht="16" customHeight="1">
      <c r="A46" s="56" t="n">
        <v>3</v>
      </c>
      <c r="B46" s="57">
        <f>IF(LARGE($S$3:$S$500,3)&gt;-9000,IFERROR(INDEX('Product Tracker'!$C$3:$C$500,MATCH(LARGE($S$3:$S$500,3),$S$3:$S$500,0)),""),"")</f>
        <v/>
      </c>
      <c r="C46" s="57" t="n"/>
      <c r="D46" s="57" t="n"/>
      <c r="E46" s="57" t="n"/>
      <c r="F46" s="57">
        <f>IF(LARGE($S$3:$S$500,3)&gt;-9000,IFERROR(INDEX('Product Tracker'!$A$3:$A$500,MATCH(LARGE($S$3:$S$500,3),$S$3:$S$500,0)),""),"")</f>
        <v/>
      </c>
      <c r="G46" s="57" t="n"/>
      <c r="H46" s="58">
        <f>IF(LARGE($S$3:$S$500,3)&gt;-9000,IFERROR(INDEX('Product Tracker'!$AC$3:$AC$500,MATCH(LARGE($S$3:$S$500,3),$S$3:$S$500,0)),""),"")</f>
        <v/>
      </c>
      <c r="I46" s="56">
        <f>IF(LARGE($S$3:$S$500,3)&gt;-9000,IFERROR(INDEX('Product Tracker'!$AD$3:$AD$500,MATCH(LARGE($S$3:$S$500,3),$S$3:$S$500,0)),""),"")</f>
        <v/>
      </c>
      <c r="J46" s="57" t="n"/>
      <c r="K46" s="59">
        <f>IF(LARGE($S$3:$S$500,3)&gt;-9000,IFERROR(INDEX('Product Tracker'!$P$3:$P$500,MATCH(LARGE($S$3:$S$500,3),$S$3:$S$500,0)),""),"")</f>
        <v/>
      </c>
      <c r="L46" s="57" t="n"/>
      <c r="R46">
        <f>IF('Product Tracker'!AD46="Buy",IF('Product Tracker'!AC46="",0,'Product Tracker'!AC46)-ROW()*0.0000001,-9999-ROW()*0.0000001)</f>
        <v/>
      </c>
      <c r="S46">
        <f>IF('Product Tracker'!BL46="Yes",IF('Product Tracker'!AC46="",0,'Product Tracker'!AC46)-ROW()*0.0000001,-9999-ROW()*0.0000001)</f>
        <v/>
      </c>
      <c r="T46">
        <f>IF(OR('Product Tracker'!AY46="High",'Product Tracker'!BA46="High",AND('Product Tracker'!AB46&lt;&gt;"",'Product Tracker'!AB46&lt;=2)),IF('Product Tracker'!AC46="",0,'Product Tracker'!AC46)-ROW()*0.0000001,-9999-ROW()*0.0000001)</f>
        <v/>
      </c>
    </row>
    <row r="47" ht="16" customHeight="1">
      <c r="A47" s="60" t="n">
        <v>4</v>
      </c>
      <c r="B47" s="61">
        <f>IF(LARGE($S$3:$S$500,4)&gt;-9000,IFERROR(INDEX('Product Tracker'!$C$3:$C$500,MATCH(LARGE($S$3:$S$500,4),$S$3:$S$500,0)),""),"")</f>
        <v/>
      </c>
      <c r="C47" s="61" t="n"/>
      <c r="D47" s="61" t="n"/>
      <c r="E47" s="61" t="n"/>
      <c r="F47" s="61">
        <f>IF(LARGE($S$3:$S$500,4)&gt;-9000,IFERROR(INDEX('Product Tracker'!$A$3:$A$500,MATCH(LARGE($S$3:$S$500,4),$S$3:$S$500,0)),""),"")</f>
        <v/>
      </c>
      <c r="G47" s="61" t="n"/>
      <c r="H47" s="62">
        <f>IF(LARGE($S$3:$S$500,4)&gt;-9000,IFERROR(INDEX('Product Tracker'!$AC$3:$AC$500,MATCH(LARGE($S$3:$S$500,4),$S$3:$S$500,0)),""),"")</f>
        <v/>
      </c>
      <c r="I47" s="60">
        <f>IF(LARGE($S$3:$S$500,4)&gt;-9000,IFERROR(INDEX('Product Tracker'!$AD$3:$AD$500,MATCH(LARGE($S$3:$S$500,4),$S$3:$S$500,0)),""),"")</f>
        <v/>
      </c>
      <c r="J47" s="61" t="n"/>
      <c r="K47" s="63">
        <f>IF(LARGE($S$3:$S$500,4)&gt;-9000,IFERROR(INDEX('Product Tracker'!$P$3:$P$500,MATCH(LARGE($S$3:$S$500,4),$S$3:$S$500,0)),""),"")</f>
        <v/>
      </c>
      <c r="L47" s="61" t="n"/>
      <c r="R47">
        <f>IF('Product Tracker'!AD47="Buy",IF('Product Tracker'!AC47="",0,'Product Tracker'!AC47)-ROW()*0.0000001,-9999-ROW()*0.0000001)</f>
        <v/>
      </c>
      <c r="S47">
        <f>IF('Product Tracker'!BL47="Yes",IF('Product Tracker'!AC47="",0,'Product Tracker'!AC47)-ROW()*0.0000001,-9999-ROW()*0.0000001)</f>
        <v/>
      </c>
      <c r="T47">
        <f>IF(OR('Product Tracker'!AY47="High",'Product Tracker'!BA47="High",AND('Product Tracker'!AB47&lt;&gt;"",'Product Tracker'!AB47&lt;=2)),IF('Product Tracker'!AC47="",0,'Product Tracker'!AC47)-ROW()*0.0000001,-9999-ROW()*0.0000001)</f>
        <v/>
      </c>
    </row>
    <row r="48" ht="16" customHeight="1">
      <c r="A48" s="56" t="n">
        <v>5</v>
      </c>
      <c r="B48" s="57">
        <f>IF(LARGE($S$3:$S$500,5)&gt;-9000,IFERROR(INDEX('Product Tracker'!$C$3:$C$500,MATCH(LARGE($S$3:$S$500,5),$S$3:$S$500,0)),""),"")</f>
        <v/>
      </c>
      <c r="C48" s="57" t="n"/>
      <c r="D48" s="57" t="n"/>
      <c r="E48" s="57" t="n"/>
      <c r="F48" s="57">
        <f>IF(LARGE($S$3:$S$500,5)&gt;-9000,IFERROR(INDEX('Product Tracker'!$A$3:$A$500,MATCH(LARGE($S$3:$S$500,5),$S$3:$S$500,0)),""),"")</f>
        <v/>
      </c>
      <c r="G48" s="57" t="n"/>
      <c r="H48" s="58">
        <f>IF(LARGE($S$3:$S$500,5)&gt;-9000,IFERROR(INDEX('Product Tracker'!$AC$3:$AC$500,MATCH(LARGE($S$3:$S$500,5),$S$3:$S$500,0)),""),"")</f>
        <v/>
      </c>
      <c r="I48" s="56">
        <f>IF(LARGE($S$3:$S$500,5)&gt;-9000,IFERROR(INDEX('Product Tracker'!$AD$3:$AD$500,MATCH(LARGE($S$3:$S$500,5),$S$3:$S$500,0)),""),"")</f>
        <v/>
      </c>
      <c r="J48" s="57" t="n"/>
      <c r="K48" s="59">
        <f>IF(LARGE($S$3:$S$500,5)&gt;-9000,IFERROR(INDEX('Product Tracker'!$P$3:$P$500,MATCH(LARGE($S$3:$S$500,5),$S$3:$S$500,0)),""),"")</f>
        <v/>
      </c>
      <c r="L48" s="57" t="n"/>
      <c r="R48">
        <f>IF('Product Tracker'!AD48="Buy",IF('Product Tracker'!AC48="",0,'Product Tracker'!AC48)-ROW()*0.0000001,-9999-ROW()*0.0000001)</f>
        <v/>
      </c>
      <c r="S48">
        <f>IF('Product Tracker'!BL48="Yes",IF('Product Tracker'!AC48="",0,'Product Tracker'!AC48)-ROW()*0.0000001,-9999-ROW()*0.0000001)</f>
        <v/>
      </c>
      <c r="T48">
        <f>IF(OR('Product Tracker'!AY48="High",'Product Tracker'!BA48="High",AND('Product Tracker'!AB48&lt;&gt;"",'Product Tracker'!AB48&lt;=2)),IF('Product Tracker'!AC48="",0,'Product Tracker'!AC48)-ROW()*0.0000001,-9999-ROW()*0.0000001)</f>
        <v/>
      </c>
    </row>
    <row r="49" ht="16" customHeight="1">
      <c r="A49" s="60" t="n">
        <v>6</v>
      </c>
      <c r="B49" s="61">
        <f>IF(LARGE($S$3:$S$500,6)&gt;-9000,IFERROR(INDEX('Product Tracker'!$C$3:$C$500,MATCH(LARGE($S$3:$S$500,6),$S$3:$S$500,0)),""),"")</f>
        <v/>
      </c>
      <c r="C49" s="61" t="n"/>
      <c r="D49" s="61" t="n"/>
      <c r="E49" s="61" t="n"/>
      <c r="F49" s="61">
        <f>IF(LARGE($S$3:$S$500,6)&gt;-9000,IFERROR(INDEX('Product Tracker'!$A$3:$A$500,MATCH(LARGE($S$3:$S$500,6),$S$3:$S$500,0)),""),"")</f>
        <v/>
      </c>
      <c r="G49" s="61" t="n"/>
      <c r="H49" s="62">
        <f>IF(LARGE($S$3:$S$500,6)&gt;-9000,IFERROR(INDEX('Product Tracker'!$AC$3:$AC$500,MATCH(LARGE($S$3:$S$500,6),$S$3:$S$500,0)),""),"")</f>
        <v/>
      </c>
      <c r="I49" s="60">
        <f>IF(LARGE($S$3:$S$500,6)&gt;-9000,IFERROR(INDEX('Product Tracker'!$AD$3:$AD$500,MATCH(LARGE($S$3:$S$500,6),$S$3:$S$500,0)),""),"")</f>
        <v/>
      </c>
      <c r="J49" s="61" t="n"/>
      <c r="K49" s="63">
        <f>IF(LARGE($S$3:$S$500,6)&gt;-9000,IFERROR(INDEX('Product Tracker'!$P$3:$P$500,MATCH(LARGE($S$3:$S$500,6),$S$3:$S$500,0)),""),"")</f>
        <v/>
      </c>
      <c r="L49" s="61" t="n"/>
      <c r="R49">
        <f>IF('Product Tracker'!AD49="Buy",IF('Product Tracker'!AC49="",0,'Product Tracker'!AC49)-ROW()*0.0000001,-9999-ROW()*0.0000001)</f>
        <v/>
      </c>
      <c r="S49">
        <f>IF('Product Tracker'!BL49="Yes",IF('Product Tracker'!AC49="",0,'Product Tracker'!AC49)-ROW()*0.0000001,-9999-ROW()*0.0000001)</f>
        <v/>
      </c>
      <c r="T49">
        <f>IF(OR('Product Tracker'!AY49="High",'Product Tracker'!BA49="High",AND('Product Tracker'!AB49&lt;&gt;"",'Product Tracker'!AB49&lt;=2)),IF('Product Tracker'!AC49="",0,'Product Tracker'!AC49)-ROW()*0.0000001,-9999-ROW()*0.0000001)</f>
        <v/>
      </c>
    </row>
    <row r="50">
      <c r="R50">
        <f>IF('Product Tracker'!AD50="Buy",IF('Product Tracker'!AC50="",0,'Product Tracker'!AC50)-ROW()*0.0000001,-9999-ROW()*0.0000001)</f>
        <v/>
      </c>
      <c r="S50">
        <f>IF('Product Tracker'!BL50="Yes",IF('Product Tracker'!AC50="",0,'Product Tracker'!AC50)-ROW()*0.0000001,-9999-ROW()*0.0000001)</f>
        <v/>
      </c>
      <c r="T50">
        <f>IF(OR('Product Tracker'!AY50="High",'Product Tracker'!BA50="High",AND('Product Tracker'!AB50&lt;&gt;"",'Product Tracker'!AB50&lt;=2)),IF('Product Tracker'!AC50="",0,'Product Tracker'!AC50)-ROW()*0.0000001,-9999-ROW()*0.0000001)</f>
        <v/>
      </c>
    </row>
    <row r="51" ht="22" customHeight="1">
      <c r="A51" s="33" t="inlineStr">
        <is>
          <t>HIGH RISK / WARNING PRODUCTS</t>
        </is>
      </c>
      <c r="R51">
        <f>IF('Product Tracker'!AD51="Buy",IF('Product Tracker'!AC51="",0,'Product Tracker'!AC51)-ROW()*0.0000001,-9999-ROW()*0.0000001)</f>
        <v/>
      </c>
      <c r="S51">
        <f>IF('Product Tracker'!BL51="Yes",IF('Product Tracker'!AC51="",0,'Product Tracker'!AC51)-ROW()*0.0000001,-9999-ROW()*0.0000001)</f>
        <v/>
      </c>
      <c r="T51">
        <f>IF(OR('Product Tracker'!AY51="High",'Product Tracker'!BA51="High",AND('Product Tracker'!AB51&lt;&gt;"",'Product Tracker'!AB51&lt;=2)),IF('Product Tracker'!AC51="",0,'Product Tracker'!AC51)-ROW()*0.0000001,-9999-ROW()*0.0000001)</f>
        <v/>
      </c>
    </row>
    <row r="52" ht="18" customHeight="1">
      <c r="A52" s="54" t="inlineStr">
        <is>
          <t>Rank</t>
        </is>
      </c>
      <c r="B52" s="54" t="inlineStr">
        <is>
          <t>Product Name</t>
        </is>
      </c>
      <c r="C52" s="55" t="n"/>
      <c r="D52" s="55" t="n"/>
      <c r="E52" s="55" t="n"/>
      <c r="F52" s="54" t="inlineStr">
        <is>
          <t>SKU</t>
        </is>
      </c>
      <c r="G52" s="55" t="n"/>
      <c r="H52" s="54" t="inlineStr">
        <is>
          <t>Score</t>
        </is>
      </c>
      <c r="I52" s="54" t="inlineStr">
        <is>
          <t>Decision</t>
        </is>
      </c>
      <c r="J52" s="55" t="n"/>
      <c r="K52" s="54" t="inlineStr">
        <is>
          <t>Suggested Price</t>
        </is>
      </c>
      <c r="L52" s="55" t="n"/>
      <c r="R52">
        <f>IF('Product Tracker'!AD52="Buy",IF('Product Tracker'!AC52="",0,'Product Tracker'!AC52)-ROW()*0.0000001,-9999-ROW()*0.0000001)</f>
        <v/>
      </c>
      <c r="S52">
        <f>IF('Product Tracker'!BL52="Yes",IF('Product Tracker'!AC52="",0,'Product Tracker'!AC52)-ROW()*0.0000001,-9999-ROW()*0.0000001)</f>
        <v/>
      </c>
      <c r="T52">
        <f>IF(OR('Product Tracker'!AY52="High",'Product Tracker'!BA52="High",AND('Product Tracker'!AB52&lt;&gt;"",'Product Tracker'!AB52&lt;=2)),IF('Product Tracker'!AC52="",0,'Product Tracker'!AC52)-ROW()*0.0000001,-9999-ROW()*0.0000001)</f>
        <v/>
      </c>
    </row>
    <row r="53" ht="16" customHeight="1">
      <c r="A53" s="56" t="n">
        <v>1</v>
      </c>
      <c r="B53" s="57">
        <f>IF(LARGE($T$3:$T$500,1)&gt;-9000,IFERROR(INDEX('Product Tracker'!$C$3:$C$500,MATCH(LARGE($T$3:$T$500,1),$T$3:$T$500,0)),""),"")</f>
        <v/>
      </c>
      <c r="C53" s="57" t="n"/>
      <c r="D53" s="57" t="n"/>
      <c r="E53" s="57" t="n"/>
      <c r="F53" s="57">
        <f>IF(LARGE($T$3:$T$500,1)&gt;-9000,IFERROR(INDEX('Product Tracker'!$A$3:$A$500,MATCH(LARGE($T$3:$T$500,1),$T$3:$T$500,0)),""),"")</f>
        <v/>
      </c>
      <c r="G53" s="57" t="n"/>
      <c r="H53" s="58">
        <f>IF(LARGE($T$3:$T$500,1)&gt;-9000,IFERROR(INDEX('Product Tracker'!$AC$3:$AC$500,MATCH(LARGE($T$3:$T$500,1),$T$3:$T$500,0)),""),"")</f>
        <v/>
      </c>
      <c r="I53" s="56">
        <f>IF(LARGE($T$3:$T$500,1)&gt;-9000,IFERROR(INDEX('Product Tracker'!$AD$3:$AD$500,MATCH(LARGE($T$3:$T$500,1),$T$3:$T$500,0)),""),"")</f>
        <v/>
      </c>
      <c r="J53" s="57" t="n"/>
      <c r="K53" s="59">
        <f>IF(LARGE($T$3:$T$500,1)&gt;-9000,IFERROR(INDEX('Product Tracker'!$P$3:$P$500,MATCH(LARGE($T$3:$T$500,1),$T$3:$T$500,0)),""),"")</f>
        <v/>
      </c>
      <c r="L53" s="57" t="n"/>
      <c r="R53">
        <f>IF('Product Tracker'!AD53="Buy",IF('Product Tracker'!AC53="",0,'Product Tracker'!AC53)-ROW()*0.0000001,-9999-ROW()*0.0000001)</f>
        <v/>
      </c>
      <c r="S53">
        <f>IF('Product Tracker'!BL53="Yes",IF('Product Tracker'!AC53="",0,'Product Tracker'!AC53)-ROW()*0.0000001,-9999-ROW()*0.0000001)</f>
        <v/>
      </c>
      <c r="T53">
        <f>IF(OR('Product Tracker'!AY53="High",'Product Tracker'!BA53="High",AND('Product Tracker'!AB53&lt;&gt;"",'Product Tracker'!AB53&lt;=2)),IF('Product Tracker'!AC53="",0,'Product Tracker'!AC53)-ROW()*0.0000001,-9999-ROW()*0.0000001)</f>
        <v/>
      </c>
    </row>
    <row r="54" ht="16" customHeight="1">
      <c r="A54" s="60" t="n">
        <v>2</v>
      </c>
      <c r="B54" s="61">
        <f>IF(LARGE($T$3:$T$500,2)&gt;-9000,IFERROR(INDEX('Product Tracker'!$C$3:$C$500,MATCH(LARGE($T$3:$T$500,2),$T$3:$T$500,0)),""),"")</f>
        <v/>
      </c>
      <c r="C54" s="61" t="n"/>
      <c r="D54" s="61" t="n"/>
      <c r="E54" s="61" t="n"/>
      <c r="F54" s="61">
        <f>IF(LARGE($T$3:$T$500,2)&gt;-9000,IFERROR(INDEX('Product Tracker'!$A$3:$A$500,MATCH(LARGE($T$3:$T$500,2),$T$3:$T$500,0)),""),"")</f>
        <v/>
      </c>
      <c r="G54" s="61" t="n"/>
      <c r="H54" s="62">
        <f>IF(LARGE($T$3:$T$500,2)&gt;-9000,IFERROR(INDEX('Product Tracker'!$AC$3:$AC$500,MATCH(LARGE($T$3:$T$500,2),$T$3:$T$500,0)),""),"")</f>
        <v/>
      </c>
      <c r="I54" s="60">
        <f>IF(LARGE($T$3:$T$500,2)&gt;-9000,IFERROR(INDEX('Product Tracker'!$AD$3:$AD$500,MATCH(LARGE($T$3:$T$500,2),$T$3:$T$500,0)),""),"")</f>
        <v/>
      </c>
      <c r="J54" s="61" t="n"/>
      <c r="K54" s="63">
        <f>IF(LARGE($T$3:$T$500,2)&gt;-9000,IFERROR(INDEX('Product Tracker'!$P$3:$P$500,MATCH(LARGE($T$3:$T$500,2),$T$3:$T$500,0)),""),"")</f>
        <v/>
      </c>
      <c r="L54" s="61" t="n"/>
      <c r="R54">
        <f>IF('Product Tracker'!AD54="Buy",IF('Product Tracker'!AC54="",0,'Product Tracker'!AC54)-ROW()*0.0000001,-9999-ROW()*0.0000001)</f>
        <v/>
      </c>
      <c r="S54">
        <f>IF('Product Tracker'!BL54="Yes",IF('Product Tracker'!AC54="",0,'Product Tracker'!AC54)-ROW()*0.0000001,-9999-ROW()*0.0000001)</f>
        <v/>
      </c>
      <c r="T54">
        <f>IF(OR('Product Tracker'!AY54="High",'Product Tracker'!BA54="High",AND('Product Tracker'!AB54&lt;&gt;"",'Product Tracker'!AB54&lt;=2)),IF('Product Tracker'!AC54="",0,'Product Tracker'!AC54)-ROW()*0.0000001,-9999-ROW()*0.0000001)</f>
        <v/>
      </c>
    </row>
    <row r="55" ht="16" customHeight="1">
      <c r="A55" s="56" t="n">
        <v>3</v>
      </c>
      <c r="B55" s="57">
        <f>IF(LARGE($T$3:$T$500,3)&gt;-9000,IFERROR(INDEX('Product Tracker'!$C$3:$C$500,MATCH(LARGE($T$3:$T$500,3),$T$3:$T$500,0)),""),"")</f>
        <v/>
      </c>
      <c r="C55" s="57" t="n"/>
      <c r="D55" s="57" t="n"/>
      <c r="E55" s="57" t="n"/>
      <c r="F55" s="57">
        <f>IF(LARGE($T$3:$T$500,3)&gt;-9000,IFERROR(INDEX('Product Tracker'!$A$3:$A$500,MATCH(LARGE($T$3:$T$500,3),$T$3:$T$500,0)),""),"")</f>
        <v/>
      </c>
      <c r="G55" s="57" t="n"/>
      <c r="H55" s="58">
        <f>IF(LARGE($T$3:$T$500,3)&gt;-9000,IFERROR(INDEX('Product Tracker'!$AC$3:$AC$500,MATCH(LARGE($T$3:$T$500,3),$T$3:$T$500,0)),""),"")</f>
        <v/>
      </c>
      <c r="I55" s="56">
        <f>IF(LARGE($T$3:$T$500,3)&gt;-9000,IFERROR(INDEX('Product Tracker'!$AD$3:$AD$500,MATCH(LARGE($T$3:$T$500,3),$T$3:$T$500,0)),""),"")</f>
        <v/>
      </c>
      <c r="J55" s="57" t="n"/>
      <c r="K55" s="59">
        <f>IF(LARGE($T$3:$T$500,3)&gt;-9000,IFERROR(INDEX('Product Tracker'!$P$3:$P$500,MATCH(LARGE($T$3:$T$500,3),$T$3:$T$500,0)),""),"")</f>
        <v/>
      </c>
      <c r="L55" s="57" t="n"/>
      <c r="R55">
        <f>IF('Product Tracker'!AD55="Buy",IF('Product Tracker'!AC55="",0,'Product Tracker'!AC55)-ROW()*0.0000001,-9999-ROW()*0.0000001)</f>
        <v/>
      </c>
      <c r="S55">
        <f>IF('Product Tracker'!BL55="Yes",IF('Product Tracker'!AC55="",0,'Product Tracker'!AC55)-ROW()*0.0000001,-9999-ROW()*0.0000001)</f>
        <v/>
      </c>
      <c r="T55">
        <f>IF(OR('Product Tracker'!AY55="High",'Product Tracker'!BA55="High",AND('Product Tracker'!AB55&lt;&gt;"",'Product Tracker'!AB55&lt;=2)),IF('Product Tracker'!AC55="",0,'Product Tracker'!AC55)-ROW()*0.0000001,-9999-ROW()*0.0000001)</f>
        <v/>
      </c>
    </row>
    <row r="56" ht="16" customHeight="1">
      <c r="A56" s="60" t="n">
        <v>4</v>
      </c>
      <c r="B56" s="61">
        <f>IF(LARGE($T$3:$T$500,4)&gt;-9000,IFERROR(INDEX('Product Tracker'!$C$3:$C$500,MATCH(LARGE($T$3:$T$500,4),$T$3:$T$500,0)),""),"")</f>
        <v/>
      </c>
      <c r="C56" s="61" t="n"/>
      <c r="D56" s="61" t="n"/>
      <c r="E56" s="61" t="n"/>
      <c r="F56" s="61">
        <f>IF(LARGE($T$3:$T$500,4)&gt;-9000,IFERROR(INDEX('Product Tracker'!$A$3:$A$500,MATCH(LARGE($T$3:$T$500,4),$T$3:$T$500,0)),""),"")</f>
        <v/>
      </c>
      <c r="G56" s="61" t="n"/>
      <c r="H56" s="62">
        <f>IF(LARGE($T$3:$T$500,4)&gt;-9000,IFERROR(INDEX('Product Tracker'!$AC$3:$AC$500,MATCH(LARGE($T$3:$T$500,4),$T$3:$T$500,0)),""),"")</f>
        <v/>
      </c>
      <c r="I56" s="60">
        <f>IF(LARGE($T$3:$T$500,4)&gt;-9000,IFERROR(INDEX('Product Tracker'!$AD$3:$AD$500,MATCH(LARGE($T$3:$T$500,4),$T$3:$T$500,0)),""),"")</f>
        <v/>
      </c>
      <c r="J56" s="61" t="n"/>
      <c r="K56" s="63">
        <f>IF(LARGE($T$3:$T$500,4)&gt;-9000,IFERROR(INDEX('Product Tracker'!$P$3:$P$500,MATCH(LARGE($T$3:$T$500,4),$T$3:$T$500,0)),""),"")</f>
        <v/>
      </c>
      <c r="L56" s="61" t="n"/>
      <c r="R56">
        <f>IF('Product Tracker'!AD56="Buy",IF('Product Tracker'!AC56="",0,'Product Tracker'!AC56)-ROW()*0.0000001,-9999-ROW()*0.0000001)</f>
        <v/>
      </c>
      <c r="S56">
        <f>IF('Product Tracker'!BL56="Yes",IF('Product Tracker'!AC56="",0,'Product Tracker'!AC56)-ROW()*0.0000001,-9999-ROW()*0.0000001)</f>
        <v/>
      </c>
      <c r="T56">
        <f>IF(OR('Product Tracker'!AY56="High",'Product Tracker'!BA56="High",AND('Product Tracker'!AB56&lt;&gt;"",'Product Tracker'!AB56&lt;=2)),IF('Product Tracker'!AC56="",0,'Product Tracker'!AC56)-ROW()*0.0000001,-9999-ROW()*0.0000001)</f>
        <v/>
      </c>
    </row>
    <row r="57" ht="16" customHeight="1">
      <c r="A57" s="56" t="n">
        <v>5</v>
      </c>
      <c r="B57" s="57">
        <f>IF(LARGE($T$3:$T$500,5)&gt;-9000,IFERROR(INDEX('Product Tracker'!$C$3:$C$500,MATCH(LARGE($T$3:$T$500,5),$T$3:$T$500,0)),""),"")</f>
        <v/>
      </c>
      <c r="C57" s="57" t="n"/>
      <c r="D57" s="57" t="n"/>
      <c r="E57" s="57" t="n"/>
      <c r="F57" s="57">
        <f>IF(LARGE($T$3:$T$500,5)&gt;-9000,IFERROR(INDEX('Product Tracker'!$A$3:$A$500,MATCH(LARGE($T$3:$T$500,5),$T$3:$T$500,0)),""),"")</f>
        <v/>
      </c>
      <c r="G57" s="57" t="n"/>
      <c r="H57" s="58">
        <f>IF(LARGE($T$3:$T$500,5)&gt;-9000,IFERROR(INDEX('Product Tracker'!$AC$3:$AC$500,MATCH(LARGE($T$3:$T$500,5),$T$3:$T$500,0)),""),"")</f>
        <v/>
      </c>
      <c r="I57" s="56">
        <f>IF(LARGE($T$3:$T$500,5)&gt;-9000,IFERROR(INDEX('Product Tracker'!$AD$3:$AD$500,MATCH(LARGE($T$3:$T$500,5),$T$3:$T$500,0)),""),"")</f>
        <v/>
      </c>
      <c r="J57" s="57" t="n"/>
      <c r="K57" s="59">
        <f>IF(LARGE($T$3:$T$500,5)&gt;-9000,IFERROR(INDEX('Product Tracker'!$P$3:$P$500,MATCH(LARGE($T$3:$T$500,5),$T$3:$T$500,0)),""),"")</f>
        <v/>
      </c>
      <c r="L57" s="57" t="n"/>
      <c r="R57">
        <f>IF('Product Tracker'!AD57="Buy",IF('Product Tracker'!AC57="",0,'Product Tracker'!AC57)-ROW()*0.0000001,-9999-ROW()*0.0000001)</f>
        <v/>
      </c>
      <c r="S57">
        <f>IF('Product Tracker'!BL57="Yes",IF('Product Tracker'!AC57="",0,'Product Tracker'!AC57)-ROW()*0.0000001,-9999-ROW()*0.0000001)</f>
        <v/>
      </c>
      <c r="T57">
        <f>IF(OR('Product Tracker'!AY57="High",'Product Tracker'!BA57="High",AND('Product Tracker'!AB57&lt;&gt;"",'Product Tracker'!AB57&lt;=2)),IF('Product Tracker'!AC57="",0,'Product Tracker'!AC57)-ROW()*0.0000001,-9999-ROW()*0.0000001)</f>
        <v/>
      </c>
    </row>
    <row r="58" ht="16" customHeight="1">
      <c r="A58" s="60" t="n">
        <v>6</v>
      </c>
      <c r="B58" s="61">
        <f>IF(LARGE($T$3:$T$500,6)&gt;-9000,IFERROR(INDEX('Product Tracker'!$C$3:$C$500,MATCH(LARGE($T$3:$T$500,6),$T$3:$T$500,0)),""),"")</f>
        <v/>
      </c>
      <c r="C58" s="61" t="n"/>
      <c r="D58" s="61" t="n"/>
      <c r="E58" s="61" t="n"/>
      <c r="F58" s="61">
        <f>IF(LARGE($T$3:$T$500,6)&gt;-9000,IFERROR(INDEX('Product Tracker'!$A$3:$A$500,MATCH(LARGE($T$3:$T$500,6),$T$3:$T$500,0)),""),"")</f>
        <v/>
      </c>
      <c r="G58" s="61" t="n"/>
      <c r="H58" s="62">
        <f>IF(LARGE($T$3:$T$500,6)&gt;-9000,IFERROR(INDEX('Product Tracker'!$AC$3:$AC$500,MATCH(LARGE($T$3:$T$500,6),$T$3:$T$500,0)),""),"")</f>
        <v/>
      </c>
      <c r="I58" s="60">
        <f>IF(LARGE($T$3:$T$500,6)&gt;-9000,IFERROR(INDEX('Product Tracker'!$AD$3:$AD$500,MATCH(LARGE($T$3:$T$500,6),$T$3:$T$500,0)),""),"")</f>
        <v/>
      </c>
      <c r="J58" s="61" t="n"/>
      <c r="K58" s="63">
        <f>IF(LARGE($T$3:$T$500,6)&gt;-9000,IFERROR(INDEX('Product Tracker'!$P$3:$P$500,MATCH(LARGE($T$3:$T$500,6),$T$3:$T$500,0)),""),"")</f>
        <v/>
      </c>
      <c r="L58" s="61" t="n"/>
      <c r="R58">
        <f>IF('Product Tracker'!AD58="Buy",IF('Product Tracker'!AC58="",0,'Product Tracker'!AC58)-ROW()*0.0000001,-9999-ROW()*0.0000001)</f>
        <v/>
      </c>
      <c r="S58">
        <f>IF('Product Tracker'!BL58="Yes",IF('Product Tracker'!AC58="",0,'Product Tracker'!AC58)-ROW()*0.0000001,-9999-ROW()*0.0000001)</f>
        <v/>
      </c>
      <c r="T58">
        <f>IF(OR('Product Tracker'!AY58="High",'Product Tracker'!BA58="High",AND('Product Tracker'!AB58&lt;&gt;"",'Product Tracker'!AB58&lt;=2)),IF('Product Tracker'!AC58="",0,'Product Tracker'!AC58)-ROW()*0.0000001,-9999-ROW()*0.0000001)</f>
        <v/>
      </c>
    </row>
    <row r="59">
      <c r="R59">
        <f>IF('Product Tracker'!AD59="Buy",IF('Product Tracker'!AC59="",0,'Product Tracker'!AC59)-ROW()*0.0000001,-9999-ROW()*0.0000001)</f>
        <v/>
      </c>
      <c r="S59">
        <f>IF('Product Tracker'!BL59="Yes",IF('Product Tracker'!AC59="",0,'Product Tracker'!AC59)-ROW()*0.0000001,-9999-ROW()*0.0000001)</f>
        <v/>
      </c>
      <c r="T59">
        <f>IF(OR('Product Tracker'!AY59="High",'Product Tracker'!BA59="High",AND('Product Tracker'!AB59&lt;&gt;"",'Product Tracker'!AB59&lt;=2)),IF('Product Tracker'!AC59="",0,'Product Tracker'!AC59)-ROW()*0.0000001,-9999-ROW()*0.0000001)</f>
        <v/>
      </c>
    </row>
    <row r="60">
      <c r="R60">
        <f>IF('Product Tracker'!AD60="Buy",IF('Product Tracker'!AC60="",0,'Product Tracker'!AC60)-ROW()*0.0000001,-9999-ROW()*0.0000001)</f>
        <v/>
      </c>
      <c r="S60">
        <f>IF('Product Tracker'!BL60="Yes",IF('Product Tracker'!AC60="",0,'Product Tracker'!AC60)-ROW()*0.0000001,-9999-ROW()*0.0000001)</f>
        <v/>
      </c>
      <c r="T60">
        <f>IF(OR('Product Tracker'!AY60="High",'Product Tracker'!BA60="High",AND('Product Tracker'!AB60&lt;&gt;"",'Product Tracker'!AB60&lt;=2)),IF('Product Tracker'!AC60="",0,'Product Tracker'!AC60)-ROW()*0.0000001,-9999-ROW()*0.0000001)</f>
        <v/>
      </c>
    </row>
    <row r="61">
      <c r="R61">
        <f>IF('Product Tracker'!AD61="Buy",IF('Product Tracker'!AC61="",0,'Product Tracker'!AC61)-ROW()*0.0000001,-9999-ROW()*0.0000001)</f>
        <v/>
      </c>
      <c r="S61">
        <f>IF('Product Tracker'!BL61="Yes",IF('Product Tracker'!AC61="",0,'Product Tracker'!AC61)-ROW()*0.0000001,-9999-ROW()*0.0000001)</f>
        <v/>
      </c>
      <c r="T61">
        <f>IF(OR('Product Tracker'!AY61="High",'Product Tracker'!BA61="High",AND('Product Tracker'!AB61&lt;&gt;"",'Product Tracker'!AB61&lt;=2)),IF('Product Tracker'!AC61="",0,'Product Tracker'!AC61)-ROW()*0.0000001,-9999-ROW()*0.0000001)</f>
        <v/>
      </c>
    </row>
    <row r="62">
      <c r="R62">
        <f>IF('Product Tracker'!AD62="Buy",IF('Product Tracker'!AC62="",0,'Product Tracker'!AC62)-ROW()*0.0000001,-9999-ROW()*0.0000001)</f>
        <v/>
      </c>
      <c r="S62">
        <f>IF('Product Tracker'!BL62="Yes",IF('Product Tracker'!AC62="",0,'Product Tracker'!AC62)-ROW()*0.0000001,-9999-ROW()*0.0000001)</f>
        <v/>
      </c>
      <c r="T62">
        <f>IF(OR('Product Tracker'!AY62="High",'Product Tracker'!BA62="High",AND('Product Tracker'!AB62&lt;&gt;"",'Product Tracker'!AB62&lt;=2)),IF('Product Tracker'!AC62="",0,'Product Tracker'!AC62)-ROW()*0.0000001,-9999-ROW()*0.0000001)</f>
        <v/>
      </c>
    </row>
    <row r="63">
      <c r="R63">
        <f>IF('Product Tracker'!AD63="Buy",IF('Product Tracker'!AC63="",0,'Product Tracker'!AC63)-ROW()*0.0000001,-9999-ROW()*0.0000001)</f>
        <v/>
      </c>
      <c r="S63">
        <f>IF('Product Tracker'!BL63="Yes",IF('Product Tracker'!AC63="",0,'Product Tracker'!AC63)-ROW()*0.0000001,-9999-ROW()*0.0000001)</f>
        <v/>
      </c>
      <c r="T63">
        <f>IF(OR('Product Tracker'!AY63="High",'Product Tracker'!BA63="High",AND('Product Tracker'!AB63&lt;&gt;"",'Product Tracker'!AB63&lt;=2)),IF('Product Tracker'!AC63="",0,'Product Tracker'!AC63)-ROW()*0.0000001,-9999-ROW()*0.0000001)</f>
        <v/>
      </c>
    </row>
    <row r="64">
      <c r="R64">
        <f>IF('Product Tracker'!AD64="Buy",IF('Product Tracker'!AC64="",0,'Product Tracker'!AC64)-ROW()*0.0000001,-9999-ROW()*0.0000001)</f>
        <v/>
      </c>
      <c r="S64">
        <f>IF('Product Tracker'!BL64="Yes",IF('Product Tracker'!AC64="",0,'Product Tracker'!AC64)-ROW()*0.0000001,-9999-ROW()*0.0000001)</f>
        <v/>
      </c>
      <c r="T64">
        <f>IF(OR('Product Tracker'!AY64="High",'Product Tracker'!BA64="High",AND('Product Tracker'!AB64&lt;&gt;"",'Product Tracker'!AB64&lt;=2)),IF('Product Tracker'!AC64="",0,'Product Tracker'!AC64)-ROW()*0.0000001,-9999-ROW()*0.0000001)</f>
        <v/>
      </c>
    </row>
    <row r="65" hidden="1">
      <c r="A65" t="inlineStr">
        <is>
          <t>Decision</t>
        </is>
      </c>
      <c r="B65" t="inlineStr">
        <is>
          <t>Count</t>
        </is>
      </c>
      <c r="R65">
        <f>IF('Product Tracker'!AD65="Buy",IF('Product Tracker'!AC65="",0,'Product Tracker'!AC65)-ROW()*0.0000001,-9999-ROW()*0.0000001)</f>
        <v/>
      </c>
      <c r="S65">
        <f>IF('Product Tracker'!BL65="Yes",IF('Product Tracker'!AC65="",0,'Product Tracker'!AC65)-ROW()*0.0000001,-9999-ROW()*0.0000001)</f>
        <v/>
      </c>
      <c r="T65">
        <f>IF(OR('Product Tracker'!AY65="High",'Product Tracker'!BA65="High",AND('Product Tracker'!AB65&lt;&gt;"",'Product Tracker'!AB65&lt;=2)),IF('Product Tracker'!AC65="",0,'Product Tracker'!AC65)-ROW()*0.0000001,-9999-ROW()*0.0000001)</f>
        <v/>
      </c>
    </row>
    <row r="66" hidden="1">
      <c r="A66" t="inlineStr">
        <is>
          <t>Buy</t>
        </is>
      </c>
      <c r="B66">
        <f>COUNTIF('Product Tracker'!AD3:AD500,"Buy")</f>
        <v/>
      </c>
      <c r="R66">
        <f>IF('Product Tracker'!AD66="Buy",IF('Product Tracker'!AC66="",0,'Product Tracker'!AC66)-ROW()*0.0000001,-9999-ROW()*0.0000001)</f>
        <v/>
      </c>
      <c r="S66">
        <f>IF('Product Tracker'!BL66="Yes",IF('Product Tracker'!AC66="",0,'Product Tracker'!AC66)-ROW()*0.0000001,-9999-ROW()*0.0000001)</f>
        <v/>
      </c>
      <c r="T66">
        <f>IF(OR('Product Tracker'!AY66="High",'Product Tracker'!BA66="High",AND('Product Tracker'!AB66&lt;&gt;"",'Product Tracker'!AB66&lt;=2)),IF('Product Tracker'!AC66="",0,'Product Tracker'!AC66)-ROW()*0.0000001,-9999-ROW()*0.0000001)</f>
        <v/>
      </c>
    </row>
    <row r="67" hidden="1">
      <c r="A67" t="inlineStr">
        <is>
          <t>Maybe</t>
        </is>
      </c>
      <c r="B67">
        <f>COUNTIF('Product Tracker'!AD3:AD500,"Maybe")</f>
        <v/>
      </c>
      <c r="R67">
        <f>IF('Product Tracker'!AD67="Buy",IF('Product Tracker'!AC67="",0,'Product Tracker'!AC67)-ROW()*0.0000001,-9999-ROW()*0.0000001)</f>
        <v/>
      </c>
      <c r="S67">
        <f>IF('Product Tracker'!BL67="Yes",IF('Product Tracker'!AC67="",0,'Product Tracker'!AC67)-ROW()*0.0000001,-9999-ROW()*0.0000001)</f>
        <v/>
      </c>
      <c r="T67">
        <f>IF(OR('Product Tracker'!AY67="High",'Product Tracker'!BA67="High",AND('Product Tracker'!AB67&lt;&gt;"",'Product Tracker'!AB67&lt;=2)),IF('Product Tracker'!AC67="",0,'Product Tracker'!AC67)-ROW()*0.0000001,-9999-ROW()*0.0000001)</f>
        <v/>
      </c>
    </row>
    <row r="68" hidden="1">
      <c r="A68" t="inlineStr">
        <is>
          <t>Price Review</t>
        </is>
      </c>
      <c r="B68">
        <f>COUNTIF('Product Tracker'!AD3:AD500,"Price Review")</f>
        <v/>
      </c>
      <c r="R68">
        <f>IF('Product Tracker'!AD68="Buy",IF('Product Tracker'!AC68="",0,'Product Tracker'!AC68)-ROW()*0.0000001,-9999-ROW()*0.0000001)</f>
        <v/>
      </c>
      <c r="S68">
        <f>IF('Product Tracker'!BL68="Yes",IF('Product Tracker'!AC68="",0,'Product Tracker'!AC68)-ROW()*0.0000001,-9999-ROW()*0.0000001)</f>
        <v/>
      </c>
      <c r="T68">
        <f>IF(OR('Product Tracker'!AY68="High",'Product Tracker'!BA68="High",AND('Product Tracker'!AB68&lt;&gt;"",'Product Tracker'!AB68&lt;=2)),IF('Product Tracker'!AC68="",0,'Product Tracker'!AC68)-ROW()*0.0000001,-9999-ROW()*0.0000001)</f>
        <v/>
      </c>
    </row>
    <row r="69" hidden="1">
      <c r="A69" t="inlineStr">
        <is>
          <t>Reject</t>
        </is>
      </c>
      <c r="B69">
        <f>COUNTIF('Product Tracker'!AD3:AD500,"Reject")</f>
        <v/>
      </c>
      <c r="R69">
        <f>IF('Product Tracker'!AD69="Buy",IF('Product Tracker'!AC69="",0,'Product Tracker'!AC69)-ROW()*0.0000001,-9999-ROW()*0.0000001)</f>
        <v/>
      </c>
      <c r="S69">
        <f>IF('Product Tracker'!BL69="Yes",IF('Product Tracker'!AC69="",0,'Product Tracker'!AC69)-ROW()*0.0000001,-9999-ROW()*0.0000001)</f>
        <v/>
      </c>
      <c r="T69">
        <f>IF(OR('Product Tracker'!AY69="High",'Product Tracker'!BA69="High",AND('Product Tracker'!AB69&lt;&gt;"",'Product Tracker'!AB69&lt;=2)),IF('Product Tracker'!AC69="",0,'Product Tracker'!AC69)-ROW()*0.0000001,-9999-ROW()*0.0000001)</f>
        <v/>
      </c>
    </row>
    <row r="70" hidden="1">
      <c r="A70" t="inlineStr">
        <is>
          <t>Sourcing Status</t>
        </is>
      </c>
      <c r="B70" t="inlineStr">
        <is>
          <t>Count</t>
        </is>
      </c>
      <c r="R70">
        <f>IF('Product Tracker'!AD70="Buy",IF('Product Tracker'!AC70="",0,'Product Tracker'!AC70)-ROW()*0.0000001,-9999-ROW()*0.0000001)</f>
        <v/>
      </c>
      <c r="S70">
        <f>IF('Product Tracker'!BL70="Yes",IF('Product Tracker'!AC70="",0,'Product Tracker'!AC70)-ROW()*0.0000001,-9999-ROW()*0.0000001)</f>
        <v/>
      </c>
      <c r="T70">
        <f>IF(OR('Product Tracker'!AY70="High",'Product Tracker'!BA70="High",AND('Product Tracker'!AB70&lt;&gt;"",'Product Tracker'!AB70&lt;=2)),IF('Product Tracker'!AC70="",0,'Product Tracker'!AC70)-ROW()*0.0000001,-9999-ROW()*0.0000001)</f>
        <v/>
      </c>
    </row>
    <row r="71" hidden="1">
      <c r="A71" t="inlineStr">
        <is>
          <t>Not Started</t>
        </is>
      </c>
      <c r="B71">
        <f>COUNTIF('Product Tracker'!BF3:BF500,"Not Started")</f>
        <v/>
      </c>
      <c r="R71">
        <f>IF('Product Tracker'!AD71="Buy",IF('Product Tracker'!AC71="",0,'Product Tracker'!AC71)-ROW()*0.0000001,-9999-ROW()*0.0000001)</f>
        <v/>
      </c>
      <c r="S71">
        <f>IF('Product Tracker'!BL71="Yes",IF('Product Tracker'!AC71="",0,'Product Tracker'!AC71)-ROW()*0.0000001,-9999-ROW()*0.0000001)</f>
        <v/>
      </c>
      <c r="T71">
        <f>IF(OR('Product Tracker'!AY71="High",'Product Tracker'!BA71="High",AND('Product Tracker'!AB71&lt;&gt;"",'Product Tracker'!AB71&lt;=2)),IF('Product Tracker'!AC71="",0,'Product Tracker'!AC71)-ROW()*0.0000001,-9999-ROW()*0.0000001)</f>
        <v/>
      </c>
    </row>
    <row r="72" hidden="1">
      <c r="A72" t="inlineStr">
        <is>
          <t>Sourcing</t>
        </is>
      </c>
      <c r="B72">
        <f>COUNTIF('Product Tracker'!BF3:BF500,"Sourcing")</f>
        <v/>
      </c>
      <c r="R72">
        <f>IF('Product Tracker'!AD72="Buy",IF('Product Tracker'!AC72="",0,'Product Tracker'!AC72)-ROW()*0.0000001,-9999-ROW()*0.0000001)</f>
        <v/>
      </c>
      <c r="S72">
        <f>IF('Product Tracker'!BL72="Yes",IF('Product Tracker'!AC72="",0,'Product Tracker'!AC72)-ROW()*0.0000001,-9999-ROW()*0.0000001)</f>
        <v/>
      </c>
      <c r="T72">
        <f>IF(OR('Product Tracker'!AY72="High",'Product Tracker'!BA72="High",AND('Product Tracker'!AB72&lt;&gt;"",'Product Tracker'!AB72&lt;=2)),IF('Product Tracker'!AC72="",0,'Product Tracker'!AC72)-ROW()*0.0000001,-9999-ROW()*0.0000001)</f>
        <v/>
      </c>
    </row>
    <row r="73" hidden="1">
      <c r="A73" t="inlineStr">
        <is>
          <t>Sample Ordered</t>
        </is>
      </c>
      <c r="B73">
        <f>COUNTIF('Product Tracker'!BF3:BF500,"Sample Ordered")</f>
        <v/>
      </c>
      <c r="R73">
        <f>IF('Product Tracker'!AD73="Buy",IF('Product Tracker'!AC73="",0,'Product Tracker'!AC73)-ROW()*0.0000001,-9999-ROW()*0.0000001)</f>
        <v/>
      </c>
      <c r="S73">
        <f>IF('Product Tracker'!BL73="Yes",IF('Product Tracker'!AC73="",0,'Product Tracker'!AC73)-ROW()*0.0000001,-9999-ROW()*0.0000001)</f>
        <v/>
      </c>
      <c r="T73">
        <f>IF(OR('Product Tracker'!AY73="High",'Product Tracker'!BA73="High",AND('Product Tracker'!AB73&lt;&gt;"",'Product Tracker'!AB73&lt;=2)),IF('Product Tracker'!AC73="",0,'Product Tracker'!AC73)-ROW()*0.0000001,-9999-ROW()*0.0000001)</f>
        <v/>
      </c>
    </row>
    <row r="74" hidden="1">
      <c r="A74" t="inlineStr">
        <is>
          <t>Sample Received</t>
        </is>
      </c>
      <c r="B74">
        <f>COUNTIF('Product Tracker'!BF3:BF500,"Sample Received")</f>
        <v/>
      </c>
      <c r="R74">
        <f>IF('Product Tracker'!AD74="Buy",IF('Product Tracker'!AC74="",0,'Product Tracker'!AC74)-ROW()*0.0000001,-9999-ROW()*0.0000001)</f>
        <v/>
      </c>
      <c r="S74">
        <f>IF('Product Tracker'!BL74="Yes",IF('Product Tracker'!AC74="",0,'Product Tracker'!AC74)-ROW()*0.0000001,-9999-ROW()*0.0000001)</f>
        <v/>
      </c>
      <c r="T74">
        <f>IF(OR('Product Tracker'!AY74="High",'Product Tracker'!BA74="High",AND('Product Tracker'!AB74&lt;&gt;"",'Product Tracker'!AB74&lt;=2)),IF('Product Tracker'!AC74="",0,'Product Tracker'!AC74)-ROW()*0.0000001,-9999-ROW()*0.0000001)</f>
        <v/>
      </c>
    </row>
    <row r="75" hidden="1">
      <c r="A75" t="inlineStr">
        <is>
          <t>Approved - Not Ordered</t>
        </is>
      </c>
      <c r="B75">
        <f>COUNTIF('Product Tracker'!BF3:BF500,"Approved - Not Ordered")</f>
        <v/>
      </c>
      <c r="R75">
        <f>IF('Product Tracker'!AD75="Buy",IF('Product Tracker'!AC75="",0,'Product Tracker'!AC75)-ROW()*0.0000001,-9999-ROW()*0.0000001)</f>
        <v/>
      </c>
      <c r="S75">
        <f>IF('Product Tracker'!BL75="Yes",IF('Product Tracker'!AC75="",0,'Product Tracker'!AC75)-ROW()*0.0000001,-9999-ROW()*0.0000001)</f>
        <v/>
      </c>
      <c r="T75">
        <f>IF(OR('Product Tracker'!AY75="High",'Product Tracker'!BA75="High",AND('Product Tracker'!AB75&lt;&gt;"",'Product Tracker'!AB75&lt;=2)),IF('Product Tracker'!AC75="",0,'Product Tracker'!AC75)-ROW()*0.0000001,-9999-ROW()*0.0000001)</f>
        <v/>
      </c>
    </row>
    <row r="76" hidden="1">
      <c r="A76" t="inlineStr">
        <is>
          <t>Ordered</t>
        </is>
      </c>
      <c r="B76">
        <f>COUNTIF('Product Tracker'!BF3:BF500,"Ordered")</f>
        <v/>
      </c>
      <c r="R76">
        <f>IF('Product Tracker'!AD76="Buy",IF('Product Tracker'!AC76="",0,'Product Tracker'!AC76)-ROW()*0.0000001,-9999-ROW()*0.0000001)</f>
        <v/>
      </c>
      <c r="S76">
        <f>IF('Product Tracker'!BL76="Yes",IF('Product Tracker'!AC76="",0,'Product Tracker'!AC76)-ROW()*0.0000001,-9999-ROW()*0.0000001)</f>
        <v/>
      </c>
      <c r="T76">
        <f>IF(OR('Product Tracker'!AY76="High",'Product Tracker'!BA76="High",AND('Product Tracker'!AB76&lt;&gt;"",'Product Tracker'!AB76&lt;=2)),IF('Product Tracker'!AC76="",0,'Product Tracker'!AC76)-ROW()*0.0000001,-9999-ROW()*0.0000001)</f>
        <v/>
      </c>
    </row>
    <row r="77" hidden="1">
      <c r="A77" t="inlineStr">
        <is>
          <t>In Transit</t>
        </is>
      </c>
      <c r="B77">
        <f>COUNTIF('Product Tracker'!BF3:BF500,"In Transit")</f>
        <v/>
      </c>
      <c r="R77">
        <f>IF('Product Tracker'!AD77="Buy",IF('Product Tracker'!AC77="",0,'Product Tracker'!AC77)-ROW()*0.0000001,-9999-ROW()*0.0000001)</f>
        <v/>
      </c>
      <c r="S77">
        <f>IF('Product Tracker'!BL77="Yes",IF('Product Tracker'!AC77="",0,'Product Tracker'!AC77)-ROW()*0.0000001,-9999-ROW()*0.0000001)</f>
        <v/>
      </c>
      <c r="T77">
        <f>IF(OR('Product Tracker'!AY77="High",'Product Tracker'!BA77="High",AND('Product Tracker'!AB77&lt;&gt;"",'Product Tracker'!AB77&lt;=2)),IF('Product Tracker'!AC77="",0,'Product Tracker'!AC77)-ROW()*0.0000001,-9999-ROW()*0.0000001)</f>
        <v/>
      </c>
    </row>
    <row r="78" hidden="1">
      <c r="A78" t="inlineStr">
        <is>
          <t>Arrived</t>
        </is>
      </c>
      <c r="B78">
        <f>COUNTIF('Product Tracker'!BF3:BF500,"Arrived")</f>
        <v/>
      </c>
      <c r="R78">
        <f>IF('Product Tracker'!AD78="Buy",IF('Product Tracker'!AC78="",0,'Product Tracker'!AC78)-ROW()*0.0000001,-9999-ROW()*0.0000001)</f>
        <v/>
      </c>
      <c r="S78">
        <f>IF('Product Tracker'!BL78="Yes",IF('Product Tracker'!AC78="",0,'Product Tracker'!AC78)-ROW()*0.0000001,-9999-ROW()*0.0000001)</f>
        <v/>
      </c>
      <c r="T78">
        <f>IF(OR('Product Tracker'!AY78="High",'Product Tracker'!BA78="High",AND('Product Tracker'!AB78&lt;&gt;"",'Product Tracker'!AB78&lt;=2)),IF('Product Tracker'!AC78="",0,'Product Tracker'!AC78)-ROW()*0.0000001,-9999-ROW()*0.0000001)</f>
        <v/>
      </c>
    </row>
    <row r="79" hidden="1">
      <c r="A79" t="inlineStr">
        <is>
          <t>Live on Website</t>
        </is>
      </c>
      <c r="B79">
        <f>COUNTIF('Product Tracker'!BF3:BF500,"Live on Website")</f>
        <v/>
      </c>
      <c r="R79">
        <f>IF('Product Tracker'!AD79="Buy",IF('Product Tracker'!AC79="",0,'Product Tracker'!AC79)-ROW()*0.0000001,-9999-ROW()*0.0000001)</f>
        <v/>
      </c>
      <c r="S79">
        <f>IF('Product Tracker'!BL79="Yes",IF('Product Tracker'!AC79="",0,'Product Tracker'!AC79)-ROW()*0.0000001,-9999-ROW()*0.0000001)</f>
        <v/>
      </c>
      <c r="T79">
        <f>IF(OR('Product Tracker'!AY79="High",'Product Tracker'!BA79="High",AND('Product Tracker'!AB79&lt;&gt;"",'Product Tracker'!AB79&lt;=2)),IF('Product Tracker'!AC79="",0,'Product Tracker'!AC79)-ROW()*0.0000001,-9999-ROW()*0.0000001)</f>
        <v/>
      </c>
    </row>
    <row r="80" hidden="1">
      <c r="R80">
        <f>IF('Product Tracker'!AD80="Buy",IF('Product Tracker'!AC80="",0,'Product Tracker'!AC80)-ROW()*0.0000001,-9999-ROW()*0.0000001)</f>
        <v/>
      </c>
      <c r="S80">
        <f>IF('Product Tracker'!BL80="Yes",IF('Product Tracker'!AC80="",0,'Product Tracker'!AC80)-ROW()*0.0000001,-9999-ROW()*0.0000001)</f>
        <v/>
      </c>
      <c r="T80">
        <f>IF(OR('Product Tracker'!AY80="High",'Product Tracker'!BA80="High",AND('Product Tracker'!AB80&lt;&gt;"",'Product Tracker'!AB80&lt;=2)),IF('Product Tracker'!AC80="",0,'Product Tracker'!AC80)-ROW()*0.0000001,-9999-ROW()*0.0000001)</f>
        <v/>
      </c>
    </row>
    <row r="81">
      <c r="R81">
        <f>IF('Product Tracker'!AD81="Buy",IF('Product Tracker'!AC81="",0,'Product Tracker'!AC81)-ROW()*0.0000001,-9999-ROW()*0.0000001)</f>
        <v/>
      </c>
      <c r="S81">
        <f>IF('Product Tracker'!BL81="Yes",IF('Product Tracker'!AC81="",0,'Product Tracker'!AC81)-ROW()*0.0000001,-9999-ROW()*0.0000001)</f>
        <v/>
      </c>
      <c r="T81">
        <f>IF(OR('Product Tracker'!AY81="High",'Product Tracker'!BA81="High",AND('Product Tracker'!AB81&lt;&gt;"",'Product Tracker'!AB81&lt;=2)),IF('Product Tracker'!AC81="",0,'Product Tracker'!AC81)-ROW()*0.0000001,-9999-ROW()*0.0000001)</f>
        <v/>
      </c>
    </row>
    <row r="82">
      <c r="R82">
        <f>IF('Product Tracker'!AD82="Buy",IF('Product Tracker'!AC82="",0,'Product Tracker'!AC82)-ROW()*0.0000001,-9999-ROW()*0.0000001)</f>
        <v/>
      </c>
      <c r="S82">
        <f>IF('Product Tracker'!BL82="Yes",IF('Product Tracker'!AC82="",0,'Product Tracker'!AC82)-ROW()*0.0000001,-9999-ROW()*0.0000001)</f>
        <v/>
      </c>
      <c r="T82">
        <f>IF(OR('Product Tracker'!AY82="High",'Product Tracker'!BA82="High",AND('Product Tracker'!AB82&lt;&gt;"",'Product Tracker'!AB82&lt;=2)),IF('Product Tracker'!AC82="",0,'Product Tracker'!AC82)-ROW()*0.0000001,-9999-ROW()*0.0000001)</f>
        <v/>
      </c>
    </row>
    <row r="83">
      <c r="R83">
        <f>IF('Product Tracker'!AD83="Buy",IF('Product Tracker'!AC83="",0,'Product Tracker'!AC83)-ROW()*0.0000001,-9999-ROW()*0.0000001)</f>
        <v/>
      </c>
      <c r="S83">
        <f>IF('Product Tracker'!BL83="Yes",IF('Product Tracker'!AC83="",0,'Product Tracker'!AC83)-ROW()*0.0000001,-9999-ROW()*0.0000001)</f>
        <v/>
      </c>
      <c r="T83">
        <f>IF(OR('Product Tracker'!AY83="High",'Product Tracker'!BA83="High",AND('Product Tracker'!AB83&lt;&gt;"",'Product Tracker'!AB83&lt;=2)),IF('Product Tracker'!AC83="",0,'Product Tracker'!AC83)-ROW()*0.0000001,-9999-ROW()*0.0000001)</f>
        <v/>
      </c>
    </row>
    <row r="84">
      <c r="R84">
        <f>IF('Product Tracker'!AD84="Buy",IF('Product Tracker'!AC84="",0,'Product Tracker'!AC84)-ROW()*0.0000001,-9999-ROW()*0.0000001)</f>
        <v/>
      </c>
      <c r="S84">
        <f>IF('Product Tracker'!BL84="Yes",IF('Product Tracker'!AC84="",0,'Product Tracker'!AC84)-ROW()*0.0000001,-9999-ROW()*0.0000001)</f>
        <v/>
      </c>
      <c r="T84">
        <f>IF(OR('Product Tracker'!AY84="High",'Product Tracker'!BA84="High",AND('Product Tracker'!AB84&lt;&gt;"",'Product Tracker'!AB84&lt;=2)),IF('Product Tracker'!AC84="",0,'Product Tracker'!AC84)-ROW()*0.0000001,-9999-ROW()*0.0000001)</f>
        <v/>
      </c>
    </row>
    <row r="85">
      <c r="R85">
        <f>IF('Product Tracker'!AD85="Buy",IF('Product Tracker'!AC85="",0,'Product Tracker'!AC85)-ROW()*0.0000001,-9999-ROW()*0.0000001)</f>
        <v/>
      </c>
      <c r="S85">
        <f>IF('Product Tracker'!BL85="Yes",IF('Product Tracker'!AC85="",0,'Product Tracker'!AC85)-ROW()*0.0000001,-9999-ROW()*0.0000001)</f>
        <v/>
      </c>
      <c r="T85">
        <f>IF(OR('Product Tracker'!AY85="High",'Product Tracker'!BA85="High",AND('Product Tracker'!AB85&lt;&gt;"",'Product Tracker'!AB85&lt;=2)),IF('Product Tracker'!AC85="",0,'Product Tracker'!AC85)-ROW()*0.0000001,-9999-ROW()*0.0000001)</f>
        <v/>
      </c>
    </row>
    <row r="86">
      <c r="R86">
        <f>IF('Product Tracker'!AD86="Buy",IF('Product Tracker'!AC86="",0,'Product Tracker'!AC86)-ROW()*0.0000001,-9999-ROW()*0.0000001)</f>
        <v/>
      </c>
      <c r="S86">
        <f>IF('Product Tracker'!BL86="Yes",IF('Product Tracker'!AC86="",0,'Product Tracker'!AC86)-ROW()*0.0000001,-9999-ROW()*0.0000001)</f>
        <v/>
      </c>
      <c r="T86">
        <f>IF(OR('Product Tracker'!AY86="High",'Product Tracker'!BA86="High",AND('Product Tracker'!AB86&lt;&gt;"",'Product Tracker'!AB86&lt;=2)),IF('Product Tracker'!AC86="",0,'Product Tracker'!AC86)-ROW()*0.0000001,-9999-ROW()*0.0000001)</f>
        <v/>
      </c>
    </row>
    <row r="87">
      <c r="R87">
        <f>IF('Product Tracker'!AD87="Buy",IF('Product Tracker'!AC87="",0,'Product Tracker'!AC87)-ROW()*0.0000001,-9999-ROW()*0.0000001)</f>
        <v/>
      </c>
      <c r="S87">
        <f>IF('Product Tracker'!BL87="Yes",IF('Product Tracker'!AC87="",0,'Product Tracker'!AC87)-ROW()*0.0000001,-9999-ROW()*0.0000001)</f>
        <v/>
      </c>
      <c r="T87">
        <f>IF(OR('Product Tracker'!AY87="High",'Product Tracker'!BA87="High",AND('Product Tracker'!AB87&lt;&gt;"",'Product Tracker'!AB87&lt;=2)),IF('Product Tracker'!AC87="",0,'Product Tracker'!AC87)-ROW()*0.0000001,-9999-ROW()*0.0000001)</f>
        <v/>
      </c>
    </row>
    <row r="88">
      <c r="R88">
        <f>IF('Product Tracker'!AD88="Buy",IF('Product Tracker'!AC88="",0,'Product Tracker'!AC88)-ROW()*0.0000001,-9999-ROW()*0.0000001)</f>
        <v/>
      </c>
      <c r="S88">
        <f>IF('Product Tracker'!BL88="Yes",IF('Product Tracker'!AC88="",0,'Product Tracker'!AC88)-ROW()*0.0000001,-9999-ROW()*0.0000001)</f>
        <v/>
      </c>
      <c r="T88">
        <f>IF(OR('Product Tracker'!AY88="High",'Product Tracker'!BA88="High",AND('Product Tracker'!AB88&lt;&gt;"",'Product Tracker'!AB88&lt;=2)),IF('Product Tracker'!AC88="",0,'Product Tracker'!AC88)-ROW()*0.0000001,-9999-ROW()*0.0000001)</f>
        <v/>
      </c>
    </row>
    <row r="89">
      <c r="R89">
        <f>IF('Product Tracker'!AD89="Buy",IF('Product Tracker'!AC89="",0,'Product Tracker'!AC89)-ROW()*0.0000001,-9999-ROW()*0.0000001)</f>
        <v/>
      </c>
      <c r="S89">
        <f>IF('Product Tracker'!BL89="Yes",IF('Product Tracker'!AC89="",0,'Product Tracker'!AC89)-ROW()*0.0000001,-9999-ROW()*0.0000001)</f>
        <v/>
      </c>
      <c r="T89">
        <f>IF(OR('Product Tracker'!AY89="High",'Product Tracker'!BA89="High",AND('Product Tracker'!AB89&lt;&gt;"",'Product Tracker'!AB89&lt;=2)),IF('Product Tracker'!AC89="",0,'Product Tracker'!AC89)-ROW()*0.0000001,-9999-ROW()*0.0000001)</f>
        <v/>
      </c>
    </row>
    <row r="90">
      <c r="R90">
        <f>IF('Product Tracker'!AD90="Buy",IF('Product Tracker'!AC90="",0,'Product Tracker'!AC90)-ROW()*0.0000001,-9999-ROW()*0.0000001)</f>
        <v/>
      </c>
      <c r="S90">
        <f>IF('Product Tracker'!BL90="Yes",IF('Product Tracker'!AC90="",0,'Product Tracker'!AC90)-ROW()*0.0000001,-9999-ROW()*0.0000001)</f>
        <v/>
      </c>
      <c r="T90">
        <f>IF(OR('Product Tracker'!AY90="High",'Product Tracker'!BA90="High",AND('Product Tracker'!AB90&lt;&gt;"",'Product Tracker'!AB90&lt;=2)),IF('Product Tracker'!AC90="",0,'Product Tracker'!AC90)-ROW()*0.0000001,-9999-ROW()*0.0000001)</f>
        <v/>
      </c>
    </row>
    <row r="91">
      <c r="R91">
        <f>IF('Product Tracker'!AD91="Buy",IF('Product Tracker'!AC91="",0,'Product Tracker'!AC91)-ROW()*0.0000001,-9999-ROW()*0.0000001)</f>
        <v/>
      </c>
      <c r="S91">
        <f>IF('Product Tracker'!BL91="Yes",IF('Product Tracker'!AC91="",0,'Product Tracker'!AC91)-ROW()*0.0000001,-9999-ROW()*0.0000001)</f>
        <v/>
      </c>
      <c r="T91">
        <f>IF(OR('Product Tracker'!AY91="High",'Product Tracker'!BA91="High",AND('Product Tracker'!AB91&lt;&gt;"",'Product Tracker'!AB91&lt;=2)),IF('Product Tracker'!AC91="",0,'Product Tracker'!AC91)-ROW()*0.0000001,-9999-ROW()*0.0000001)</f>
        <v/>
      </c>
    </row>
    <row r="92">
      <c r="R92">
        <f>IF('Product Tracker'!AD92="Buy",IF('Product Tracker'!AC92="",0,'Product Tracker'!AC92)-ROW()*0.0000001,-9999-ROW()*0.0000001)</f>
        <v/>
      </c>
      <c r="S92">
        <f>IF('Product Tracker'!BL92="Yes",IF('Product Tracker'!AC92="",0,'Product Tracker'!AC92)-ROW()*0.0000001,-9999-ROW()*0.0000001)</f>
        <v/>
      </c>
      <c r="T92">
        <f>IF(OR('Product Tracker'!AY92="High",'Product Tracker'!BA92="High",AND('Product Tracker'!AB92&lt;&gt;"",'Product Tracker'!AB92&lt;=2)),IF('Product Tracker'!AC92="",0,'Product Tracker'!AC92)-ROW()*0.0000001,-9999-ROW()*0.0000001)</f>
        <v/>
      </c>
    </row>
    <row r="93">
      <c r="R93">
        <f>IF('Product Tracker'!AD93="Buy",IF('Product Tracker'!AC93="",0,'Product Tracker'!AC93)-ROW()*0.0000001,-9999-ROW()*0.0000001)</f>
        <v/>
      </c>
      <c r="S93">
        <f>IF('Product Tracker'!BL93="Yes",IF('Product Tracker'!AC93="",0,'Product Tracker'!AC93)-ROW()*0.0000001,-9999-ROW()*0.0000001)</f>
        <v/>
      </c>
      <c r="T93">
        <f>IF(OR('Product Tracker'!AY93="High",'Product Tracker'!BA93="High",AND('Product Tracker'!AB93&lt;&gt;"",'Product Tracker'!AB93&lt;=2)),IF('Product Tracker'!AC93="",0,'Product Tracker'!AC93)-ROW()*0.0000001,-9999-ROW()*0.0000001)</f>
        <v/>
      </c>
    </row>
    <row r="94">
      <c r="R94">
        <f>IF('Product Tracker'!AD94="Buy",IF('Product Tracker'!AC94="",0,'Product Tracker'!AC94)-ROW()*0.0000001,-9999-ROW()*0.0000001)</f>
        <v/>
      </c>
      <c r="S94">
        <f>IF('Product Tracker'!BL94="Yes",IF('Product Tracker'!AC94="",0,'Product Tracker'!AC94)-ROW()*0.0000001,-9999-ROW()*0.0000001)</f>
        <v/>
      </c>
      <c r="T94">
        <f>IF(OR('Product Tracker'!AY94="High",'Product Tracker'!BA94="High",AND('Product Tracker'!AB94&lt;&gt;"",'Product Tracker'!AB94&lt;=2)),IF('Product Tracker'!AC94="",0,'Product Tracker'!AC94)-ROW()*0.0000001,-9999-ROW()*0.0000001)</f>
        <v/>
      </c>
    </row>
    <row r="95">
      <c r="R95">
        <f>IF('Product Tracker'!AD95="Buy",IF('Product Tracker'!AC95="",0,'Product Tracker'!AC95)-ROW()*0.0000001,-9999-ROW()*0.0000001)</f>
        <v/>
      </c>
      <c r="S95">
        <f>IF('Product Tracker'!BL95="Yes",IF('Product Tracker'!AC95="",0,'Product Tracker'!AC95)-ROW()*0.0000001,-9999-ROW()*0.0000001)</f>
        <v/>
      </c>
      <c r="T95">
        <f>IF(OR('Product Tracker'!AY95="High",'Product Tracker'!BA95="High",AND('Product Tracker'!AB95&lt;&gt;"",'Product Tracker'!AB95&lt;=2)),IF('Product Tracker'!AC95="",0,'Product Tracker'!AC95)-ROW()*0.0000001,-9999-ROW()*0.0000001)</f>
        <v/>
      </c>
    </row>
    <row r="96">
      <c r="R96">
        <f>IF('Product Tracker'!AD96="Buy",IF('Product Tracker'!AC96="",0,'Product Tracker'!AC96)-ROW()*0.0000001,-9999-ROW()*0.0000001)</f>
        <v/>
      </c>
      <c r="S96">
        <f>IF('Product Tracker'!BL96="Yes",IF('Product Tracker'!AC96="",0,'Product Tracker'!AC96)-ROW()*0.0000001,-9999-ROW()*0.0000001)</f>
        <v/>
      </c>
      <c r="T96">
        <f>IF(OR('Product Tracker'!AY96="High",'Product Tracker'!BA96="High",AND('Product Tracker'!AB96&lt;&gt;"",'Product Tracker'!AB96&lt;=2)),IF('Product Tracker'!AC96="",0,'Product Tracker'!AC96)-ROW()*0.0000001,-9999-ROW()*0.0000001)</f>
        <v/>
      </c>
    </row>
    <row r="97">
      <c r="R97">
        <f>IF('Product Tracker'!AD97="Buy",IF('Product Tracker'!AC97="",0,'Product Tracker'!AC97)-ROW()*0.0000001,-9999-ROW()*0.0000001)</f>
        <v/>
      </c>
      <c r="S97">
        <f>IF('Product Tracker'!BL97="Yes",IF('Product Tracker'!AC97="",0,'Product Tracker'!AC97)-ROW()*0.0000001,-9999-ROW()*0.0000001)</f>
        <v/>
      </c>
      <c r="T97">
        <f>IF(OR('Product Tracker'!AY97="High",'Product Tracker'!BA97="High",AND('Product Tracker'!AB97&lt;&gt;"",'Product Tracker'!AB97&lt;=2)),IF('Product Tracker'!AC97="",0,'Product Tracker'!AC97)-ROW()*0.0000001,-9999-ROW()*0.0000001)</f>
        <v/>
      </c>
    </row>
    <row r="98">
      <c r="R98">
        <f>IF('Product Tracker'!AD98="Buy",IF('Product Tracker'!AC98="",0,'Product Tracker'!AC98)-ROW()*0.0000001,-9999-ROW()*0.0000001)</f>
        <v/>
      </c>
      <c r="S98">
        <f>IF('Product Tracker'!BL98="Yes",IF('Product Tracker'!AC98="",0,'Product Tracker'!AC98)-ROW()*0.0000001,-9999-ROW()*0.0000001)</f>
        <v/>
      </c>
      <c r="T98">
        <f>IF(OR('Product Tracker'!AY98="High",'Product Tracker'!BA98="High",AND('Product Tracker'!AB98&lt;&gt;"",'Product Tracker'!AB98&lt;=2)),IF('Product Tracker'!AC98="",0,'Product Tracker'!AC98)-ROW()*0.0000001,-9999-ROW()*0.0000001)</f>
        <v/>
      </c>
    </row>
    <row r="99">
      <c r="R99">
        <f>IF('Product Tracker'!AD99="Buy",IF('Product Tracker'!AC99="",0,'Product Tracker'!AC99)-ROW()*0.0000001,-9999-ROW()*0.0000001)</f>
        <v/>
      </c>
      <c r="S99">
        <f>IF('Product Tracker'!BL99="Yes",IF('Product Tracker'!AC99="",0,'Product Tracker'!AC99)-ROW()*0.0000001,-9999-ROW()*0.0000001)</f>
        <v/>
      </c>
      <c r="T99">
        <f>IF(OR('Product Tracker'!AY99="High",'Product Tracker'!BA99="High",AND('Product Tracker'!AB99&lt;&gt;"",'Product Tracker'!AB99&lt;=2)),IF('Product Tracker'!AC99="",0,'Product Tracker'!AC99)-ROW()*0.0000001,-9999-ROW()*0.0000001)</f>
        <v/>
      </c>
    </row>
    <row r="100">
      <c r="R100">
        <f>IF('Product Tracker'!AD100="Buy",IF('Product Tracker'!AC100="",0,'Product Tracker'!AC100)-ROW()*0.0000001,-9999-ROW()*0.0000001)</f>
        <v/>
      </c>
      <c r="S100">
        <f>IF('Product Tracker'!BL100="Yes",IF('Product Tracker'!AC100="",0,'Product Tracker'!AC100)-ROW()*0.0000001,-9999-ROW()*0.0000001)</f>
        <v/>
      </c>
      <c r="T100">
        <f>IF(OR('Product Tracker'!AY100="High",'Product Tracker'!BA100="High",AND('Product Tracker'!AB100&lt;&gt;"",'Product Tracker'!AB100&lt;=2)),IF('Product Tracker'!AC100="",0,'Product Tracker'!AC100)-ROW()*0.0000001,-9999-ROW()*0.0000001)</f>
        <v/>
      </c>
    </row>
    <row r="101">
      <c r="R101">
        <f>IF('Product Tracker'!AD101="Buy",IF('Product Tracker'!AC101="",0,'Product Tracker'!AC101)-ROW()*0.0000001,-9999-ROW()*0.0000001)</f>
        <v/>
      </c>
      <c r="S101">
        <f>IF('Product Tracker'!BL101="Yes",IF('Product Tracker'!AC101="",0,'Product Tracker'!AC101)-ROW()*0.0000001,-9999-ROW()*0.0000001)</f>
        <v/>
      </c>
      <c r="T101">
        <f>IF(OR('Product Tracker'!AY101="High",'Product Tracker'!BA101="High",AND('Product Tracker'!AB101&lt;&gt;"",'Product Tracker'!AB101&lt;=2)),IF('Product Tracker'!AC101="",0,'Product Tracker'!AC101)-ROW()*0.0000001,-9999-ROW()*0.0000001)</f>
        <v/>
      </c>
    </row>
    <row r="102">
      <c r="R102">
        <f>IF('Product Tracker'!AD102="Buy",IF('Product Tracker'!AC102="",0,'Product Tracker'!AC102)-ROW()*0.0000001,-9999-ROW()*0.0000001)</f>
        <v/>
      </c>
      <c r="S102">
        <f>IF('Product Tracker'!BL102="Yes",IF('Product Tracker'!AC102="",0,'Product Tracker'!AC102)-ROW()*0.0000001,-9999-ROW()*0.0000001)</f>
        <v/>
      </c>
      <c r="T102">
        <f>IF(OR('Product Tracker'!AY102="High",'Product Tracker'!BA102="High",AND('Product Tracker'!AB102&lt;&gt;"",'Product Tracker'!AB102&lt;=2)),IF('Product Tracker'!AC102="",0,'Product Tracker'!AC102)-ROW()*0.0000001,-9999-ROW()*0.0000001)</f>
        <v/>
      </c>
    </row>
    <row r="103">
      <c r="R103">
        <f>IF('Product Tracker'!AD103="Buy",IF('Product Tracker'!AC103="",0,'Product Tracker'!AC103)-ROW()*0.0000001,-9999-ROW()*0.0000001)</f>
        <v/>
      </c>
      <c r="S103">
        <f>IF('Product Tracker'!BL103="Yes",IF('Product Tracker'!AC103="",0,'Product Tracker'!AC103)-ROW()*0.0000001,-9999-ROW()*0.0000001)</f>
        <v/>
      </c>
      <c r="T103">
        <f>IF(OR('Product Tracker'!AY103="High",'Product Tracker'!BA103="High",AND('Product Tracker'!AB103&lt;&gt;"",'Product Tracker'!AB103&lt;=2)),IF('Product Tracker'!AC103="",0,'Product Tracker'!AC103)-ROW()*0.0000001,-9999-ROW()*0.0000001)</f>
        <v/>
      </c>
    </row>
    <row r="104">
      <c r="R104">
        <f>IF('Product Tracker'!AD104="Buy",IF('Product Tracker'!AC104="",0,'Product Tracker'!AC104)-ROW()*0.0000001,-9999-ROW()*0.0000001)</f>
        <v/>
      </c>
      <c r="S104">
        <f>IF('Product Tracker'!BL104="Yes",IF('Product Tracker'!AC104="",0,'Product Tracker'!AC104)-ROW()*0.0000001,-9999-ROW()*0.0000001)</f>
        <v/>
      </c>
      <c r="T104">
        <f>IF(OR('Product Tracker'!AY104="High",'Product Tracker'!BA104="High",AND('Product Tracker'!AB104&lt;&gt;"",'Product Tracker'!AB104&lt;=2)),IF('Product Tracker'!AC104="",0,'Product Tracker'!AC104)-ROW()*0.0000001,-9999-ROW()*0.0000001)</f>
        <v/>
      </c>
    </row>
    <row r="105">
      <c r="R105">
        <f>IF('Product Tracker'!AD105="Buy",IF('Product Tracker'!AC105="",0,'Product Tracker'!AC105)-ROW()*0.0000001,-9999-ROW()*0.0000001)</f>
        <v/>
      </c>
      <c r="S105">
        <f>IF('Product Tracker'!BL105="Yes",IF('Product Tracker'!AC105="",0,'Product Tracker'!AC105)-ROW()*0.0000001,-9999-ROW()*0.0000001)</f>
        <v/>
      </c>
      <c r="T105">
        <f>IF(OR('Product Tracker'!AY105="High",'Product Tracker'!BA105="High",AND('Product Tracker'!AB105&lt;&gt;"",'Product Tracker'!AB105&lt;=2)),IF('Product Tracker'!AC105="",0,'Product Tracker'!AC105)-ROW()*0.0000001,-9999-ROW()*0.0000001)</f>
        <v/>
      </c>
    </row>
    <row r="106">
      <c r="R106">
        <f>IF('Product Tracker'!AD106="Buy",IF('Product Tracker'!AC106="",0,'Product Tracker'!AC106)-ROW()*0.0000001,-9999-ROW()*0.0000001)</f>
        <v/>
      </c>
      <c r="S106">
        <f>IF('Product Tracker'!BL106="Yes",IF('Product Tracker'!AC106="",0,'Product Tracker'!AC106)-ROW()*0.0000001,-9999-ROW()*0.0000001)</f>
        <v/>
      </c>
      <c r="T106">
        <f>IF(OR('Product Tracker'!AY106="High",'Product Tracker'!BA106="High",AND('Product Tracker'!AB106&lt;&gt;"",'Product Tracker'!AB106&lt;=2)),IF('Product Tracker'!AC106="",0,'Product Tracker'!AC106)-ROW()*0.0000001,-9999-ROW()*0.0000001)</f>
        <v/>
      </c>
    </row>
    <row r="107">
      <c r="R107">
        <f>IF('Product Tracker'!AD107="Buy",IF('Product Tracker'!AC107="",0,'Product Tracker'!AC107)-ROW()*0.0000001,-9999-ROW()*0.0000001)</f>
        <v/>
      </c>
      <c r="S107">
        <f>IF('Product Tracker'!BL107="Yes",IF('Product Tracker'!AC107="",0,'Product Tracker'!AC107)-ROW()*0.0000001,-9999-ROW()*0.0000001)</f>
        <v/>
      </c>
      <c r="T107">
        <f>IF(OR('Product Tracker'!AY107="High",'Product Tracker'!BA107="High",AND('Product Tracker'!AB107&lt;&gt;"",'Product Tracker'!AB107&lt;=2)),IF('Product Tracker'!AC107="",0,'Product Tracker'!AC107)-ROW()*0.0000001,-9999-ROW()*0.0000001)</f>
        <v/>
      </c>
    </row>
    <row r="108">
      <c r="R108">
        <f>IF('Product Tracker'!AD108="Buy",IF('Product Tracker'!AC108="",0,'Product Tracker'!AC108)-ROW()*0.0000001,-9999-ROW()*0.0000001)</f>
        <v/>
      </c>
      <c r="S108">
        <f>IF('Product Tracker'!BL108="Yes",IF('Product Tracker'!AC108="",0,'Product Tracker'!AC108)-ROW()*0.0000001,-9999-ROW()*0.0000001)</f>
        <v/>
      </c>
      <c r="T108">
        <f>IF(OR('Product Tracker'!AY108="High",'Product Tracker'!BA108="High",AND('Product Tracker'!AB108&lt;&gt;"",'Product Tracker'!AB108&lt;=2)),IF('Product Tracker'!AC108="",0,'Product Tracker'!AC108)-ROW()*0.0000001,-9999-ROW()*0.0000001)</f>
        <v/>
      </c>
    </row>
    <row r="109">
      <c r="R109">
        <f>IF('Product Tracker'!AD109="Buy",IF('Product Tracker'!AC109="",0,'Product Tracker'!AC109)-ROW()*0.0000001,-9999-ROW()*0.0000001)</f>
        <v/>
      </c>
      <c r="S109">
        <f>IF('Product Tracker'!BL109="Yes",IF('Product Tracker'!AC109="",0,'Product Tracker'!AC109)-ROW()*0.0000001,-9999-ROW()*0.0000001)</f>
        <v/>
      </c>
      <c r="T109">
        <f>IF(OR('Product Tracker'!AY109="High",'Product Tracker'!BA109="High",AND('Product Tracker'!AB109&lt;&gt;"",'Product Tracker'!AB109&lt;=2)),IF('Product Tracker'!AC109="",0,'Product Tracker'!AC109)-ROW()*0.0000001,-9999-ROW()*0.0000001)</f>
        <v/>
      </c>
    </row>
    <row r="110">
      <c r="R110">
        <f>IF('Product Tracker'!AD110="Buy",IF('Product Tracker'!AC110="",0,'Product Tracker'!AC110)-ROW()*0.0000001,-9999-ROW()*0.0000001)</f>
        <v/>
      </c>
      <c r="S110">
        <f>IF('Product Tracker'!BL110="Yes",IF('Product Tracker'!AC110="",0,'Product Tracker'!AC110)-ROW()*0.0000001,-9999-ROW()*0.0000001)</f>
        <v/>
      </c>
      <c r="T110">
        <f>IF(OR('Product Tracker'!AY110="High",'Product Tracker'!BA110="High",AND('Product Tracker'!AB110&lt;&gt;"",'Product Tracker'!AB110&lt;=2)),IF('Product Tracker'!AC110="",0,'Product Tracker'!AC110)-ROW()*0.0000001,-9999-ROW()*0.0000001)</f>
        <v/>
      </c>
    </row>
    <row r="111">
      <c r="R111">
        <f>IF('Product Tracker'!AD111="Buy",IF('Product Tracker'!AC111="",0,'Product Tracker'!AC111)-ROW()*0.0000001,-9999-ROW()*0.0000001)</f>
        <v/>
      </c>
      <c r="S111">
        <f>IF('Product Tracker'!BL111="Yes",IF('Product Tracker'!AC111="",0,'Product Tracker'!AC111)-ROW()*0.0000001,-9999-ROW()*0.0000001)</f>
        <v/>
      </c>
      <c r="T111">
        <f>IF(OR('Product Tracker'!AY111="High",'Product Tracker'!BA111="High",AND('Product Tracker'!AB111&lt;&gt;"",'Product Tracker'!AB111&lt;=2)),IF('Product Tracker'!AC111="",0,'Product Tracker'!AC111)-ROW()*0.0000001,-9999-ROW()*0.0000001)</f>
        <v/>
      </c>
    </row>
    <row r="112">
      <c r="R112">
        <f>IF('Product Tracker'!AD112="Buy",IF('Product Tracker'!AC112="",0,'Product Tracker'!AC112)-ROW()*0.0000001,-9999-ROW()*0.0000001)</f>
        <v/>
      </c>
      <c r="S112">
        <f>IF('Product Tracker'!BL112="Yes",IF('Product Tracker'!AC112="",0,'Product Tracker'!AC112)-ROW()*0.0000001,-9999-ROW()*0.0000001)</f>
        <v/>
      </c>
      <c r="T112">
        <f>IF(OR('Product Tracker'!AY112="High",'Product Tracker'!BA112="High",AND('Product Tracker'!AB112&lt;&gt;"",'Product Tracker'!AB112&lt;=2)),IF('Product Tracker'!AC112="",0,'Product Tracker'!AC112)-ROW()*0.0000001,-9999-ROW()*0.0000001)</f>
        <v/>
      </c>
    </row>
    <row r="113">
      <c r="R113">
        <f>IF('Product Tracker'!AD113="Buy",IF('Product Tracker'!AC113="",0,'Product Tracker'!AC113)-ROW()*0.0000001,-9999-ROW()*0.0000001)</f>
        <v/>
      </c>
      <c r="S113">
        <f>IF('Product Tracker'!BL113="Yes",IF('Product Tracker'!AC113="",0,'Product Tracker'!AC113)-ROW()*0.0000001,-9999-ROW()*0.0000001)</f>
        <v/>
      </c>
      <c r="T113">
        <f>IF(OR('Product Tracker'!AY113="High",'Product Tracker'!BA113="High",AND('Product Tracker'!AB113&lt;&gt;"",'Product Tracker'!AB113&lt;=2)),IF('Product Tracker'!AC113="",0,'Product Tracker'!AC113)-ROW()*0.0000001,-9999-ROW()*0.0000001)</f>
        <v/>
      </c>
    </row>
    <row r="114">
      <c r="R114">
        <f>IF('Product Tracker'!AD114="Buy",IF('Product Tracker'!AC114="",0,'Product Tracker'!AC114)-ROW()*0.0000001,-9999-ROW()*0.0000001)</f>
        <v/>
      </c>
      <c r="S114">
        <f>IF('Product Tracker'!BL114="Yes",IF('Product Tracker'!AC114="",0,'Product Tracker'!AC114)-ROW()*0.0000001,-9999-ROW()*0.0000001)</f>
        <v/>
      </c>
      <c r="T114">
        <f>IF(OR('Product Tracker'!AY114="High",'Product Tracker'!BA114="High",AND('Product Tracker'!AB114&lt;&gt;"",'Product Tracker'!AB114&lt;=2)),IF('Product Tracker'!AC114="",0,'Product Tracker'!AC114)-ROW()*0.0000001,-9999-ROW()*0.0000001)</f>
        <v/>
      </c>
    </row>
    <row r="115">
      <c r="R115">
        <f>IF('Product Tracker'!AD115="Buy",IF('Product Tracker'!AC115="",0,'Product Tracker'!AC115)-ROW()*0.0000001,-9999-ROW()*0.0000001)</f>
        <v/>
      </c>
      <c r="S115">
        <f>IF('Product Tracker'!BL115="Yes",IF('Product Tracker'!AC115="",0,'Product Tracker'!AC115)-ROW()*0.0000001,-9999-ROW()*0.0000001)</f>
        <v/>
      </c>
      <c r="T115">
        <f>IF(OR('Product Tracker'!AY115="High",'Product Tracker'!BA115="High",AND('Product Tracker'!AB115&lt;&gt;"",'Product Tracker'!AB115&lt;=2)),IF('Product Tracker'!AC115="",0,'Product Tracker'!AC115)-ROW()*0.0000001,-9999-ROW()*0.0000001)</f>
        <v/>
      </c>
    </row>
    <row r="116">
      <c r="R116">
        <f>IF('Product Tracker'!AD116="Buy",IF('Product Tracker'!AC116="",0,'Product Tracker'!AC116)-ROW()*0.0000001,-9999-ROW()*0.0000001)</f>
        <v/>
      </c>
      <c r="S116">
        <f>IF('Product Tracker'!BL116="Yes",IF('Product Tracker'!AC116="",0,'Product Tracker'!AC116)-ROW()*0.0000001,-9999-ROW()*0.0000001)</f>
        <v/>
      </c>
      <c r="T116">
        <f>IF(OR('Product Tracker'!AY116="High",'Product Tracker'!BA116="High",AND('Product Tracker'!AB116&lt;&gt;"",'Product Tracker'!AB116&lt;=2)),IF('Product Tracker'!AC116="",0,'Product Tracker'!AC116)-ROW()*0.0000001,-9999-ROW()*0.0000001)</f>
        <v/>
      </c>
    </row>
    <row r="117">
      <c r="R117">
        <f>IF('Product Tracker'!AD117="Buy",IF('Product Tracker'!AC117="",0,'Product Tracker'!AC117)-ROW()*0.0000001,-9999-ROW()*0.0000001)</f>
        <v/>
      </c>
      <c r="S117">
        <f>IF('Product Tracker'!BL117="Yes",IF('Product Tracker'!AC117="",0,'Product Tracker'!AC117)-ROW()*0.0000001,-9999-ROW()*0.0000001)</f>
        <v/>
      </c>
      <c r="T117">
        <f>IF(OR('Product Tracker'!AY117="High",'Product Tracker'!BA117="High",AND('Product Tracker'!AB117&lt;&gt;"",'Product Tracker'!AB117&lt;=2)),IF('Product Tracker'!AC117="",0,'Product Tracker'!AC117)-ROW()*0.0000001,-9999-ROW()*0.0000001)</f>
        <v/>
      </c>
    </row>
    <row r="118">
      <c r="R118">
        <f>IF('Product Tracker'!AD118="Buy",IF('Product Tracker'!AC118="",0,'Product Tracker'!AC118)-ROW()*0.0000001,-9999-ROW()*0.0000001)</f>
        <v/>
      </c>
      <c r="S118">
        <f>IF('Product Tracker'!BL118="Yes",IF('Product Tracker'!AC118="",0,'Product Tracker'!AC118)-ROW()*0.0000001,-9999-ROW()*0.0000001)</f>
        <v/>
      </c>
      <c r="T118">
        <f>IF(OR('Product Tracker'!AY118="High",'Product Tracker'!BA118="High",AND('Product Tracker'!AB118&lt;&gt;"",'Product Tracker'!AB118&lt;=2)),IF('Product Tracker'!AC118="",0,'Product Tracker'!AC118)-ROW()*0.0000001,-9999-ROW()*0.0000001)</f>
        <v/>
      </c>
    </row>
    <row r="119">
      <c r="R119">
        <f>IF('Product Tracker'!AD119="Buy",IF('Product Tracker'!AC119="",0,'Product Tracker'!AC119)-ROW()*0.0000001,-9999-ROW()*0.0000001)</f>
        <v/>
      </c>
      <c r="S119">
        <f>IF('Product Tracker'!BL119="Yes",IF('Product Tracker'!AC119="",0,'Product Tracker'!AC119)-ROW()*0.0000001,-9999-ROW()*0.0000001)</f>
        <v/>
      </c>
      <c r="T119">
        <f>IF(OR('Product Tracker'!AY119="High",'Product Tracker'!BA119="High",AND('Product Tracker'!AB119&lt;&gt;"",'Product Tracker'!AB119&lt;=2)),IF('Product Tracker'!AC119="",0,'Product Tracker'!AC119)-ROW()*0.0000001,-9999-ROW()*0.0000001)</f>
        <v/>
      </c>
    </row>
    <row r="120">
      <c r="R120">
        <f>IF('Product Tracker'!AD120="Buy",IF('Product Tracker'!AC120="",0,'Product Tracker'!AC120)-ROW()*0.0000001,-9999-ROW()*0.0000001)</f>
        <v/>
      </c>
      <c r="S120">
        <f>IF('Product Tracker'!BL120="Yes",IF('Product Tracker'!AC120="",0,'Product Tracker'!AC120)-ROW()*0.0000001,-9999-ROW()*0.0000001)</f>
        <v/>
      </c>
      <c r="T120">
        <f>IF(OR('Product Tracker'!AY120="High",'Product Tracker'!BA120="High",AND('Product Tracker'!AB120&lt;&gt;"",'Product Tracker'!AB120&lt;=2)),IF('Product Tracker'!AC120="",0,'Product Tracker'!AC120)-ROW()*0.0000001,-9999-ROW()*0.0000001)</f>
        <v/>
      </c>
    </row>
    <row r="121">
      <c r="R121">
        <f>IF('Product Tracker'!AD121="Buy",IF('Product Tracker'!AC121="",0,'Product Tracker'!AC121)-ROW()*0.0000001,-9999-ROW()*0.0000001)</f>
        <v/>
      </c>
      <c r="S121">
        <f>IF('Product Tracker'!BL121="Yes",IF('Product Tracker'!AC121="",0,'Product Tracker'!AC121)-ROW()*0.0000001,-9999-ROW()*0.0000001)</f>
        <v/>
      </c>
      <c r="T121">
        <f>IF(OR('Product Tracker'!AY121="High",'Product Tracker'!BA121="High",AND('Product Tracker'!AB121&lt;&gt;"",'Product Tracker'!AB121&lt;=2)),IF('Product Tracker'!AC121="",0,'Product Tracker'!AC121)-ROW()*0.0000001,-9999-ROW()*0.0000001)</f>
        <v/>
      </c>
    </row>
    <row r="122">
      <c r="R122">
        <f>IF('Product Tracker'!AD122="Buy",IF('Product Tracker'!AC122="",0,'Product Tracker'!AC122)-ROW()*0.0000001,-9999-ROW()*0.0000001)</f>
        <v/>
      </c>
      <c r="S122">
        <f>IF('Product Tracker'!BL122="Yes",IF('Product Tracker'!AC122="",0,'Product Tracker'!AC122)-ROW()*0.0000001,-9999-ROW()*0.0000001)</f>
        <v/>
      </c>
      <c r="T122">
        <f>IF(OR('Product Tracker'!AY122="High",'Product Tracker'!BA122="High",AND('Product Tracker'!AB122&lt;&gt;"",'Product Tracker'!AB122&lt;=2)),IF('Product Tracker'!AC122="",0,'Product Tracker'!AC122)-ROW()*0.0000001,-9999-ROW()*0.0000001)</f>
        <v/>
      </c>
    </row>
    <row r="123">
      <c r="R123">
        <f>IF('Product Tracker'!AD123="Buy",IF('Product Tracker'!AC123="",0,'Product Tracker'!AC123)-ROW()*0.0000001,-9999-ROW()*0.0000001)</f>
        <v/>
      </c>
      <c r="S123">
        <f>IF('Product Tracker'!BL123="Yes",IF('Product Tracker'!AC123="",0,'Product Tracker'!AC123)-ROW()*0.0000001,-9999-ROW()*0.0000001)</f>
        <v/>
      </c>
      <c r="T123">
        <f>IF(OR('Product Tracker'!AY123="High",'Product Tracker'!BA123="High",AND('Product Tracker'!AB123&lt;&gt;"",'Product Tracker'!AB123&lt;=2)),IF('Product Tracker'!AC123="",0,'Product Tracker'!AC123)-ROW()*0.0000001,-9999-ROW()*0.0000001)</f>
        <v/>
      </c>
    </row>
    <row r="124">
      <c r="R124">
        <f>IF('Product Tracker'!AD124="Buy",IF('Product Tracker'!AC124="",0,'Product Tracker'!AC124)-ROW()*0.0000001,-9999-ROW()*0.0000001)</f>
        <v/>
      </c>
      <c r="S124">
        <f>IF('Product Tracker'!BL124="Yes",IF('Product Tracker'!AC124="",0,'Product Tracker'!AC124)-ROW()*0.0000001,-9999-ROW()*0.0000001)</f>
        <v/>
      </c>
      <c r="T124">
        <f>IF(OR('Product Tracker'!AY124="High",'Product Tracker'!BA124="High",AND('Product Tracker'!AB124&lt;&gt;"",'Product Tracker'!AB124&lt;=2)),IF('Product Tracker'!AC124="",0,'Product Tracker'!AC124)-ROW()*0.0000001,-9999-ROW()*0.0000001)</f>
        <v/>
      </c>
    </row>
    <row r="125">
      <c r="R125">
        <f>IF('Product Tracker'!AD125="Buy",IF('Product Tracker'!AC125="",0,'Product Tracker'!AC125)-ROW()*0.0000001,-9999-ROW()*0.0000001)</f>
        <v/>
      </c>
      <c r="S125">
        <f>IF('Product Tracker'!BL125="Yes",IF('Product Tracker'!AC125="",0,'Product Tracker'!AC125)-ROW()*0.0000001,-9999-ROW()*0.0000001)</f>
        <v/>
      </c>
      <c r="T125">
        <f>IF(OR('Product Tracker'!AY125="High",'Product Tracker'!BA125="High",AND('Product Tracker'!AB125&lt;&gt;"",'Product Tracker'!AB125&lt;=2)),IF('Product Tracker'!AC125="",0,'Product Tracker'!AC125)-ROW()*0.0000001,-9999-ROW()*0.0000001)</f>
        <v/>
      </c>
    </row>
    <row r="126">
      <c r="R126">
        <f>IF('Product Tracker'!AD126="Buy",IF('Product Tracker'!AC126="",0,'Product Tracker'!AC126)-ROW()*0.0000001,-9999-ROW()*0.0000001)</f>
        <v/>
      </c>
      <c r="S126">
        <f>IF('Product Tracker'!BL126="Yes",IF('Product Tracker'!AC126="",0,'Product Tracker'!AC126)-ROW()*0.0000001,-9999-ROW()*0.0000001)</f>
        <v/>
      </c>
      <c r="T126">
        <f>IF(OR('Product Tracker'!AY126="High",'Product Tracker'!BA126="High",AND('Product Tracker'!AB126&lt;&gt;"",'Product Tracker'!AB126&lt;=2)),IF('Product Tracker'!AC126="",0,'Product Tracker'!AC126)-ROW()*0.0000001,-9999-ROW()*0.0000001)</f>
        <v/>
      </c>
    </row>
    <row r="127">
      <c r="R127">
        <f>IF('Product Tracker'!AD127="Buy",IF('Product Tracker'!AC127="",0,'Product Tracker'!AC127)-ROW()*0.0000001,-9999-ROW()*0.0000001)</f>
        <v/>
      </c>
      <c r="S127">
        <f>IF('Product Tracker'!BL127="Yes",IF('Product Tracker'!AC127="",0,'Product Tracker'!AC127)-ROW()*0.0000001,-9999-ROW()*0.0000001)</f>
        <v/>
      </c>
      <c r="T127">
        <f>IF(OR('Product Tracker'!AY127="High",'Product Tracker'!BA127="High",AND('Product Tracker'!AB127&lt;&gt;"",'Product Tracker'!AB127&lt;=2)),IF('Product Tracker'!AC127="",0,'Product Tracker'!AC127)-ROW()*0.0000001,-9999-ROW()*0.0000001)</f>
        <v/>
      </c>
    </row>
    <row r="128">
      <c r="R128">
        <f>IF('Product Tracker'!AD128="Buy",IF('Product Tracker'!AC128="",0,'Product Tracker'!AC128)-ROW()*0.0000001,-9999-ROW()*0.0000001)</f>
        <v/>
      </c>
      <c r="S128">
        <f>IF('Product Tracker'!BL128="Yes",IF('Product Tracker'!AC128="",0,'Product Tracker'!AC128)-ROW()*0.0000001,-9999-ROW()*0.0000001)</f>
        <v/>
      </c>
      <c r="T128">
        <f>IF(OR('Product Tracker'!AY128="High",'Product Tracker'!BA128="High",AND('Product Tracker'!AB128&lt;&gt;"",'Product Tracker'!AB128&lt;=2)),IF('Product Tracker'!AC128="",0,'Product Tracker'!AC128)-ROW()*0.0000001,-9999-ROW()*0.0000001)</f>
        <v/>
      </c>
    </row>
    <row r="129">
      <c r="R129">
        <f>IF('Product Tracker'!AD129="Buy",IF('Product Tracker'!AC129="",0,'Product Tracker'!AC129)-ROW()*0.0000001,-9999-ROW()*0.0000001)</f>
        <v/>
      </c>
      <c r="S129">
        <f>IF('Product Tracker'!BL129="Yes",IF('Product Tracker'!AC129="",0,'Product Tracker'!AC129)-ROW()*0.0000001,-9999-ROW()*0.0000001)</f>
        <v/>
      </c>
      <c r="T129">
        <f>IF(OR('Product Tracker'!AY129="High",'Product Tracker'!BA129="High",AND('Product Tracker'!AB129&lt;&gt;"",'Product Tracker'!AB129&lt;=2)),IF('Product Tracker'!AC129="",0,'Product Tracker'!AC129)-ROW()*0.0000001,-9999-ROW()*0.0000001)</f>
        <v/>
      </c>
    </row>
    <row r="130">
      <c r="R130">
        <f>IF('Product Tracker'!AD130="Buy",IF('Product Tracker'!AC130="",0,'Product Tracker'!AC130)-ROW()*0.0000001,-9999-ROW()*0.0000001)</f>
        <v/>
      </c>
      <c r="S130">
        <f>IF('Product Tracker'!BL130="Yes",IF('Product Tracker'!AC130="",0,'Product Tracker'!AC130)-ROW()*0.0000001,-9999-ROW()*0.0000001)</f>
        <v/>
      </c>
      <c r="T130">
        <f>IF(OR('Product Tracker'!AY130="High",'Product Tracker'!BA130="High",AND('Product Tracker'!AB130&lt;&gt;"",'Product Tracker'!AB130&lt;=2)),IF('Product Tracker'!AC130="",0,'Product Tracker'!AC130)-ROW()*0.0000001,-9999-ROW()*0.0000001)</f>
        <v/>
      </c>
    </row>
    <row r="131">
      <c r="R131">
        <f>IF('Product Tracker'!AD131="Buy",IF('Product Tracker'!AC131="",0,'Product Tracker'!AC131)-ROW()*0.0000001,-9999-ROW()*0.0000001)</f>
        <v/>
      </c>
      <c r="S131">
        <f>IF('Product Tracker'!BL131="Yes",IF('Product Tracker'!AC131="",0,'Product Tracker'!AC131)-ROW()*0.0000001,-9999-ROW()*0.0000001)</f>
        <v/>
      </c>
      <c r="T131">
        <f>IF(OR('Product Tracker'!AY131="High",'Product Tracker'!BA131="High",AND('Product Tracker'!AB131&lt;&gt;"",'Product Tracker'!AB131&lt;=2)),IF('Product Tracker'!AC131="",0,'Product Tracker'!AC131)-ROW()*0.0000001,-9999-ROW()*0.0000001)</f>
        <v/>
      </c>
    </row>
    <row r="132">
      <c r="R132">
        <f>IF('Product Tracker'!AD132="Buy",IF('Product Tracker'!AC132="",0,'Product Tracker'!AC132)-ROW()*0.0000001,-9999-ROW()*0.0000001)</f>
        <v/>
      </c>
      <c r="S132">
        <f>IF('Product Tracker'!BL132="Yes",IF('Product Tracker'!AC132="",0,'Product Tracker'!AC132)-ROW()*0.0000001,-9999-ROW()*0.0000001)</f>
        <v/>
      </c>
      <c r="T132">
        <f>IF(OR('Product Tracker'!AY132="High",'Product Tracker'!BA132="High",AND('Product Tracker'!AB132&lt;&gt;"",'Product Tracker'!AB132&lt;=2)),IF('Product Tracker'!AC132="",0,'Product Tracker'!AC132)-ROW()*0.0000001,-9999-ROW()*0.0000001)</f>
        <v/>
      </c>
    </row>
    <row r="133">
      <c r="R133">
        <f>IF('Product Tracker'!AD133="Buy",IF('Product Tracker'!AC133="",0,'Product Tracker'!AC133)-ROW()*0.0000001,-9999-ROW()*0.0000001)</f>
        <v/>
      </c>
      <c r="S133">
        <f>IF('Product Tracker'!BL133="Yes",IF('Product Tracker'!AC133="",0,'Product Tracker'!AC133)-ROW()*0.0000001,-9999-ROW()*0.0000001)</f>
        <v/>
      </c>
      <c r="T133">
        <f>IF(OR('Product Tracker'!AY133="High",'Product Tracker'!BA133="High",AND('Product Tracker'!AB133&lt;&gt;"",'Product Tracker'!AB133&lt;=2)),IF('Product Tracker'!AC133="",0,'Product Tracker'!AC133)-ROW()*0.0000001,-9999-ROW()*0.0000001)</f>
        <v/>
      </c>
    </row>
    <row r="134">
      <c r="R134">
        <f>IF('Product Tracker'!AD134="Buy",IF('Product Tracker'!AC134="",0,'Product Tracker'!AC134)-ROW()*0.0000001,-9999-ROW()*0.0000001)</f>
        <v/>
      </c>
      <c r="S134">
        <f>IF('Product Tracker'!BL134="Yes",IF('Product Tracker'!AC134="",0,'Product Tracker'!AC134)-ROW()*0.0000001,-9999-ROW()*0.0000001)</f>
        <v/>
      </c>
      <c r="T134">
        <f>IF(OR('Product Tracker'!AY134="High",'Product Tracker'!BA134="High",AND('Product Tracker'!AB134&lt;&gt;"",'Product Tracker'!AB134&lt;=2)),IF('Product Tracker'!AC134="",0,'Product Tracker'!AC134)-ROW()*0.0000001,-9999-ROW()*0.0000001)</f>
        <v/>
      </c>
    </row>
    <row r="135">
      <c r="R135">
        <f>IF('Product Tracker'!AD135="Buy",IF('Product Tracker'!AC135="",0,'Product Tracker'!AC135)-ROW()*0.0000001,-9999-ROW()*0.0000001)</f>
        <v/>
      </c>
      <c r="S135">
        <f>IF('Product Tracker'!BL135="Yes",IF('Product Tracker'!AC135="",0,'Product Tracker'!AC135)-ROW()*0.0000001,-9999-ROW()*0.0000001)</f>
        <v/>
      </c>
      <c r="T135">
        <f>IF(OR('Product Tracker'!AY135="High",'Product Tracker'!BA135="High",AND('Product Tracker'!AB135&lt;&gt;"",'Product Tracker'!AB135&lt;=2)),IF('Product Tracker'!AC135="",0,'Product Tracker'!AC135)-ROW()*0.0000001,-9999-ROW()*0.0000001)</f>
        <v/>
      </c>
    </row>
    <row r="136">
      <c r="R136">
        <f>IF('Product Tracker'!AD136="Buy",IF('Product Tracker'!AC136="",0,'Product Tracker'!AC136)-ROW()*0.0000001,-9999-ROW()*0.0000001)</f>
        <v/>
      </c>
      <c r="S136">
        <f>IF('Product Tracker'!BL136="Yes",IF('Product Tracker'!AC136="",0,'Product Tracker'!AC136)-ROW()*0.0000001,-9999-ROW()*0.0000001)</f>
        <v/>
      </c>
      <c r="T136">
        <f>IF(OR('Product Tracker'!AY136="High",'Product Tracker'!BA136="High",AND('Product Tracker'!AB136&lt;&gt;"",'Product Tracker'!AB136&lt;=2)),IF('Product Tracker'!AC136="",0,'Product Tracker'!AC136)-ROW()*0.0000001,-9999-ROW()*0.0000001)</f>
        <v/>
      </c>
    </row>
    <row r="137">
      <c r="R137">
        <f>IF('Product Tracker'!AD137="Buy",IF('Product Tracker'!AC137="",0,'Product Tracker'!AC137)-ROW()*0.0000001,-9999-ROW()*0.0000001)</f>
        <v/>
      </c>
      <c r="S137">
        <f>IF('Product Tracker'!BL137="Yes",IF('Product Tracker'!AC137="",0,'Product Tracker'!AC137)-ROW()*0.0000001,-9999-ROW()*0.0000001)</f>
        <v/>
      </c>
      <c r="T137">
        <f>IF(OR('Product Tracker'!AY137="High",'Product Tracker'!BA137="High",AND('Product Tracker'!AB137&lt;&gt;"",'Product Tracker'!AB137&lt;=2)),IF('Product Tracker'!AC137="",0,'Product Tracker'!AC137)-ROW()*0.0000001,-9999-ROW()*0.0000001)</f>
        <v/>
      </c>
    </row>
    <row r="138">
      <c r="R138">
        <f>IF('Product Tracker'!AD138="Buy",IF('Product Tracker'!AC138="",0,'Product Tracker'!AC138)-ROW()*0.0000001,-9999-ROW()*0.0000001)</f>
        <v/>
      </c>
      <c r="S138">
        <f>IF('Product Tracker'!BL138="Yes",IF('Product Tracker'!AC138="",0,'Product Tracker'!AC138)-ROW()*0.0000001,-9999-ROW()*0.0000001)</f>
        <v/>
      </c>
      <c r="T138">
        <f>IF(OR('Product Tracker'!AY138="High",'Product Tracker'!BA138="High",AND('Product Tracker'!AB138&lt;&gt;"",'Product Tracker'!AB138&lt;=2)),IF('Product Tracker'!AC138="",0,'Product Tracker'!AC138)-ROW()*0.0000001,-9999-ROW()*0.0000001)</f>
        <v/>
      </c>
    </row>
    <row r="139">
      <c r="R139">
        <f>IF('Product Tracker'!AD139="Buy",IF('Product Tracker'!AC139="",0,'Product Tracker'!AC139)-ROW()*0.0000001,-9999-ROW()*0.0000001)</f>
        <v/>
      </c>
      <c r="S139">
        <f>IF('Product Tracker'!BL139="Yes",IF('Product Tracker'!AC139="",0,'Product Tracker'!AC139)-ROW()*0.0000001,-9999-ROW()*0.0000001)</f>
        <v/>
      </c>
      <c r="T139">
        <f>IF(OR('Product Tracker'!AY139="High",'Product Tracker'!BA139="High",AND('Product Tracker'!AB139&lt;&gt;"",'Product Tracker'!AB139&lt;=2)),IF('Product Tracker'!AC139="",0,'Product Tracker'!AC139)-ROW()*0.0000001,-9999-ROW()*0.0000001)</f>
        <v/>
      </c>
    </row>
    <row r="140">
      <c r="R140">
        <f>IF('Product Tracker'!AD140="Buy",IF('Product Tracker'!AC140="",0,'Product Tracker'!AC140)-ROW()*0.0000001,-9999-ROW()*0.0000001)</f>
        <v/>
      </c>
      <c r="S140">
        <f>IF('Product Tracker'!BL140="Yes",IF('Product Tracker'!AC140="",0,'Product Tracker'!AC140)-ROW()*0.0000001,-9999-ROW()*0.0000001)</f>
        <v/>
      </c>
      <c r="T140">
        <f>IF(OR('Product Tracker'!AY140="High",'Product Tracker'!BA140="High",AND('Product Tracker'!AB140&lt;&gt;"",'Product Tracker'!AB140&lt;=2)),IF('Product Tracker'!AC140="",0,'Product Tracker'!AC140)-ROW()*0.0000001,-9999-ROW()*0.0000001)</f>
        <v/>
      </c>
    </row>
    <row r="141">
      <c r="R141">
        <f>IF('Product Tracker'!AD141="Buy",IF('Product Tracker'!AC141="",0,'Product Tracker'!AC141)-ROW()*0.0000001,-9999-ROW()*0.0000001)</f>
        <v/>
      </c>
      <c r="S141">
        <f>IF('Product Tracker'!BL141="Yes",IF('Product Tracker'!AC141="",0,'Product Tracker'!AC141)-ROW()*0.0000001,-9999-ROW()*0.0000001)</f>
        <v/>
      </c>
      <c r="T141">
        <f>IF(OR('Product Tracker'!AY141="High",'Product Tracker'!BA141="High",AND('Product Tracker'!AB141&lt;&gt;"",'Product Tracker'!AB141&lt;=2)),IF('Product Tracker'!AC141="",0,'Product Tracker'!AC141)-ROW()*0.0000001,-9999-ROW()*0.0000001)</f>
        <v/>
      </c>
    </row>
    <row r="142">
      <c r="R142">
        <f>IF('Product Tracker'!AD142="Buy",IF('Product Tracker'!AC142="",0,'Product Tracker'!AC142)-ROW()*0.0000001,-9999-ROW()*0.0000001)</f>
        <v/>
      </c>
      <c r="S142">
        <f>IF('Product Tracker'!BL142="Yes",IF('Product Tracker'!AC142="",0,'Product Tracker'!AC142)-ROW()*0.0000001,-9999-ROW()*0.0000001)</f>
        <v/>
      </c>
      <c r="T142">
        <f>IF(OR('Product Tracker'!AY142="High",'Product Tracker'!BA142="High",AND('Product Tracker'!AB142&lt;&gt;"",'Product Tracker'!AB142&lt;=2)),IF('Product Tracker'!AC142="",0,'Product Tracker'!AC142)-ROW()*0.0000001,-9999-ROW()*0.0000001)</f>
        <v/>
      </c>
    </row>
    <row r="143">
      <c r="R143">
        <f>IF('Product Tracker'!AD143="Buy",IF('Product Tracker'!AC143="",0,'Product Tracker'!AC143)-ROW()*0.0000001,-9999-ROW()*0.0000001)</f>
        <v/>
      </c>
      <c r="S143">
        <f>IF('Product Tracker'!BL143="Yes",IF('Product Tracker'!AC143="",0,'Product Tracker'!AC143)-ROW()*0.0000001,-9999-ROW()*0.0000001)</f>
        <v/>
      </c>
      <c r="T143">
        <f>IF(OR('Product Tracker'!AY143="High",'Product Tracker'!BA143="High",AND('Product Tracker'!AB143&lt;&gt;"",'Product Tracker'!AB143&lt;=2)),IF('Product Tracker'!AC143="",0,'Product Tracker'!AC143)-ROW()*0.0000001,-9999-ROW()*0.0000001)</f>
        <v/>
      </c>
    </row>
    <row r="144">
      <c r="R144">
        <f>IF('Product Tracker'!AD144="Buy",IF('Product Tracker'!AC144="",0,'Product Tracker'!AC144)-ROW()*0.0000001,-9999-ROW()*0.0000001)</f>
        <v/>
      </c>
      <c r="S144">
        <f>IF('Product Tracker'!BL144="Yes",IF('Product Tracker'!AC144="",0,'Product Tracker'!AC144)-ROW()*0.0000001,-9999-ROW()*0.0000001)</f>
        <v/>
      </c>
      <c r="T144">
        <f>IF(OR('Product Tracker'!AY144="High",'Product Tracker'!BA144="High",AND('Product Tracker'!AB144&lt;&gt;"",'Product Tracker'!AB144&lt;=2)),IF('Product Tracker'!AC144="",0,'Product Tracker'!AC144)-ROW()*0.0000001,-9999-ROW()*0.0000001)</f>
        <v/>
      </c>
    </row>
    <row r="145">
      <c r="R145">
        <f>IF('Product Tracker'!AD145="Buy",IF('Product Tracker'!AC145="",0,'Product Tracker'!AC145)-ROW()*0.0000001,-9999-ROW()*0.0000001)</f>
        <v/>
      </c>
      <c r="S145">
        <f>IF('Product Tracker'!BL145="Yes",IF('Product Tracker'!AC145="",0,'Product Tracker'!AC145)-ROW()*0.0000001,-9999-ROW()*0.0000001)</f>
        <v/>
      </c>
      <c r="T145">
        <f>IF(OR('Product Tracker'!AY145="High",'Product Tracker'!BA145="High",AND('Product Tracker'!AB145&lt;&gt;"",'Product Tracker'!AB145&lt;=2)),IF('Product Tracker'!AC145="",0,'Product Tracker'!AC145)-ROW()*0.0000001,-9999-ROW()*0.0000001)</f>
        <v/>
      </c>
    </row>
    <row r="146">
      <c r="R146">
        <f>IF('Product Tracker'!AD146="Buy",IF('Product Tracker'!AC146="",0,'Product Tracker'!AC146)-ROW()*0.0000001,-9999-ROW()*0.0000001)</f>
        <v/>
      </c>
      <c r="S146">
        <f>IF('Product Tracker'!BL146="Yes",IF('Product Tracker'!AC146="",0,'Product Tracker'!AC146)-ROW()*0.0000001,-9999-ROW()*0.0000001)</f>
        <v/>
      </c>
      <c r="T146">
        <f>IF(OR('Product Tracker'!AY146="High",'Product Tracker'!BA146="High",AND('Product Tracker'!AB146&lt;&gt;"",'Product Tracker'!AB146&lt;=2)),IF('Product Tracker'!AC146="",0,'Product Tracker'!AC146)-ROW()*0.0000001,-9999-ROW()*0.0000001)</f>
        <v/>
      </c>
    </row>
    <row r="147">
      <c r="R147">
        <f>IF('Product Tracker'!AD147="Buy",IF('Product Tracker'!AC147="",0,'Product Tracker'!AC147)-ROW()*0.0000001,-9999-ROW()*0.0000001)</f>
        <v/>
      </c>
      <c r="S147">
        <f>IF('Product Tracker'!BL147="Yes",IF('Product Tracker'!AC147="",0,'Product Tracker'!AC147)-ROW()*0.0000001,-9999-ROW()*0.0000001)</f>
        <v/>
      </c>
      <c r="T147">
        <f>IF(OR('Product Tracker'!AY147="High",'Product Tracker'!BA147="High",AND('Product Tracker'!AB147&lt;&gt;"",'Product Tracker'!AB147&lt;=2)),IF('Product Tracker'!AC147="",0,'Product Tracker'!AC147)-ROW()*0.0000001,-9999-ROW()*0.0000001)</f>
        <v/>
      </c>
    </row>
    <row r="148">
      <c r="R148">
        <f>IF('Product Tracker'!AD148="Buy",IF('Product Tracker'!AC148="",0,'Product Tracker'!AC148)-ROW()*0.0000001,-9999-ROW()*0.0000001)</f>
        <v/>
      </c>
      <c r="S148">
        <f>IF('Product Tracker'!BL148="Yes",IF('Product Tracker'!AC148="",0,'Product Tracker'!AC148)-ROW()*0.0000001,-9999-ROW()*0.0000001)</f>
        <v/>
      </c>
      <c r="T148">
        <f>IF(OR('Product Tracker'!AY148="High",'Product Tracker'!BA148="High",AND('Product Tracker'!AB148&lt;&gt;"",'Product Tracker'!AB148&lt;=2)),IF('Product Tracker'!AC148="",0,'Product Tracker'!AC148)-ROW()*0.0000001,-9999-ROW()*0.0000001)</f>
        <v/>
      </c>
    </row>
    <row r="149">
      <c r="R149">
        <f>IF('Product Tracker'!AD149="Buy",IF('Product Tracker'!AC149="",0,'Product Tracker'!AC149)-ROW()*0.0000001,-9999-ROW()*0.0000001)</f>
        <v/>
      </c>
      <c r="S149">
        <f>IF('Product Tracker'!BL149="Yes",IF('Product Tracker'!AC149="",0,'Product Tracker'!AC149)-ROW()*0.0000001,-9999-ROW()*0.0000001)</f>
        <v/>
      </c>
      <c r="T149">
        <f>IF(OR('Product Tracker'!AY149="High",'Product Tracker'!BA149="High",AND('Product Tracker'!AB149&lt;&gt;"",'Product Tracker'!AB149&lt;=2)),IF('Product Tracker'!AC149="",0,'Product Tracker'!AC149)-ROW()*0.0000001,-9999-ROW()*0.0000001)</f>
        <v/>
      </c>
    </row>
    <row r="150">
      <c r="R150">
        <f>IF('Product Tracker'!AD150="Buy",IF('Product Tracker'!AC150="",0,'Product Tracker'!AC150)-ROW()*0.0000001,-9999-ROW()*0.0000001)</f>
        <v/>
      </c>
      <c r="S150">
        <f>IF('Product Tracker'!BL150="Yes",IF('Product Tracker'!AC150="",0,'Product Tracker'!AC150)-ROW()*0.0000001,-9999-ROW()*0.0000001)</f>
        <v/>
      </c>
      <c r="T150">
        <f>IF(OR('Product Tracker'!AY150="High",'Product Tracker'!BA150="High",AND('Product Tracker'!AB150&lt;&gt;"",'Product Tracker'!AB150&lt;=2)),IF('Product Tracker'!AC150="",0,'Product Tracker'!AC150)-ROW()*0.0000001,-9999-ROW()*0.0000001)</f>
        <v/>
      </c>
    </row>
    <row r="151">
      <c r="R151">
        <f>IF('Product Tracker'!AD151="Buy",IF('Product Tracker'!AC151="",0,'Product Tracker'!AC151)-ROW()*0.0000001,-9999-ROW()*0.0000001)</f>
        <v/>
      </c>
      <c r="S151">
        <f>IF('Product Tracker'!BL151="Yes",IF('Product Tracker'!AC151="",0,'Product Tracker'!AC151)-ROW()*0.0000001,-9999-ROW()*0.0000001)</f>
        <v/>
      </c>
      <c r="T151">
        <f>IF(OR('Product Tracker'!AY151="High",'Product Tracker'!BA151="High",AND('Product Tracker'!AB151&lt;&gt;"",'Product Tracker'!AB151&lt;=2)),IF('Product Tracker'!AC151="",0,'Product Tracker'!AC151)-ROW()*0.0000001,-9999-ROW()*0.0000001)</f>
        <v/>
      </c>
    </row>
    <row r="152">
      <c r="R152">
        <f>IF('Product Tracker'!AD152="Buy",IF('Product Tracker'!AC152="",0,'Product Tracker'!AC152)-ROW()*0.0000001,-9999-ROW()*0.0000001)</f>
        <v/>
      </c>
      <c r="S152">
        <f>IF('Product Tracker'!BL152="Yes",IF('Product Tracker'!AC152="",0,'Product Tracker'!AC152)-ROW()*0.0000001,-9999-ROW()*0.0000001)</f>
        <v/>
      </c>
      <c r="T152">
        <f>IF(OR('Product Tracker'!AY152="High",'Product Tracker'!BA152="High",AND('Product Tracker'!AB152&lt;&gt;"",'Product Tracker'!AB152&lt;=2)),IF('Product Tracker'!AC152="",0,'Product Tracker'!AC152)-ROW()*0.0000001,-9999-ROW()*0.0000001)</f>
        <v/>
      </c>
    </row>
    <row r="153">
      <c r="R153">
        <f>IF('Product Tracker'!AD153="Buy",IF('Product Tracker'!AC153="",0,'Product Tracker'!AC153)-ROW()*0.0000001,-9999-ROW()*0.0000001)</f>
        <v/>
      </c>
      <c r="S153">
        <f>IF('Product Tracker'!BL153="Yes",IF('Product Tracker'!AC153="",0,'Product Tracker'!AC153)-ROW()*0.0000001,-9999-ROW()*0.0000001)</f>
        <v/>
      </c>
      <c r="T153">
        <f>IF(OR('Product Tracker'!AY153="High",'Product Tracker'!BA153="High",AND('Product Tracker'!AB153&lt;&gt;"",'Product Tracker'!AB153&lt;=2)),IF('Product Tracker'!AC153="",0,'Product Tracker'!AC153)-ROW()*0.0000001,-9999-ROW()*0.0000001)</f>
        <v/>
      </c>
    </row>
    <row r="154">
      <c r="R154">
        <f>IF('Product Tracker'!AD154="Buy",IF('Product Tracker'!AC154="",0,'Product Tracker'!AC154)-ROW()*0.0000001,-9999-ROW()*0.0000001)</f>
        <v/>
      </c>
      <c r="S154">
        <f>IF('Product Tracker'!BL154="Yes",IF('Product Tracker'!AC154="",0,'Product Tracker'!AC154)-ROW()*0.0000001,-9999-ROW()*0.0000001)</f>
        <v/>
      </c>
      <c r="T154">
        <f>IF(OR('Product Tracker'!AY154="High",'Product Tracker'!BA154="High",AND('Product Tracker'!AB154&lt;&gt;"",'Product Tracker'!AB154&lt;=2)),IF('Product Tracker'!AC154="",0,'Product Tracker'!AC154)-ROW()*0.0000001,-9999-ROW()*0.0000001)</f>
        <v/>
      </c>
    </row>
    <row r="155">
      <c r="R155">
        <f>IF('Product Tracker'!AD155="Buy",IF('Product Tracker'!AC155="",0,'Product Tracker'!AC155)-ROW()*0.0000001,-9999-ROW()*0.0000001)</f>
        <v/>
      </c>
      <c r="S155">
        <f>IF('Product Tracker'!BL155="Yes",IF('Product Tracker'!AC155="",0,'Product Tracker'!AC155)-ROW()*0.0000001,-9999-ROW()*0.0000001)</f>
        <v/>
      </c>
      <c r="T155">
        <f>IF(OR('Product Tracker'!AY155="High",'Product Tracker'!BA155="High",AND('Product Tracker'!AB155&lt;&gt;"",'Product Tracker'!AB155&lt;=2)),IF('Product Tracker'!AC155="",0,'Product Tracker'!AC155)-ROW()*0.0000001,-9999-ROW()*0.0000001)</f>
        <v/>
      </c>
    </row>
    <row r="156">
      <c r="R156">
        <f>IF('Product Tracker'!AD156="Buy",IF('Product Tracker'!AC156="",0,'Product Tracker'!AC156)-ROW()*0.0000001,-9999-ROW()*0.0000001)</f>
        <v/>
      </c>
      <c r="S156">
        <f>IF('Product Tracker'!BL156="Yes",IF('Product Tracker'!AC156="",0,'Product Tracker'!AC156)-ROW()*0.0000001,-9999-ROW()*0.0000001)</f>
        <v/>
      </c>
      <c r="T156">
        <f>IF(OR('Product Tracker'!AY156="High",'Product Tracker'!BA156="High",AND('Product Tracker'!AB156&lt;&gt;"",'Product Tracker'!AB156&lt;=2)),IF('Product Tracker'!AC156="",0,'Product Tracker'!AC156)-ROW()*0.0000001,-9999-ROW()*0.0000001)</f>
        <v/>
      </c>
    </row>
    <row r="157">
      <c r="R157">
        <f>IF('Product Tracker'!AD157="Buy",IF('Product Tracker'!AC157="",0,'Product Tracker'!AC157)-ROW()*0.0000001,-9999-ROW()*0.0000001)</f>
        <v/>
      </c>
      <c r="S157">
        <f>IF('Product Tracker'!BL157="Yes",IF('Product Tracker'!AC157="",0,'Product Tracker'!AC157)-ROW()*0.0000001,-9999-ROW()*0.0000001)</f>
        <v/>
      </c>
      <c r="T157">
        <f>IF(OR('Product Tracker'!AY157="High",'Product Tracker'!BA157="High",AND('Product Tracker'!AB157&lt;&gt;"",'Product Tracker'!AB157&lt;=2)),IF('Product Tracker'!AC157="",0,'Product Tracker'!AC157)-ROW()*0.0000001,-9999-ROW()*0.0000001)</f>
        <v/>
      </c>
    </row>
    <row r="158">
      <c r="R158">
        <f>IF('Product Tracker'!AD158="Buy",IF('Product Tracker'!AC158="",0,'Product Tracker'!AC158)-ROW()*0.0000001,-9999-ROW()*0.0000001)</f>
        <v/>
      </c>
      <c r="S158">
        <f>IF('Product Tracker'!BL158="Yes",IF('Product Tracker'!AC158="",0,'Product Tracker'!AC158)-ROW()*0.0000001,-9999-ROW()*0.0000001)</f>
        <v/>
      </c>
      <c r="T158">
        <f>IF(OR('Product Tracker'!AY158="High",'Product Tracker'!BA158="High",AND('Product Tracker'!AB158&lt;&gt;"",'Product Tracker'!AB158&lt;=2)),IF('Product Tracker'!AC158="",0,'Product Tracker'!AC158)-ROW()*0.0000001,-9999-ROW()*0.0000001)</f>
        <v/>
      </c>
    </row>
    <row r="159">
      <c r="R159">
        <f>IF('Product Tracker'!AD159="Buy",IF('Product Tracker'!AC159="",0,'Product Tracker'!AC159)-ROW()*0.0000001,-9999-ROW()*0.0000001)</f>
        <v/>
      </c>
      <c r="S159">
        <f>IF('Product Tracker'!BL159="Yes",IF('Product Tracker'!AC159="",0,'Product Tracker'!AC159)-ROW()*0.0000001,-9999-ROW()*0.0000001)</f>
        <v/>
      </c>
      <c r="T159">
        <f>IF(OR('Product Tracker'!AY159="High",'Product Tracker'!BA159="High",AND('Product Tracker'!AB159&lt;&gt;"",'Product Tracker'!AB159&lt;=2)),IF('Product Tracker'!AC159="",0,'Product Tracker'!AC159)-ROW()*0.0000001,-9999-ROW()*0.0000001)</f>
        <v/>
      </c>
    </row>
    <row r="160">
      <c r="R160">
        <f>IF('Product Tracker'!AD160="Buy",IF('Product Tracker'!AC160="",0,'Product Tracker'!AC160)-ROW()*0.0000001,-9999-ROW()*0.0000001)</f>
        <v/>
      </c>
      <c r="S160">
        <f>IF('Product Tracker'!BL160="Yes",IF('Product Tracker'!AC160="",0,'Product Tracker'!AC160)-ROW()*0.0000001,-9999-ROW()*0.0000001)</f>
        <v/>
      </c>
      <c r="T160">
        <f>IF(OR('Product Tracker'!AY160="High",'Product Tracker'!BA160="High",AND('Product Tracker'!AB160&lt;&gt;"",'Product Tracker'!AB160&lt;=2)),IF('Product Tracker'!AC160="",0,'Product Tracker'!AC160)-ROW()*0.0000001,-9999-ROW()*0.0000001)</f>
        <v/>
      </c>
    </row>
    <row r="161">
      <c r="R161">
        <f>IF('Product Tracker'!AD161="Buy",IF('Product Tracker'!AC161="",0,'Product Tracker'!AC161)-ROW()*0.0000001,-9999-ROW()*0.0000001)</f>
        <v/>
      </c>
      <c r="S161">
        <f>IF('Product Tracker'!BL161="Yes",IF('Product Tracker'!AC161="",0,'Product Tracker'!AC161)-ROW()*0.0000001,-9999-ROW()*0.0000001)</f>
        <v/>
      </c>
      <c r="T161">
        <f>IF(OR('Product Tracker'!AY161="High",'Product Tracker'!BA161="High",AND('Product Tracker'!AB161&lt;&gt;"",'Product Tracker'!AB161&lt;=2)),IF('Product Tracker'!AC161="",0,'Product Tracker'!AC161)-ROW()*0.0000001,-9999-ROW()*0.0000001)</f>
        <v/>
      </c>
    </row>
    <row r="162">
      <c r="R162">
        <f>IF('Product Tracker'!AD162="Buy",IF('Product Tracker'!AC162="",0,'Product Tracker'!AC162)-ROW()*0.0000001,-9999-ROW()*0.0000001)</f>
        <v/>
      </c>
      <c r="S162">
        <f>IF('Product Tracker'!BL162="Yes",IF('Product Tracker'!AC162="",0,'Product Tracker'!AC162)-ROW()*0.0000001,-9999-ROW()*0.0000001)</f>
        <v/>
      </c>
      <c r="T162">
        <f>IF(OR('Product Tracker'!AY162="High",'Product Tracker'!BA162="High",AND('Product Tracker'!AB162&lt;&gt;"",'Product Tracker'!AB162&lt;=2)),IF('Product Tracker'!AC162="",0,'Product Tracker'!AC162)-ROW()*0.0000001,-9999-ROW()*0.0000001)</f>
        <v/>
      </c>
    </row>
    <row r="163">
      <c r="R163">
        <f>IF('Product Tracker'!AD163="Buy",IF('Product Tracker'!AC163="",0,'Product Tracker'!AC163)-ROW()*0.0000001,-9999-ROW()*0.0000001)</f>
        <v/>
      </c>
      <c r="S163">
        <f>IF('Product Tracker'!BL163="Yes",IF('Product Tracker'!AC163="",0,'Product Tracker'!AC163)-ROW()*0.0000001,-9999-ROW()*0.0000001)</f>
        <v/>
      </c>
      <c r="T163">
        <f>IF(OR('Product Tracker'!AY163="High",'Product Tracker'!BA163="High",AND('Product Tracker'!AB163&lt;&gt;"",'Product Tracker'!AB163&lt;=2)),IF('Product Tracker'!AC163="",0,'Product Tracker'!AC163)-ROW()*0.0000001,-9999-ROW()*0.0000001)</f>
        <v/>
      </c>
    </row>
    <row r="164">
      <c r="R164">
        <f>IF('Product Tracker'!AD164="Buy",IF('Product Tracker'!AC164="",0,'Product Tracker'!AC164)-ROW()*0.0000001,-9999-ROW()*0.0000001)</f>
        <v/>
      </c>
      <c r="S164">
        <f>IF('Product Tracker'!BL164="Yes",IF('Product Tracker'!AC164="",0,'Product Tracker'!AC164)-ROW()*0.0000001,-9999-ROW()*0.0000001)</f>
        <v/>
      </c>
      <c r="T164">
        <f>IF(OR('Product Tracker'!AY164="High",'Product Tracker'!BA164="High",AND('Product Tracker'!AB164&lt;&gt;"",'Product Tracker'!AB164&lt;=2)),IF('Product Tracker'!AC164="",0,'Product Tracker'!AC164)-ROW()*0.0000001,-9999-ROW()*0.0000001)</f>
        <v/>
      </c>
    </row>
    <row r="165">
      <c r="R165">
        <f>IF('Product Tracker'!AD165="Buy",IF('Product Tracker'!AC165="",0,'Product Tracker'!AC165)-ROW()*0.0000001,-9999-ROW()*0.0000001)</f>
        <v/>
      </c>
      <c r="S165">
        <f>IF('Product Tracker'!BL165="Yes",IF('Product Tracker'!AC165="",0,'Product Tracker'!AC165)-ROW()*0.0000001,-9999-ROW()*0.0000001)</f>
        <v/>
      </c>
      <c r="T165">
        <f>IF(OR('Product Tracker'!AY165="High",'Product Tracker'!BA165="High",AND('Product Tracker'!AB165&lt;&gt;"",'Product Tracker'!AB165&lt;=2)),IF('Product Tracker'!AC165="",0,'Product Tracker'!AC165)-ROW()*0.0000001,-9999-ROW()*0.0000001)</f>
        <v/>
      </c>
    </row>
    <row r="166">
      <c r="R166">
        <f>IF('Product Tracker'!AD166="Buy",IF('Product Tracker'!AC166="",0,'Product Tracker'!AC166)-ROW()*0.0000001,-9999-ROW()*0.0000001)</f>
        <v/>
      </c>
      <c r="S166">
        <f>IF('Product Tracker'!BL166="Yes",IF('Product Tracker'!AC166="",0,'Product Tracker'!AC166)-ROW()*0.0000001,-9999-ROW()*0.0000001)</f>
        <v/>
      </c>
      <c r="T166">
        <f>IF(OR('Product Tracker'!AY166="High",'Product Tracker'!BA166="High",AND('Product Tracker'!AB166&lt;&gt;"",'Product Tracker'!AB166&lt;=2)),IF('Product Tracker'!AC166="",0,'Product Tracker'!AC166)-ROW()*0.0000001,-9999-ROW()*0.0000001)</f>
        <v/>
      </c>
    </row>
    <row r="167">
      <c r="R167">
        <f>IF('Product Tracker'!AD167="Buy",IF('Product Tracker'!AC167="",0,'Product Tracker'!AC167)-ROW()*0.0000001,-9999-ROW()*0.0000001)</f>
        <v/>
      </c>
      <c r="S167">
        <f>IF('Product Tracker'!BL167="Yes",IF('Product Tracker'!AC167="",0,'Product Tracker'!AC167)-ROW()*0.0000001,-9999-ROW()*0.0000001)</f>
        <v/>
      </c>
      <c r="T167">
        <f>IF(OR('Product Tracker'!AY167="High",'Product Tracker'!BA167="High",AND('Product Tracker'!AB167&lt;&gt;"",'Product Tracker'!AB167&lt;=2)),IF('Product Tracker'!AC167="",0,'Product Tracker'!AC167)-ROW()*0.0000001,-9999-ROW()*0.0000001)</f>
        <v/>
      </c>
    </row>
    <row r="168">
      <c r="R168">
        <f>IF('Product Tracker'!AD168="Buy",IF('Product Tracker'!AC168="",0,'Product Tracker'!AC168)-ROW()*0.0000001,-9999-ROW()*0.0000001)</f>
        <v/>
      </c>
      <c r="S168">
        <f>IF('Product Tracker'!BL168="Yes",IF('Product Tracker'!AC168="",0,'Product Tracker'!AC168)-ROW()*0.0000001,-9999-ROW()*0.0000001)</f>
        <v/>
      </c>
      <c r="T168">
        <f>IF(OR('Product Tracker'!AY168="High",'Product Tracker'!BA168="High",AND('Product Tracker'!AB168&lt;&gt;"",'Product Tracker'!AB168&lt;=2)),IF('Product Tracker'!AC168="",0,'Product Tracker'!AC168)-ROW()*0.0000001,-9999-ROW()*0.0000001)</f>
        <v/>
      </c>
    </row>
    <row r="169">
      <c r="R169">
        <f>IF('Product Tracker'!AD169="Buy",IF('Product Tracker'!AC169="",0,'Product Tracker'!AC169)-ROW()*0.0000001,-9999-ROW()*0.0000001)</f>
        <v/>
      </c>
      <c r="S169">
        <f>IF('Product Tracker'!BL169="Yes",IF('Product Tracker'!AC169="",0,'Product Tracker'!AC169)-ROW()*0.0000001,-9999-ROW()*0.0000001)</f>
        <v/>
      </c>
      <c r="T169">
        <f>IF(OR('Product Tracker'!AY169="High",'Product Tracker'!BA169="High",AND('Product Tracker'!AB169&lt;&gt;"",'Product Tracker'!AB169&lt;=2)),IF('Product Tracker'!AC169="",0,'Product Tracker'!AC169)-ROW()*0.0000001,-9999-ROW()*0.0000001)</f>
        <v/>
      </c>
    </row>
    <row r="170">
      <c r="R170">
        <f>IF('Product Tracker'!AD170="Buy",IF('Product Tracker'!AC170="",0,'Product Tracker'!AC170)-ROW()*0.0000001,-9999-ROW()*0.0000001)</f>
        <v/>
      </c>
      <c r="S170">
        <f>IF('Product Tracker'!BL170="Yes",IF('Product Tracker'!AC170="",0,'Product Tracker'!AC170)-ROW()*0.0000001,-9999-ROW()*0.0000001)</f>
        <v/>
      </c>
      <c r="T170">
        <f>IF(OR('Product Tracker'!AY170="High",'Product Tracker'!BA170="High",AND('Product Tracker'!AB170&lt;&gt;"",'Product Tracker'!AB170&lt;=2)),IF('Product Tracker'!AC170="",0,'Product Tracker'!AC170)-ROW()*0.0000001,-9999-ROW()*0.0000001)</f>
        <v/>
      </c>
    </row>
    <row r="171">
      <c r="R171">
        <f>IF('Product Tracker'!AD171="Buy",IF('Product Tracker'!AC171="",0,'Product Tracker'!AC171)-ROW()*0.0000001,-9999-ROW()*0.0000001)</f>
        <v/>
      </c>
      <c r="S171">
        <f>IF('Product Tracker'!BL171="Yes",IF('Product Tracker'!AC171="",0,'Product Tracker'!AC171)-ROW()*0.0000001,-9999-ROW()*0.0000001)</f>
        <v/>
      </c>
      <c r="T171">
        <f>IF(OR('Product Tracker'!AY171="High",'Product Tracker'!BA171="High",AND('Product Tracker'!AB171&lt;&gt;"",'Product Tracker'!AB171&lt;=2)),IF('Product Tracker'!AC171="",0,'Product Tracker'!AC171)-ROW()*0.0000001,-9999-ROW()*0.0000001)</f>
        <v/>
      </c>
    </row>
    <row r="172">
      <c r="R172">
        <f>IF('Product Tracker'!AD172="Buy",IF('Product Tracker'!AC172="",0,'Product Tracker'!AC172)-ROW()*0.0000001,-9999-ROW()*0.0000001)</f>
        <v/>
      </c>
      <c r="S172">
        <f>IF('Product Tracker'!BL172="Yes",IF('Product Tracker'!AC172="",0,'Product Tracker'!AC172)-ROW()*0.0000001,-9999-ROW()*0.0000001)</f>
        <v/>
      </c>
      <c r="T172">
        <f>IF(OR('Product Tracker'!AY172="High",'Product Tracker'!BA172="High",AND('Product Tracker'!AB172&lt;&gt;"",'Product Tracker'!AB172&lt;=2)),IF('Product Tracker'!AC172="",0,'Product Tracker'!AC172)-ROW()*0.0000001,-9999-ROW()*0.0000001)</f>
        <v/>
      </c>
    </row>
    <row r="173">
      <c r="R173">
        <f>IF('Product Tracker'!AD173="Buy",IF('Product Tracker'!AC173="",0,'Product Tracker'!AC173)-ROW()*0.0000001,-9999-ROW()*0.0000001)</f>
        <v/>
      </c>
      <c r="S173">
        <f>IF('Product Tracker'!BL173="Yes",IF('Product Tracker'!AC173="",0,'Product Tracker'!AC173)-ROW()*0.0000001,-9999-ROW()*0.0000001)</f>
        <v/>
      </c>
      <c r="T173">
        <f>IF(OR('Product Tracker'!AY173="High",'Product Tracker'!BA173="High",AND('Product Tracker'!AB173&lt;&gt;"",'Product Tracker'!AB173&lt;=2)),IF('Product Tracker'!AC173="",0,'Product Tracker'!AC173)-ROW()*0.0000001,-9999-ROW()*0.0000001)</f>
        <v/>
      </c>
    </row>
    <row r="174">
      <c r="R174">
        <f>IF('Product Tracker'!AD174="Buy",IF('Product Tracker'!AC174="",0,'Product Tracker'!AC174)-ROW()*0.0000001,-9999-ROW()*0.0000001)</f>
        <v/>
      </c>
      <c r="S174">
        <f>IF('Product Tracker'!BL174="Yes",IF('Product Tracker'!AC174="",0,'Product Tracker'!AC174)-ROW()*0.0000001,-9999-ROW()*0.0000001)</f>
        <v/>
      </c>
      <c r="T174">
        <f>IF(OR('Product Tracker'!AY174="High",'Product Tracker'!BA174="High",AND('Product Tracker'!AB174&lt;&gt;"",'Product Tracker'!AB174&lt;=2)),IF('Product Tracker'!AC174="",0,'Product Tracker'!AC174)-ROW()*0.0000001,-9999-ROW()*0.0000001)</f>
        <v/>
      </c>
    </row>
    <row r="175">
      <c r="R175">
        <f>IF('Product Tracker'!AD175="Buy",IF('Product Tracker'!AC175="",0,'Product Tracker'!AC175)-ROW()*0.0000001,-9999-ROW()*0.0000001)</f>
        <v/>
      </c>
      <c r="S175">
        <f>IF('Product Tracker'!BL175="Yes",IF('Product Tracker'!AC175="",0,'Product Tracker'!AC175)-ROW()*0.0000001,-9999-ROW()*0.0000001)</f>
        <v/>
      </c>
      <c r="T175">
        <f>IF(OR('Product Tracker'!AY175="High",'Product Tracker'!BA175="High",AND('Product Tracker'!AB175&lt;&gt;"",'Product Tracker'!AB175&lt;=2)),IF('Product Tracker'!AC175="",0,'Product Tracker'!AC175)-ROW()*0.0000001,-9999-ROW()*0.0000001)</f>
        <v/>
      </c>
    </row>
    <row r="176">
      <c r="R176">
        <f>IF('Product Tracker'!AD176="Buy",IF('Product Tracker'!AC176="",0,'Product Tracker'!AC176)-ROW()*0.0000001,-9999-ROW()*0.0000001)</f>
        <v/>
      </c>
      <c r="S176">
        <f>IF('Product Tracker'!BL176="Yes",IF('Product Tracker'!AC176="",0,'Product Tracker'!AC176)-ROW()*0.0000001,-9999-ROW()*0.0000001)</f>
        <v/>
      </c>
      <c r="T176">
        <f>IF(OR('Product Tracker'!AY176="High",'Product Tracker'!BA176="High",AND('Product Tracker'!AB176&lt;&gt;"",'Product Tracker'!AB176&lt;=2)),IF('Product Tracker'!AC176="",0,'Product Tracker'!AC176)-ROW()*0.0000001,-9999-ROW()*0.0000001)</f>
        <v/>
      </c>
    </row>
    <row r="177">
      <c r="R177">
        <f>IF('Product Tracker'!AD177="Buy",IF('Product Tracker'!AC177="",0,'Product Tracker'!AC177)-ROW()*0.0000001,-9999-ROW()*0.0000001)</f>
        <v/>
      </c>
      <c r="S177">
        <f>IF('Product Tracker'!BL177="Yes",IF('Product Tracker'!AC177="",0,'Product Tracker'!AC177)-ROW()*0.0000001,-9999-ROW()*0.0000001)</f>
        <v/>
      </c>
      <c r="T177">
        <f>IF(OR('Product Tracker'!AY177="High",'Product Tracker'!BA177="High",AND('Product Tracker'!AB177&lt;&gt;"",'Product Tracker'!AB177&lt;=2)),IF('Product Tracker'!AC177="",0,'Product Tracker'!AC177)-ROW()*0.0000001,-9999-ROW()*0.0000001)</f>
        <v/>
      </c>
    </row>
    <row r="178">
      <c r="R178">
        <f>IF('Product Tracker'!AD178="Buy",IF('Product Tracker'!AC178="",0,'Product Tracker'!AC178)-ROW()*0.0000001,-9999-ROW()*0.0000001)</f>
        <v/>
      </c>
      <c r="S178">
        <f>IF('Product Tracker'!BL178="Yes",IF('Product Tracker'!AC178="",0,'Product Tracker'!AC178)-ROW()*0.0000001,-9999-ROW()*0.0000001)</f>
        <v/>
      </c>
      <c r="T178">
        <f>IF(OR('Product Tracker'!AY178="High",'Product Tracker'!BA178="High",AND('Product Tracker'!AB178&lt;&gt;"",'Product Tracker'!AB178&lt;=2)),IF('Product Tracker'!AC178="",0,'Product Tracker'!AC178)-ROW()*0.0000001,-9999-ROW()*0.0000001)</f>
        <v/>
      </c>
    </row>
    <row r="179">
      <c r="R179">
        <f>IF('Product Tracker'!AD179="Buy",IF('Product Tracker'!AC179="",0,'Product Tracker'!AC179)-ROW()*0.0000001,-9999-ROW()*0.0000001)</f>
        <v/>
      </c>
      <c r="S179">
        <f>IF('Product Tracker'!BL179="Yes",IF('Product Tracker'!AC179="",0,'Product Tracker'!AC179)-ROW()*0.0000001,-9999-ROW()*0.0000001)</f>
        <v/>
      </c>
      <c r="T179">
        <f>IF(OR('Product Tracker'!AY179="High",'Product Tracker'!BA179="High",AND('Product Tracker'!AB179&lt;&gt;"",'Product Tracker'!AB179&lt;=2)),IF('Product Tracker'!AC179="",0,'Product Tracker'!AC179)-ROW()*0.0000001,-9999-ROW()*0.0000001)</f>
        <v/>
      </c>
    </row>
    <row r="180">
      <c r="R180">
        <f>IF('Product Tracker'!AD180="Buy",IF('Product Tracker'!AC180="",0,'Product Tracker'!AC180)-ROW()*0.0000001,-9999-ROW()*0.0000001)</f>
        <v/>
      </c>
      <c r="S180">
        <f>IF('Product Tracker'!BL180="Yes",IF('Product Tracker'!AC180="",0,'Product Tracker'!AC180)-ROW()*0.0000001,-9999-ROW()*0.0000001)</f>
        <v/>
      </c>
      <c r="T180">
        <f>IF(OR('Product Tracker'!AY180="High",'Product Tracker'!BA180="High",AND('Product Tracker'!AB180&lt;&gt;"",'Product Tracker'!AB180&lt;=2)),IF('Product Tracker'!AC180="",0,'Product Tracker'!AC180)-ROW()*0.0000001,-9999-ROW()*0.0000001)</f>
        <v/>
      </c>
    </row>
    <row r="181">
      <c r="R181">
        <f>IF('Product Tracker'!AD181="Buy",IF('Product Tracker'!AC181="",0,'Product Tracker'!AC181)-ROW()*0.0000001,-9999-ROW()*0.0000001)</f>
        <v/>
      </c>
      <c r="S181">
        <f>IF('Product Tracker'!BL181="Yes",IF('Product Tracker'!AC181="",0,'Product Tracker'!AC181)-ROW()*0.0000001,-9999-ROW()*0.0000001)</f>
        <v/>
      </c>
      <c r="T181">
        <f>IF(OR('Product Tracker'!AY181="High",'Product Tracker'!BA181="High",AND('Product Tracker'!AB181&lt;&gt;"",'Product Tracker'!AB181&lt;=2)),IF('Product Tracker'!AC181="",0,'Product Tracker'!AC181)-ROW()*0.0000001,-9999-ROW()*0.0000001)</f>
        <v/>
      </c>
    </row>
    <row r="182">
      <c r="R182">
        <f>IF('Product Tracker'!AD182="Buy",IF('Product Tracker'!AC182="",0,'Product Tracker'!AC182)-ROW()*0.0000001,-9999-ROW()*0.0000001)</f>
        <v/>
      </c>
      <c r="S182">
        <f>IF('Product Tracker'!BL182="Yes",IF('Product Tracker'!AC182="",0,'Product Tracker'!AC182)-ROW()*0.0000001,-9999-ROW()*0.0000001)</f>
        <v/>
      </c>
      <c r="T182">
        <f>IF(OR('Product Tracker'!AY182="High",'Product Tracker'!BA182="High",AND('Product Tracker'!AB182&lt;&gt;"",'Product Tracker'!AB182&lt;=2)),IF('Product Tracker'!AC182="",0,'Product Tracker'!AC182)-ROW()*0.0000001,-9999-ROW()*0.0000001)</f>
        <v/>
      </c>
    </row>
    <row r="183">
      <c r="R183">
        <f>IF('Product Tracker'!AD183="Buy",IF('Product Tracker'!AC183="",0,'Product Tracker'!AC183)-ROW()*0.0000001,-9999-ROW()*0.0000001)</f>
        <v/>
      </c>
      <c r="S183">
        <f>IF('Product Tracker'!BL183="Yes",IF('Product Tracker'!AC183="",0,'Product Tracker'!AC183)-ROW()*0.0000001,-9999-ROW()*0.0000001)</f>
        <v/>
      </c>
      <c r="T183">
        <f>IF(OR('Product Tracker'!AY183="High",'Product Tracker'!BA183="High",AND('Product Tracker'!AB183&lt;&gt;"",'Product Tracker'!AB183&lt;=2)),IF('Product Tracker'!AC183="",0,'Product Tracker'!AC183)-ROW()*0.0000001,-9999-ROW()*0.0000001)</f>
        <v/>
      </c>
    </row>
    <row r="184">
      <c r="R184">
        <f>IF('Product Tracker'!AD184="Buy",IF('Product Tracker'!AC184="",0,'Product Tracker'!AC184)-ROW()*0.0000001,-9999-ROW()*0.0000001)</f>
        <v/>
      </c>
      <c r="S184">
        <f>IF('Product Tracker'!BL184="Yes",IF('Product Tracker'!AC184="",0,'Product Tracker'!AC184)-ROW()*0.0000001,-9999-ROW()*0.0000001)</f>
        <v/>
      </c>
      <c r="T184">
        <f>IF(OR('Product Tracker'!AY184="High",'Product Tracker'!BA184="High",AND('Product Tracker'!AB184&lt;&gt;"",'Product Tracker'!AB184&lt;=2)),IF('Product Tracker'!AC184="",0,'Product Tracker'!AC184)-ROW()*0.0000001,-9999-ROW()*0.0000001)</f>
        <v/>
      </c>
    </row>
    <row r="185">
      <c r="R185">
        <f>IF('Product Tracker'!AD185="Buy",IF('Product Tracker'!AC185="",0,'Product Tracker'!AC185)-ROW()*0.0000001,-9999-ROW()*0.0000001)</f>
        <v/>
      </c>
      <c r="S185">
        <f>IF('Product Tracker'!BL185="Yes",IF('Product Tracker'!AC185="",0,'Product Tracker'!AC185)-ROW()*0.0000001,-9999-ROW()*0.0000001)</f>
        <v/>
      </c>
      <c r="T185">
        <f>IF(OR('Product Tracker'!AY185="High",'Product Tracker'!BA185="High",AND('Product Tracker'!AB185&lt;&gt;"",'Product Tracker'!AB185&lt;=2)),IF('Product Tracker'!AC185="",0,'Product Tracker'!AC185)-ROW()*0.0000001,-9999-ROW()*0.0000001)</f>
        <v/>
      </c>
    </row>
    <row r="186">
      <c r="R186">
        <f>IF('Product Tracker'!AD186="Buy",IF('Product Tracker'!AC186="",0,'Product Tracker'!AC186)-ROW()*0.0000001,-9999-ROW()*0.0000001)</f>
        <v/>
      </c>
      <c r="S186">
        <f>IF('Product Tracker'!BL186="Yes",IF('Product Tracker'!AC186="",0,'Product Tracker'!AC186)-ROW()*0.0000001,-9999-ROW()*0.0000001)</f>
        <v/>
      </c>
      <c r="T186">
        <f>IF(OR('Product Tracker'!AY186="High",'Product Tracker'!BA186="High",AND('Product Tracker'!AB186&lt;&gt;"",'Product Tracker'!AB186&lt;=2)),IF('Product Tracker'!AC186="",0,'Product Tracker'!AC186)-ROW()*0.0000001,-9999-ROW()*0.0000001)</f>
        <v/>
      </c>
    </row>
    <row r="187">
      <c r="R187">
        <f>IF('Product Tracker'!AD187="Buy",IF('Product Tracker'!AC187="",0,'Product Tracker'!AC187)-ROW()*0.0000001,-9999-ROW()*0.0000001)</f>
        <v/>
      </c>
      <c r="S187">
        <f>IF('Product Tracker'!BL187="Yes",IF('Product Tracker'!AC187="",0,'Product Tracker'!AC187)-ROW()*0.0000001,-9999-ROW()*0.0000001)</f>
        <v/>
      </c>
      <c r="T187">
        <f>IF(OR('Product Tracker'!AY187="High",'Product Tracker'!BA187="High",AND('Product Tracker'!AB187&lt;&gt;"",'Product Tracker'!AB187&lt;=2)),IF('Product Tracker'!AC187="",0,'Product Tracker'!AC187)-ROW()*0.0000001,-9999-ROW()*0.0000001)</f>
        <v/>
      </c>
    </row>
    <row r="188">
      <c r="R188">
        <f>IF('Product Tracker'!AD188="Buy",IF('Product Tracker'!AC188="",0,'Product Tracker'!AC188)-ROW()*0.0000001,-9999-ROW()*0.0000001)</f>
        <v/>
      </c>
      <c r="S188">
        <f>IF('Product Tracker'!BL188="Yes",IF('Product Tracker'!AC188="",0,'Product Tracker'!AC188)-ROW()*0.0000001,-9999-ROW()*0.0000001)</f>
        <v/>
      </c>
      <c r="T188">
        <f>IF(OR('Product Tracker'!AY188="High",'Product Tracker'!BA188="High",AND('Product Tracker'!AB188&lt;&gt;"",'Product Tracker'!AB188&lt;=2)),IF('Product Tracker'!AC188="",0,'Product Tracker'!AC188)-ROW()*0.0000001,-9999-ROW()*0.0000001)</f>
        <v/>
      </c>
    </row>
    <row r="189">
      <c r="R189">
        <f>IF('Product Tracker'!AD189="Buy",IF('Product Tracker'!AC189="",0,'Product Tracker'!AC189)-ROW()*0.0000001,-9999-ROW()*0.0000001)</f>
        <v/>
      </c>
      <c r="S189">
        <f>IF('Product Tracker'!BL189="Yes",IF('Product Tracker'!AC189="",0,'Product Tracker'!AC189)-ROW()*0.0000001,-9999-ROW()*0.0000001)</f>
        <v/>
      </c>
      <c r="T189">
        <f>IF(OR('Product Tracker'!AY189="High",'Product Tracker'!BA189="High",AND('Product Tracker'!AB189&lt;&gt;"",'Product Tracker'!AB189&lt;=2)),IF('Product Tracker'!AC189="",0,'Product Tracker'!AC189)-ROW()*0.0000001,-9999-ROW()*0.0000001)</f>
        <v/>
      </c>
    </row>
    <row r="190">
      <c r="R190">
        <f>IF('Product Tracker'!AD190="Buy",IF('Product Tracker'!AC190="",0,'Product Tracker'!AC190)-ROW()*0.0000001,-9999-ROW()*0.0000001)</f>
        <v/>
      </c>
      <c r="S190">
        <f>IF('Product Tracker'!BL190="Yes",IF('Product Tracker'!AC190="",0,'Product Tracker'!AC190)-ROW()*0.0000001,-9999-ROW()*0.0000001)</f>
        <v/>
      </c>
      <c r="T190">
        <f>IF(OR('Product Tracker'!AY190="High",'Product Tracker'!BA190="High",AND('Product Tracker'!AB190&lt;&gt;"",'Product Tracker'!AB190&lt;=2)),IF('Product Tracker'!AC190="",0,'Product Tracker'!AC190)-ROW()*0.0000001,-9999-ROW()*0.0000001)</f>
        <v/>
      </c>
    </row>
    <row r="191">
      <c r="R191">
        <f>IF('Product Tracker'!AD191="Buy",IF('Product Tracker'!AC191="",0,'Product Tracker'!AC191)-ROW()*0.0000001,-9999-ROW()*0.0000001)</f>
        <v/>
      </c>
      <c r="S191">
        <f>IF('Product Tracker'!BL191="Yes",IF('Product Tracker'!AC191="",0,'Product Tracker'!AC191)-ROW()*0.0000001,-9999-ROW()*0.0000001)</f>
        <v/>
      </c>
      <c r="T191">
        <f>IF(OR('Product Tracker'!AY191="High",'Product Tracker'!BA191="High",AND('Product Tracker'!AB191&lt;&gt;"",'Product Tracker'!AB191&lt;=2)),IF('Product Tracker'!AC191="",0,'Product Tracker'!AC191)-ROW()*0.0000001,-9999-ROW()*0.0000001)</f>
        <v/>
      </c>
    </row>
    <row r="192">
      <c r="R192">
        <f>IF('Product Tracker'!AD192="Buy",IF('Product Tracker'!AC192="",0,'Product Tracker'!AC192)-ROW()*0.0000001,-9999-ROW()*0.0000001)</f>
        <v/>
      </c>
      <c r="S192">
        <f>IF('Product Tracker'!BL192="Yes",IF('Product Tracker'!AC192="",0,'Product Tracker'!AC192)-ROW()*0.0000001,-9999-ROW()*0.0000001)</f>
        <v/>
      </c>
      <c r="T192">
        <f>IF(OR('Product Tracker'!AY192="High",'Product Tracker'!BA192="High",AND('Product Tracker'!AB192&lt;&gt;"",'Product Tracker'!AB192&lt;=2)),IF('Product Tracker'!AC192="",0,'Product Tracker'!AC192)-ROW()*0.0000001,-9999-ROW()*0.0000001)</f>
        <v/>
      </c>
    </row>
    <row r="193">
      <c r="R193">
        <f>IF('Product Tracker'!AD193="Buy",IF('Product Tracker'!AC193="",0,'Product Tracker'!AC193)-ROW()*0.0000001,-9999-ROW()*0.0000001)</f>
        <v/>
      </c>
      <c r="S193">
        <f>IF('Product Tracker'!BL193="Yes",IF('Product Tracker'!AC193="",0,'Product Tracker'!AC193)-ROW()*0.0000001,-9999-ROW()*0.0000001)</f>
        <v/>
      </c>
      <c r="T193">
        <f>IF(OR('Product Tracker'!AY193="High",'Product Tracker'!BA193="High",AND('Product Tracker'!AB193&lt;&gt;"",'Product Tracker'!AB193&lt;=2)),IF('Product Tracker'!AC193="",0,'Product Tracker'!AC193)-ROW()*0.0000001,-9999-ROW()*0.0000001)</f>
        <v/>
      </c>
    </row>
    <row r="194">
      <c r="R194">
        <f>IF('Product Tracker'!AD194="Buy",IF('Product Tracker'!AC194="",0,'Product Tracker'!AC194)-ROW()*0.0000001,-9999-ROW()*0.0000001)</f>
        <v/>
      </c>
      <c r="S194">
        <f>IF('Product Tracker'!BL194="Yes",IF('Product Tracker'!AC194="",0,'Product Tracker'!AC194)-ROW()*0.0000001,-9999-ROW()*0.0000001)</f>
        <v/>
      </c>
      <c r="T194">
        <f>IF(OR('Product Tracker'!AY194="High",'Product Tracker'!BA194="High",AND('Product Tracker'!AB194&lt;&gt;"",'Product Tracker'!AB194&lt;=2)),IF('Product Tracker'!AC194="",0,'Product Tracker'!AC194)-ROW()*0.0000001,-9999-ROW()*0.0000001)</f>
        <v/>
      </c>
    </row>
    <row r="195">
      <c r="R195">
        <f>IF('Product Tracker'!AD195="Buy",IF('Product Tracker'!AC195="",0,'Product Tracker'!AC195)-ROW()*0.0000001,-9999-ROW()*0.0000001)</f>
        <v/>
      </c>
      <c r="S195">
        <f>IF('Product Tracker'!BL195="Yes",IF('Product Tracker'!AC195="",0,'Product Tracker'!AC195)-ROW()*0.0000001,-9999-ROW()*0.0000001)</f>
        <v/>
      </c>
      <c r="T195">
        <f>IF(OR('Product Tracker'!AY195="High",'Product Tracker'!BA195="High",AND('Product Tracker'!AB195&lt;&gt;"",'Product Tracker'!AB195&lt;=2)),IF('Product Tracker'!AC195="",0,'Product Tracker'!AC195)-ROW()*0.0000001,-9999-ROW()*0.0000001)</f>
        <v/>
      </c>
    </row>
    <row r="196">
      <c r="R196">
        <f>IF('Product Tracker'!AD196="Buy",IF('Product Tracker'!AC196="",0,'Product Tracker'!AC196)-ROW()*0.0000001,-9999-ROW()*0.0000001)</f>
        <v/>
      </c>
      <c r="S196">
        <f>IF('Product Tracker'!BL196="Yes",IF('Product Tracker'!AC196="",0,'Product Tracker'!AC196)-ROW()*0.0000001,-9999-ROW()*0.0000001)</f>
        <v/>
      </c>
      <c r="T196">
        <f>IF(OR('Product Tracker'!AY196="High",'Product Tracker'!BA196="High",AND('Product Tracker'!AB196&lt;&gt;"",'Product Tracker'!AB196&lt;=2)),IF('Product Tracker'!AC196="",0,'Product Tracker'!AC196)-ROW()*0.0000001,-9999-ROW()*0.0000001)</f>
        <v/>
      </c>
    </row>
    <row r="197">
      <c r="R197">
        <f>IF('Product Tracker'!AD197="Buy",IF('Product Tracker'!AC197="",0,'Product Tracker'!AC197)-ROW()*0.0000001,-9999-ROW()*0.0000001)</f>
        <v/>
      </c>
      <c r="S197">
        <f>IF('Product Tracker'!BL197="Yes",IF('Product Tracker'!AC197="",0,'Product Tracker'!AC197)-ROW()*0.0000001,-9999-ROW()*0.0000001)</f>
        <v/>
      </c>
      <c r="T197">
        <f>IF(OR('Product Tracker'!AY197="High",'Product Tracker'!BA197="High",AND('Product Tracker'!AB197&lt;&gt;"",'Product Tracker'!AB197&lt;=2)),IF('Product Tracker'!AC197="",0,'Product Tracker'!AC197)-ROW()*0.0000001,-9999-ROW()*0.0000001)</f>
        <v/>
      </c>
    </row>
    <row r="198">
      <c r="R198">
        <f>IF('Product Tracker'!AD198="Buy",IF('Product Tracker'!AC198="",0,'Product Tracker'!AC198)-ROW()*0.0000001,-9999-ROW()*0.0000001)</f>
        <v/>
      </c>
      <c r="S198">
        <f>IF('Product Tracker'!BL198="Yes",IF('Product Tracker'!AC198="",0,'Product Tracker'!AC198)-ROW()*0.0000001,-9999-ROW()*0.0000001)</f>
        <v/>
      </c>
      <c r="T198">
        <f>IF(OR('Product Tracker'!AY198="High",'Product Tracker'!BA198="High",AND('Product Tracker'!AB198&lt;&gt;"",'Product Tracker'!AB198&lt;=2)),IF('Product Tracker'!AC198="",0,'Product Tracker'!AC198)-ROW()*0.0000001,-9999-ROW()*0.0000001)</f>
        <v/>
      </c>
    </row>
    <row r="199">
      <c r="R199">
        <f>IF('Product Tracker'!AD199="Buy",IF('Product Tracker'!AC199="",0,'Product Tracker'!AC199)-ROW()*0.0000001,-9999-ROW()*0.0000001)</f>
        <v/>
      </c>
      <c r="S199">
        <f>IF('Product Tracker'!BL199="Yes",IF('Product Tracker'!AC199="",0,'Product Tracker'!AC199)-ROW()*0.0000001,-9999-ROW()*0.0000001)</f>
        <v/>
      </c>
      <c r="T199">
        <f>IF(OR('Product Tracker'!AY199="High",'Product Tracker'!BA199="High",AND('Product Tracker'!AB199&lt;&gt;"",'Product Tracker'!AB199&lt;=2)),IF('Product Tracker'!AC199="",0,'Product Tracker'!AC199)-ROW()*0.0000001,-9999-ROW()*0.0000001)</f>
        <v/>
      </c>
    </row>
    <row r="200">
      <c r="R200">
        <f>IF('Product Tracker'!AD200="Buy",IF('Product Tracker'!AC200="",0,'Product Tracker'!AC200)-ROW()*0.0000001,-9999-ROW()*0.0000001)</f>
        <v/>
      </c>
      <c r="S200">
        <f>IF('Product Tracker'!BL200="Yes",IF('Product Tracker'!AC200="",0,'Product Tracker'!AC200)-ROW()*0.0000001,-9999-ROW()*0.0000001)</f>
        <v/>
      </c>
      <c r="T200">
        <f>IF(OR('Product Tracker'!AY200="High",'Product Tracker'!BA200="High",AND('Product Tracker'!AB200&lt;&gt;"",'Product Tracker'!AB200&lt;=2)),IF('Product Tracker'!AC200="",0,'Product Tracker'!AC200)-ROW()*0.0000001,-9999-ROW()*0.0000001)</f>
        <v/>
      </c>
    </row>
    <row r="201">
      <c r="R201">
        <f>IF('Product Tracker'!AD201="Buy",IF('Product Tracker'!AC201="",0,'Product Tracker'!AC201)-ROW()*0.0000001,-9999-ROW()*0.0000001)</f>
        <v/>
      </c>
      <c r="S201">
        <f>IF('Product Tracker'!BL201="Yes",IF('Product Tracker'!AC201="",0,'Product Tracker'!AC201)-ROW()*0.0000001,-9999-ROW()*0.0000001)</f>
        <v/>
      </c>
      <c r="T201">
        <f>IF(OR('Product Tracker'!AY201="High",'Product Tracker'!BA201="High",AND('Product Tracker'!AB201&lt;&gt;"",'Product Tracker'!AB201&lt;=2)),IF('Product Tracker'!AC201="",0,'Product Tracker'!AC201)-ROW()*0.0000001,-9999-ROW()*0.0000001)</f>
        <v/>
      </c>
    </row>
    <row r="202">
      <c r="R202">
        <f>IF('Product Tracker'!AD202="Buy",IF('Product Tracker'!AC202="",0,'Product Tracker'!AC202)-ROW()*0.0000001,-9999-ROW()*0.0000001)</f>
        <v/>
      </c>
      <c r="S202">
        <f>IF('Product Tracker'!BL202="Yes",IF('Product Tracker'!AC202="",0,'Product Tracker'!AC202)-ROW()*0.0000001,-9999-ROW()*0.0000001)</f>
        <v/>
      </c>
      <c r="T202">
        <f>IF(OR('Product Tracker'!AY202="High",'Product Tracker'!BA202="High",AND('Product Tracker'!AB202&lt;&gt;"",'Product Tracker'!AB202&lt;=2)),IF('Product Tracker'!AC202="",0,'Product Tracker'!AC202)-ROW()*0.0000001,-9999-ROW()*0.0000001)</f>
        <v/>
      </c>
    </row>
    <row r="203">
      <c r="R203">
        <f>IF('Product Tracker'!AD203="Buy",IF('Product Tracker'!AC203="",0,'Product Tracker'!AC203)-ROW()*0.0000001,-9999-ROW()*0.0000001)</f>
        <v/>
      </c>
      <c r="S203">
        <f>IF('Product Tracker'!BL203="Yes",IF('Product Tracker'!AC203="",0,'Product Tracker'!AC203)-ROW()*0.0000001,-9999-ROW()*0.0000001)</f>
        <v/>
      </c>
      <c r="T203">
        <f>IF(OR('Product Tracker'!AY203="High",'Product Tracker'!BA203="High",AND('Product Tracker'!AB203&lt;&gt;"",'Product Tracker'!AB203&lt;=2)),IF('Product Tracker'!AC203="",0,'Product Tracker'!AC203)-ROW()*0.0000001,-9999-ROW()*0.0000001)</f>
        <v/>
      </c>
    </row>
    <row r="204">
      <c r="R204">
        <f>IF('Product Tracker'!AD204="Buy",IF('Product Tracker'!AC204="",0,'Product Tracker'!AC204)-ROW()*0.0000001,-9999-ROW()*0.0000001)</f>
        <v/>
      </c>
      <c r="S204">
        <f>IF('Product Tracker'!BL204="Yes",IF('Product Tracker'!AC204="",0,'Product Tracker'!AC204)-ROW()*0.0000001,-9999-ROW()*0.0000001)</f>
        <v/>
      </c>
      <c r="T204">
        <f>IF(OR('Product Tracker'!AY204="High",'Product Tracker'!BA204="High",AND('Product Tracker'!AB204&lt;&gt;"",'Product Tracker'!AB204&lt;=2)),IF('Product Tracker'!AC204="",0,'Product Tracker'!AC204)-ROW()*0.0000001,-9999-ROW()*0.0000001)</f>
        <v/>
      </c>
    </row>
    <row r="205">
      <c r="R205">
        <f>IF('Product Tracker'!AD205="Buy",IF('Product Tracker'!AC205="",0,'Product Tracker'!AC205)-ROW()*0.0000001,-9999-ROW()*0.0000001)</f>
        <v/>
      </c>
      <c r="S205">
        <f>IF('Product Tracker'!BL205="Yes",IF('Product Tracker'!AC205="",0,'Product Tracker'!AC205)-ROW()*0.0000001,-9999-ROW()*0.0000001)</f>
        <v/>
      </c>
      <c r="T205">
        <f>IF(OR('Product Tracker'!AY205="High",'Product Tracker'!BA205="High",AND('Product Tracker'!AB205&lt;&gt;"",'Product Tracker'!AB205&lt;=2)),IF('Product Tracker'!AC205="",0,'Product Tracker'!AC205)-ROW()*0.0000001,-9999-ROW()*0.0000001)</f>
        <v/>
      </c>
    </row>
    <row r="206">
      <c r="R206">
        <f>IF('Product Tracker'!AD206="Buy",IF('Product Tracker'!AC206="",0,'Product Tracker'!AC206)-ROW()*0.0000001,-9999-ROW()*0.0000001)</f>
        <v/>
      </c>
      <c r="S206">
        <f>IF('Product Tracker'!BL206="Yes",IF('Product Tracker'!AC206="",0,'Product Tracker'!AC206)-ROW()*0.0000001,-9999-ROW()*0.0000001)</f>
        <v/>
      </c>
      <c r="T206">
        <f>IF(OR('Product Tracker'!AY206="High",'Product Tracker'!BA206="High",AND('Product Tracker'!AB206&lt;&gt;"",'Product Tracker'!AB206&lt;=2)),IF('Product Tracker'!AC206="",0,'Product Tracker'!AC206)-ROW()*0.0000001,-9999-ROW()*0.0000001)</f>
        <v/>
      </c>
    </row>
    <row r="207">
      <c r="R207">
        <f>IF('Product Tracker'!AD207="Buy",IF('Product Tracker'!AC207="",0,'Product Tracker'!AC207)-ROW()*0.0000001,-9999-ROW()*0.0000001)</f>
        <v/>
      </c>
      <c r="S207">
        <f>IF('Product Tracker'!BL207="Yes",IF('Product Tracker'!AC207="",0,'Product Tracker'!AC207)-ROW()*0.0000001,-9999-ROW()*0.0000001)</f>
        <v/>
      </c>
      <c r="T207">
        <f>IF(OR('Product Tracker'!AY207="High",'Product Tracker'!BA207="High",AND('Product Tracker'!AB207&lt;&gt;"",'Product Tracker'!AB207&lt;=2)),IF('Product Tracker'!AC207="",0,'Product Tracker'!AC207)-ROW()*0.0000001,-9999-ROW()*0.0000001)</f>
        <v/>
      </c>
    </row>
    <row r="208">
      <c r="R208">
        <f>IF('Product Tracker'!AD208="Buy",IF('Product Tracker'!AC208="",0,'Product Tracker'!AC208)-ROW()*0.0000001,-9999-ROW()*0.0000001)</f>
        <v/>
      </c>
      <c r="S208">
        <f>IF('Product Tracker'!BL208="Yes",IF('Product Tracker'!AC208="",0,'Product Tracker'!AC208)-ROW()*0.0000001,-9999-ROW()*0.0000001)</f>
        <v/>
      </c>
      <c r="T208">
        <f>IF(OR('Product Tracker'!AY208="High",'Product Tracker'!BA208="High",AND('Product Tracker'!AB208&lt;&gt;"",'Product Tracker'!AB208&lt;=2)),IF('Product Tracker'!AC208="",0,'Product Tracker'!AC208)-ROW()*0.0000001,-9999-ROW()*0.0000001)</f>
        <v/>
      </c>
    </row>
    <row r="209">
      <c r="R209">
        <f>IF('Product Tracker'!AD209="Buy",IF('Product Tracker'!AC209="",0,'Product Tracker'!AC209)-ROW()*0.0000001,-9999-ROW()*0.0000001)</f>
        <v/>
      </c>
      <c r="S209">
        <f>IF('Product Tracker'!BL209="Yes",IF('Product Tracker'!AC209="",0,'Product Tracker'!AC209)-ROW()*0.0000001,-9999-ROW()*0.0000001)</f>
        <v/>
      </c>
      <c r="T209">
        <f>IF(OR('Product Tracker'!AY209="High",'Product Tracker'!BA209="High",AND('Product Tracker'!AB209&lt;&gt;"",'Product Tracker'!AB209&lt;=2)),IF('Product Tracker'!AC209="",0,'Product Tracker'!AC209)-ROW()*0.0000001,-9999-ROW()*0.0000001)</f>
        <v/>
      </c>
    </row>
    <row r="210">
      <c r="R210">
        <f>IF('Product Tracker'!AD210="Buy",IF('Product Tracker'!AC210="",0,'Product Tracker'!AC210)-ROW()*0.0000001,-9999-ROW()*0.0000001)</f>
        <v/>
      </c>
      <c r="S210">
        <f>IF('Product Tracker'!BL210="Yes",IF('Product Tracker'!AC210="",0,'Product Tracker'!AC210)-ROW()*0.0000001,-9999-ROW()*0.0000001)</f>
        <v/>
      </c>
      <c r="T210">
        <f>IF(OR('Product Tracker'!AY210="High",'Product Tracker'!BA210="High",AND('Product Tracker'!AB210&lt;&gt;"",'Product Tracker'!AB210&lt;=2)),IF('Product Tracker'!AC210="",0,'Product Tracker'!AC210)-ROW()*0.0000001,-9999-ROW()*0.0000001)</f>
        <v/>
      </c>
    </row>
    <row r="211">
      <c r="R211">
        <f>IF('Product Tracker'!AD211="Buy",IF('Product Tracker'!AC211="",0,'Product Tracker'!AC211)-ROW()*0.0000001,-9999-ROW()*0.0000001)</f>
        <v/>
      </c>
      <c r="S211">
        <f>IF('Product Tracker'!BL211="Yes",IF('Product Tracker'!AC211="",0,'Product Tracker'!AC211)-ROW()*0.0000001,-9999-ROW()*0.0000001)</f>
        <v/>
      </c>
      <c r="T211">
        <f>IF(OR('Product Tracker'!AY211="High",'Product Tracker'!BA211="High",AND('Product Tracker'!AB211&lt;&gt;"",'Product Tracker'!AB211&lt;=2)),IF('Product Tracker'!AC211="",0,'Product Tracker'!AC211)-ROW()*0.0000001,-9999-ROW()*0.0000001)</f>
        <v/>
      </c>
    </row>
    <row r="212">
      <c r="R212">
        <f>IF('Product Tracker'!AD212="Buy",IF('Product Tracker'!AC212="",0,'Product Tracker'!AC212)-ROW()*0.0000001,-9999-ROW()*0.0000001)</f>
        <v/>
      </c>
      <c r="S212">
        <f>IF('Product Tracker'!BL212="Yes",IF('Product Tracker'!AC212="",0,'Product Tracker'!AC212)-ROW()*0.0000001,-9999-ROW()*0.0000001)</f>
        <v/>
      </c>
      <c r="T212">
        <f>IF(OR('Product Tracker'!AY212="High",'Product Tracker'!BA212="High",AND('Product Tracker'!AB212&lt;&gt;"",'Product Tracker'!AB212&lt;=2)),IF('Product Tracker'!AC212="",0,'Product Tracker'!AC212)-ROW()*0.0000001,-9999-ROW()*0.0000001)</f>
        <v/>
      </c>
    </row>
    <row r="213">
      <c r="R213">
        <f>IF('Product Tracker'!AD213="Buy",IF('Product Tracker'!AC213="",0,'Product Tracker'!AC213)-ROW()*0.0000001,-9999-ROW()*0.0000001)</f>
        <v/>
      </c>
      <c r="S213">
        <f>IF('Product Tracker'!BL213="Yes",IF('Product Tracker'!AC213="",0,'Product Tracker'!AC213)-ROW()*0.0000001,-9999-ROW()*0.0000001)</f>
        <v/>
      </c>
      <c r="T213">
        <f>IF(OR('Product Tracker'!AY213="High",'Product Tracker'!BA213="High",AND('Product Tracker'!AB213&lt;&gt;"",'Product Tracker'!AB213&lt;=2)),IF('Product Tracker'!AC213="",0,'Product Tracker'!AC213)-ROW()*0.0000001,-9999-ROW()*0.0000001)</f>
        <v/>
      </c>
    </row>
    <row r="214">
      <c r="R214">
        <f>IF('Product Tracker'!AD214="Buy",IF('Product Tracker'!AC214="",0,'Product Tracker'!AC214)-ROW()*0.0000001,-9999-ROW()*0.0000001)</f>
        <v/>
      </c>
      <c r="S214">
        <f>IF('Product Tracker'!BL214="Yes",IF('Product Tracker'!AC214="",0,'Product Tracker'!AC214)-ROW()*0.0000001,-9999-ROW()*0.0000001)</f>
        <v/>
      </c>
      <c r="T214">
        <f>IF(OR('Product Tracker'!AY214="High",'Product Tracker'!BA214="High",AND('Product Tracker'!AB214&lt;&gt;"",'Product Tracker'!AB214&lt;=2)),IF('Product Tracker'!AC214="",0,'Product Tracker'!AC214)-ROW()*0.0000001,-9999-ROW()*0.0000001)</f>
        <v/>
      </c>
    </row>
    <row r="215">
      <c r="R215">
        <f>IF('Product Tracker'!AD215="Buy",IF('Product Tracker'!AC215="",0,'Product Tracker'!AC215)-ROW()*0.0000001,-9999-ROW()*0.0000001)</f>
        <v/>
      </c>
      <c r="S215">
        <f>IF('Product Tracker'!BL215="Yes",IF('Product Tracker'!AC215="",0,'Product Tracker'!AC215)-ROW()*0.0000001,-9999-ROW()*0.0000001)</f>
        <v/>
      </c>
      <c r="T215">
        <f>IF(OR('Product Tracker'!AY215="High",'Product Tracker'!BA215="High",AND('Product Tracker'!AB215&lt;&gt;"",'Product Tracker'!AB215&lt;=2)),IF('Product Tracker'!AC215="",0,'Product Tracker'!AC215)-ROW()*0.0000001,-9999-ROW()*0.0000001)</f>
        <v/>
      </c>
    </row>
    <row r="216">
      <c r="R216">
        <f>IF('Product Tracker'!AD216="Buy",IF('Product Tracker'!AC216="",0,'Product Tracker'!AC216)-ROW()*0.0000001,-9999-ROW()*0.0000001)</f>
        <v/>
      </c>
      <c r="S216">
        <f>IF('Product Tracker'!BL216="Yes",IF('Product Tracker'!AC216="",0,'Product Tracker'!AC216)-ROW()*0.0000001,-9999-ROW()*0.0000001)</f>
        <v/>
      </c>
      <c r="T216">
        <f>IF(OR('Product Tracker'!AY216="High",'Product Tracker'!BA216="High",AND('Product Tracker'!AB216&lt;&gt;"",'Product Tracker'!AB216&lt;=2)),IF('Product Tracker'!AC216="",0,'Product Tracker'!AC216)-ROW()*0.0000001,-9999-ROW()*0.0000001)</f>
        <v/>
      </c>
    </row>
    <row r="217">
      <c r="R217">
        <f>IF('Product Tracker'!AD217="Buy",IF('Product Tracker'!AC217="",0,'Product Tracker'!AC217)-ROW()*0.0000001,-9999-ROW()*0.0000001)</f>
        <v/>
      </c>
      <c r="S217">
        <f>IF('Product Tracker'!BL217="Yes",IF('Product Tracker'!AC217="",0,'Product Tracker'!AC217)-ROW()*0.0000001,-9999-ROW()*0.0000001)</f>
        <v/>
      </c>
      <c r="T217">
        <f>IF(OR('Product Tracker'!AY217="High",'Product Tracker'!BA217="High",AND('Product Tracker'!AB217&lt;&gt;"",'Product Tracker'!AB217&lt;=2)),IF('Product Tracker'!AC217="",0,'Product Tracker'!AC217)-ROW()*0.0000001,-9999-ROW()*0.0000001)</f>
        <v/>
      </c>
    </row>
    <row r="218">
      <c r="R218">
        <f>IF('Product Tracker'!AD218="Buy",IF('Product Tracker'!AC218="",0,'Product Tracker'!AC218)-ROW()*0.0000001,-9999-ROW()*0.0000001)</f>
        <v/>
      </c>
      <c r="S218">
        <f>IF('Product Tracker'!BL218="Yes",IF('Product Tracker'!AC218="",0,'Product Tracker'!AC218)-ROW()*0.0000001,-9999-ROW()*0.0000001)</f>
        <v/>
      </c>
      <c r="T218">
        <f>IF(OR('Product Tracker'!AY218="High",'Product Tracker'!BA218="High",AND('Product Tracker'!AB218&lt;&gt;"",'Product Tracker'!AB218&lt;=2)),IF('Product Tracker'!AC218="",0,'Product Tracker'!AC218)-ROW()*0.0000001,-9999-ROW()*0.0000001)</f>
        <v/>
      </c>
    </row>
    <row r="219">
      <c r="R219">
        <f>IF('Product Tracker'!AD219="Buy",IF('Product Tracker'!AC219="",0,'Product Tracker'!AC219)-ROW()*0.0000001,-9999-ROW()*0.0000001)</f>
        <v/>
      </c>
      <c r="S219">
        <f>IF('Product Tracker'!BL219="Yes",IF('Product Tracker'!AC219="",0,'Product Tracker'!AC219)-ROW()*0.0000001,-9999-ROW()*0.0000001)</f>
        <v/>
      </c>
      <c r="T219">
        <f>IF(OR('Product Tracker'!AY219="High",'Product Tracker'!BA219="High",AND('Product Tracker'!AB219&lt;&gt;"",'Product Tracker'!AB219&lt;=2)),IF('Product Tracker'!AC219="",0,'Product Tracker'!AC219)-ROW()*0.0000001,-9999-ROW()*0.0000001)</f>
        <v/>
      </c>
    </row>
    <row r="220">
      <c r="R220">
        <f>IF('Product Tracker'!AD220="Buy",IF('Product Tracker'!AC220="",0,'Product Tracker'!AC220)-ROW()*0.0000001,-9999-ROW()*0.0000001)</f>
        <v/>
      </c>
      <c r="S220">
        <f>IF('Product Tracker'!BL220="Yes",IF('Product Tracker'!AC220="",0,'Product Tracker'!AC220)-ROW()*0.0000001,-9999-ROW()*0.0000001)</f>
        <v/>
      </c>
      <c r="T220">
        <f>IF(OR('Product Tracker'!AY220="High",'Product Tracker'!BA220="High",AND('Product Tracker'!AB220&lt;&gt;"",'Product Tracker'!AB220&lt;=2)),IF('Product Tracker'!AC220="",0,'Product Tracker'!AC220)-ROW()*0.0000001,-9999-ROW()*0.0000001)</f>
        <v/>
      </c>
    </row>
    <row r="221">
      <c r="R221">
        <f>IF('Product Tracker'!AD221="Buy",IF('Product Tracker'!AC221="",0,'Product Tracker'!AC221)-ROW()*0.0000001,-9999-ROW()*0.0000001)</f>
        <v/>
      </c>
      <c r="S221">
        <f>IF('Product Tracker'!BL221="Yes",IF('Product Tracker'!AC221="",0,'Product Tracker'!AC221)-ROW()*0.0000001,-9999-ROW()*0.0000001)</f>
        <v/>
      </c>
      <c r="T221">
        <f>IF(OR('Product Tracker'!AY221="High",'Product Tracker'!BA221="High",AND('Product Tracker'!AB221&lt;&gt;"",'Product Tracker'!AB221&lt;=2)),IF('Product Tracker'!AC221="",0,'Product Tracker'!AC221)-ROW()*0.0000001,-9999-ROW()*0.0000001)</f>
        <v/>
      </c>
    </row>
    <row r="222">
      <c r="R222">
        <f>IF('Product Tracker'!AD222="Buy",IF('Product Tracker'!AC222="",0,'Product Tracker'!AC222)-ROW()*0.0000001,-9999-ROW()*0.0000001)</f>
        <v/>
      </c>
      <c r="S222">
        <f>IF('Product Tracker'!BL222="Yes",IF('Product Tracker'!AC222="",0,'Product Tracker'!AC222)-ROW()*0.0000001,-9999-ROW()*0.0000001)</f>
        <v/>
      </c>
      <c r="T222">
        <f>IF(OR('Product Tracker'!AY222="High",'Product Tracker'!BA222="High",AND('Product Tracker'!AB222&lt;&gt;"",'Product Tracker'!AB222&lt;=2)),IF('Product Tracker'!AC222="",0,'Product Tracker'!AC222)-ROW()*0.0000001,-9999-ROW()*0.0000001)</f>
        <v/>
      </c>
    </row>
    <row r="223">
      <c r="R223">
        <f>IF('Product Tracker'!AD223="Buy",IF('Product Tracker'!AC223="",0,'Product Tracker'!AC223)-ROW()*0.0000001,-9999-ROW()*0.0000001)</f>
        <v/>
      </c>
      <c r="S223">
        <f>IF('Product Tracker'!BL223="Yes",IF('Product Tracker'!AC223="",0,'Product Tracker'!AC223)-ROW()*0.0000001,-9999-ROW()*0.0000001)</f>
        <v/>
      </c>
      <c r="T223">
        <f>IF(OR('Product Tracker'!AY223="High",'Product Tracker'!BA223="High",AND('Product Tracker'!AB223&lt;&gt;"",'Product Tracker'!AB223&lt;=2)),IF('Product Tracker'!AC223="",0,'Product Tracker'!AC223)-ROW()*0.0000001,-9999-ROW()*0.0000001)</f>
        <v/>
      </c>
    </row>
    <row r="224">
      <c r="R224">
        <f>IF('Product Tracker'!AD224="Buy",IF('Product Tracker'!AC224="",0,'Product Tracker'!AC224)-ROW()*0.0000001,-9999-ROW()*0.0000001)</f>
        <v/>
      </c>
      <c r="S224">
        <f>IF('Product Tracker'!BL224="Yes",IF('Product Tracker'!AC224="",0,'Product Tracker'!AC224)-ROW()*0.0000001,-9999-ROW()*0.0000001)</f>
        <v/>
      </c>
      <c r="T224">
        <f>IF(OR('Product Tracker'!AY224="High",'Product Tracker'!BA224="High",AND('Product Tracker'!AB224&lt;&gt;"",'Product Tracker'!AB224&lt;=2)),IF('Product Tracker'!AC224="",0,'Product Tracker'!AC224)-ROW()*0.0000001,-9999-ROW()*0.0000001)</f>
        <v/>
      </c>
    </row>
    <row r="225">
      <c r="R225">
        <f>IF('Product Tracker'!AD225="Buy",IF('Product Tracker'!AC225="",0,'Product Tracker'!AC225)-ROW()*0.0000001,-9999-ROW()*0.0000001)</f>
        <v/>
      </c>
      <c r="S225">
        <f>IF('Product Tracker'!BL225="Yes",IF('Product Tracker'!AC225="",0,'Product Tracker'!AC225)-ROW()*0.0000001,-9999-ROW()*0.0000001)</f>
        <v/>
      </c>
      <c r="T225">
        <f>IF(OR('Product Tracker'!AY225="High",'Product Tracker'!BA225="High",AND('Product Tracker'!AB225&lt;&gt;"",'Product Tracker'!AB225&lt;=2)),IF('Product Tracker'!AC225="",0,'Product Tracker'!AC225)-ROW()*0.0000001,-9999-ROW()*0.0000001)</f>
        <v/>
      </c>
    </row>
    <row r="226">
      <c r="R226">
        <f>IF('Product Tracker'!AD226="Buy",IF('Product Tracker'!AC226="",0,'Product Tracker'!AC226)-ROW()*0.0000001,-9999-ROW()*0.0000001)</f>
        <v/>
      </c>
      <c r="S226">
        <f>IF('Product Tracker'!BL226="Yes",IF('Product Tracker'!AC226="",0,'Product Tracker'!AC226)-ROW()*0.0000001,-9999-ROW()*0.0000001)</f>
        <v/>
      </c>
      <c r="T226">
        <f>IF(OR('Product Tracker'!AY226="High",'Product Tracker'!BA226="High",AND('Product Tracker'!AB226&lt;&gt;"",'Product Tracker'!AB226&lt;=2)),IF('Product Tracker'!AC226="",0,'Product Tracker'!AC226)-ROW()*0.0000001,-9999-ROW()*0.0000001)</f>
        <v/>
      </c>
    </row>
    <row r="227">
      <c r="R227">
        <f>IF('Product Tracker'!AD227="Buy",IF('Product Tracker'!AC227="",0,'Product Tracker'!AC227)-ROW()*0.0000001,-9999-ROW()*0.0000001)</f>
        <v/>
      </c>
      <c r="S227">
        <f>IF('Product Tracker'!BL227="Yes",IF('Product Tracker'!AC227="",0,'Product Tracker'!AC227)-ROW()*0.0000001,-9999-ROW()*0.0000001)</f>
        <v/>
      </c>
      <c r="T227">
        <f>IF(OR('Product Tracker'!AY227="High",'Product Tracker'!BA227="High",AND('Product Tracker'!AB227&lt;&gt;"",'Product Tracker'!AB227&lt;=2)),IF('Product Tracker'!AC227="",0,'Product Tracker'!AC227)-ROW()*0.0000001,-9999-ROW()*0.0000001)</f>
        <v/>
      </c>
    </row>
    <row r="228">
      <c r="R228">
        <f>IF('Product Tracker'!AD228="Buy",IF('Product Tracker'!AC228="",0,'Product Tracker'!AC228)-ROW()*0.0000001,-9999-ROW()*0.0000001)</f>
        <v/>
      </c>
      <c r="S228">
        <f>IF('Product Tracker'!BL228="Yes",IF('Product Tracker'!AC228="",0,'Product Tracker'!AC228)-ROW()*0.0000001,-9999-ROW()*0.0000001)</f>
        <v/>
      </c>
      <c r="T228">
        <f>IF(OR('Product Tracker'!AY228="High",'Product Tracker'!BA228="High",AND('Product Tracker'!AB228&lt;&gt;"",'Product Tracker'!AB228&lt;=2)),IF('Product Tracker'!AC228="",0,'Product Tracker'!AC228)-ROW()*0.0000001,-9999-ROW()*0.0000001)</f>
        <v/>
      </c>
    </row>
    <row r="229">
      <c r="R229">
        <f>IF('Product Tracker'!AD229="Buy",IF('Product Tracker'!AC229="",0,'Product Tracker'!AC229)-ROW()*0.0000001,-9999-ROW()*0.0000001)</f>
        <v/>
      </c>
      <c r="S229">
        <f>IF('Product Tracker'!BL229="Yes",IF('Product Tracker'!AC229="",0,'Product Tracker'!AC229)-ROW()*0.0000001,-9999-ROW()*0.0000001)</f>
        <v/>
      </c>
      <c r="T229">
        <f>IF(OR('Product Tracker'!AY229="High",'Product Tracker'!BA229="High",AND('Product Tracker'!AB229&lt;&gt;"",'Product Tracker'!AB229&lt;=2)),IF('Product Tracker'!AC229="",0,'Product Tracker'!AC229)-ROW()*0.0000001,-9999-ROW()*0.0000001)</f>
        <v/>
      </c>
    </row>
    <row r="230">
      <c r="R230">
        <f>IF('Product Tracker'!AD230="Buy",IF('Product Tracker'!AC230="",0,'Product Tracker'!AC230)-ROW()*0.0000001,-9999-ROW()*0.0000001)</f>
        <v/>
      </c>
      <c r="S230">
        <f>IF('Product Tracker'!BL230="Yes",IF('Product Tracker'!AC230="",0,'Product Tracker'!AC230)-ROW()*0.0000001,-9999-ROW()*0.0000001)</f>
        <v/>
      </c>
      <c r="T230">
        <f>IF(OR('Product Tracker'!AY230="High",'Product Tracker'!BA230="High",AND('Product Tracker'!AB230&lt;&gt;"",'Product Tracker'!AB230&lt;=2)),IF('Product Tracker'!AC230="",0,'Product Tracker'!AC230)-ROW()*0.0000001,-9999-ROW()*0.0000001)</f>
        <v/>
      </c>
    </row>
    <row r="231">
      <c r="R231">
        <f>IF('Product Tracker'!AD231="Buy",IF('Product Tracker'!AC231="",0,'Product Tracker'!AC231)-ROW()*0.0000001,-9999-ROW()*0.0000001)</f>
        <v/>
      </c>
      <c r="S231">
        <f>IF('Product Tracker'!BL231="Yes",IF('Product Tracker'!AC231="",0,'Product Tracker'!AC231)-ROW()*0.0000001,-9999-ROW()*0.0000001)</f>
        <v/>
      </c>
      <c r="T231">
        <f>IF(OR('Product Tracker'!AY231="High",'Product Tracker'!BA231="High",AND('Product Tracker'!AB231&lt;&gt;"",'Product Tracker'!AB231&lt;=2)),IF('Product Tracker'!AC231="",0,'Product Tracker'!AC231)-ROW()*0.0000001,-9999-ROW()*0.0000001)</f>
        <v/>
      </c>
    </row>
    <row r="232">
      <c r="R232">
        <f>IF('Product Tracker'!AD232="Buy",IF('Product Tracker'!AC232="",0,'Product Tracker'!AC232)-ROW()*0.0000001,-9999-ROW()*0.0000001)</f>
        <v/>
      </c>
      <c r="S232">
        <f>IF('Product Tracker'!BL232="Yes",IF('Product Tracker'!AC232="",0,'Product Tracker'!AC232)-ROW()*0.0000001,-9999-ROW()*0.0000001)</f>
        <v/>
      </c>
      <c r="T232">
        <f>IF(OR('Product Tracker'!AY232="High",'Product Tracker'!BA232="High",AND('Product Tracker'!AB232&lt;&gt;"",'Product Tracker'!AB232&lt;=2)),IF('Product Tracker'!AC232="",0,'Product Tracker'!AC232)-ROW()*0.0000001,-9999-ROW()*0.0000001)</f>
        <v/>
      </c>
    </row>
    <row r="233">
      <c r="R233">
        <f>IF('Product Tracker'!AD233="Buy",IF('Product Tracker'!AC233="",0,'Product Tracker'!AC233)-ROW()*0.0000001,-9999-ROW()*0.0000001)</f>
        <v/>
      </c>
      <c r="S233">
        <f>IF('Product Tracker'!BL233="Yes",IF('Product Tracker'!AC233="",0,'Product Tracker'!AC233)-ROW()*0.0000001,-9999-ROW()*0.0000001)</f>
        <v/>
      </c>
      <c r="T233">
        <f>IF(OR('Product Tracker'!AY233="High",'Product Tracker'!BA233="High",AND('Product Tracker'!AB233&lt;&gt;"",'Product Tracker'!AB233&lt;=2)),IF('Product Tracker'!AC233="",0,'Product Tracker'!AC233)-ROW()*0.0000001,-9999-ROW()*0.0000001)</f>
        <v/>
      </c>
    </row>
    <row r="234">
      <c r="R234">
        <f>IF('Product Tracker'!AD234="Buy",IF('Product Tracker'!AC234="",0,'Product Tracker'!AC234)-ROW()*0.0000001,-9999-ROW()*0.0000001)</f>
        <v/>
      </c>
      <c r="S234">
        <f>IF('Product Tracker'!BL234="Yes",IF('Product Tracker'!AC234="",0,'Product Tracker'!AC234)-ROW()*0.0000001,-9999-ROW()*0.0000001)</f>
        <v/>
      </c>
      <c r="T234">
        <f>IF(OR('Product Tracker'!AY234="High",'Product Tracker'!BA234="High",AND('Product Tracker'!AB234&lt;&gt;"",'Product Tracker'!AB234&lt;=2)),IF('Product Tracker'!AC234="",0,'Product Tracker'!AC234)-ROW()*0.0000001,-9999-ROW()*0.0000001)</f>
        <v/>
      </c>
    </row>
    <row r="235">
      <c r="R235">
        <f>IF('Product Tracker'!AD235="Buy",IF('Product Tracker'!AC235="",0,'Product Tracker'!AC235)-ROW()*0.0000001,-9999-ROW()*0.0000001)</f>
        <v/>
      </c>
      <c r="S235">
        <f>IF('Product Tracker'!BL235="Yes",IF('Product Tracker'!AC235="",0,'Product Tracker'!AC235)-ROW()*0.0000001,-9999-ROW()*0.0000001)</f>
        <v/>
      </c>
      <c r="T235">
        <f>IF(OR('Product Tracker'!AY235="High",'Product Tracker'!BA235="High",AND('Product Tracker'!AB235&lt;&gt;"",'Product Tracker'!AB235&lt;=2)),IF('Product Tracker'!AC235="",0,'Product Tracker'!AC235)-ROW()*0.0000001,-9999-ROW()*0.0000001)</f>
        <v/>
      </c>
    </row>
    <row r="236">
      <c r="R236">
        <f>IF('Product Tracker'!AD236="Buy",IF('Product Tracker'!AC236="",0,'Product Tracker'!AC236)-ROW()*0.0000001,-9999-ROW()*0.0000001)</f>
        <v/>
      </c>
      <c r="S236">
        <f>IF('Product Tracker'!BL236="Yes",IF('Product Tracker'!AC236="",0,'Product Tracker'!AC236)-ROW()*0.0000001,-9999-ROW()*0.0000001)</f>
        <v/>
      </c>
      <c r="T236">
        <f>IF(OR('Product Tracker'!AY236="High",'Product Tracker'!BA236="High",AND('Product Tracker'!AB236&lt;&gt;"",'Product Tracker'!AB236&lt;=2)),IF('Product Tracker'!AC236="",0,'Product Tracker'!AC236)-ROW()*0.0000001,-9999-ROW()*0.0000001)</f>
        <v/>
      </c>
    </row>
    <row r="237">
      <c r="R237">
        <f>IF('Product Tracker'!AD237="Buy",IF('Product Tracker'!AC237="",0,'Product Tracker'!AC237)-ROW()*0.0000001,-9999-ROW()*0.0000001)</f>
        <v/>
      </c>
      <c r="S237">
        <f>IF('Product Tracker'!BL237="Yes",IF('Product Tracker'!AC237="",0,'Product Tracker'!AC237)-ROW()*0.0000001,-9999-ROW()*0.0000001)</f>
        <v/>
      </c>
      <c r="T237">
        <f>IF(OR('Product Tracker'!AY237="High",'Product Tracker'!BA237="High",AND('Product Tracker'!AB237&lt;&gt;"",'Product Tracker'!AB237&lt;=2)),IF('Product Tracker'!AC237="",0,'Product Tracker'!AC237)-ROW()*0.0000001,-9999-ROW()*0.0000001)</f>
        <v/>
      </c>
    </row>
    <row r="238">
      <c r="R238">
        <f>IF('Product Tracker'!AD238="Buy",IF('Product Tracker'!AC238="",0,'Product Tracker'!AC238)-ROW()*0.0000001,-9999-ROW()*0.0000001)</f>
        <v/>
      </c>
      <c r="S238">
        <f>IF('Product Tracker'!BL238="Yes",IF('Product Tracker'!AC238="",0,'Product Tracker'!AC238)-ROW()*0.0000001,-9999-ROW()*0.0000001)</f>
        <v/>
      </c>
      <c r="T238">
        <f>IF(OR('Product Tracker'!AY238="High",'Product Tracker'!BA238="High",AND('Product Tracker'!AB238&lt;&gt;"",'Product Tracker'!AB238&lt;=2)),IF('Product Tracker'!AC238="",0,'Product Tracker'!AC238)-ROW()*0.0000001,-9999-ROW()*0.0000001)</f>
        <v/>
      </c>
    </row>
    <row r="239">
      <c r="R239">
        <f>IF('Product Tracker'!AD239="Buy",IF('Product Tracker'!AC239="",0,'Product Tracker'!AC239)-ROW()*0.0000001,-9999-ROW()*0.0000001)</f>
        <v/>
      </c>
      <c r="S239">
        <f>IF('Product Tracker'!BL239="Yes",IF('Product Tracker'!AC239="",0,'Product Tracker'!AC239)-ROW()*0.0000001,-9999-ROW()*0.0000001)</f>
        <v/>
      </c>
      <c r="T239">
        <f>IF(OR('Product Tracker'!AY239="High",'Product Tracker'!BA239="High",AND('Product Tracker'!AB239&lt;&gt;"",'Product Tracker'!AB239&lt;=2)),IF('Product Tracker'!AC239="",0,'Product Tracker'!AC239)-ROW()*0.0000001,-9999-ROW()*0.0000001)</f>
        <v/>
      </c>
    </row>
    <row r="240">
      <c r="R240">
        <f>IF('Product Tracker'!AD240="Buy",IF('Product Tracker'!AC240="",0,'Product Tracker'!AC240)-ROW()*0.0000001,-9999-ROW()*0.0000001)</f>
        <v/>
      </c>
      <c r="S240">
        <f>IF('Product Tracker'!BL240="Yes",IF('Product Tracker'!AC240="",0,'Product Tracker'!AC240)-ROW()*0.0000001,-9999-ROW()*0.0000001)</f>
        <v/>
      </c>
      <c r="T240">
        <f>IF(OR('Product Tracker'!AY240="High",'Product Tracker'!BA240="High",AND('Product Tracker'!AB240&lt;&gt;"",'Product Tracker'!AB240&lt;=2)),IF('Product Tracker'!AC240="",0,'Product Tracker'!AC240)-ROW()*0.0000001,-9999-ROW()*0.0000001)</f>
        <v/>
      </c>
    </row>
    <row r="241">
      <c r="R241">
        <f>IF('Product Tracker'!AD241="Buy",IF('Product Tracker'!AC241="",0,'Product Tracker'!AC241)-ROW()*0.0000001,-9999-ROW()*0.0000001)</f>
        <v/>
      </c>
      <c r="S241">
        <f>IF('Product Tracker'!BL241="Yes",IF('Product Tracker'!AC241="",0,'Product Tracker'!AC241)-ROW()*0.0000001,-9999-ROW()*0.0000001)</f>
        <v/>
      </c>
      <c r="T241">
        <f>IF(OR('Product Tracker'!AY241="High",'Product Tracker'!BA241="High",AND('Product Tracker'!AB241&lt;&gt;"",'Product Tracker'!AB241&lt;=2)),IF('Product Tracker'!AC241="",0,'Product Tracker'!AC241)-ROW()*0.0000001,-9999-ROW()*0.0000001)</f>
        <v/>
      </c>
    </row>
    <row r="242">
      <c r="R242">
        <f>IF('Product Tracker'!AD242="Buy",IF('Product Tracker'!AC242="",0,'Product Tracker'!AC242)-ROW()*0.0000001,-9999-ROW()*0.0000001)</f>
        <v/>
      </c>
      <c r="S242">
        <f>IF('Product Tracker'!BL242="Yes",IF('Product Tracker'!AC242="",0,'Product Tracker'!AC242)-ROW()*0.0000001,-9999-ROW()*0.0000001)</f>
        <v/>
      </c>
      <c r="T242">
        <f>IF(OR('Product Tracker'!AY242="High",'Product Tracker'!BA242="High",AND('Product Tracker'!AB242&lt;&gt;"",'Product Tracker'!AB242&lt;=2)),IF('Product Tracker'!AC242="",0,'Product Tracker'!AC242)-ROW()*0.0000001,-9999-ROW()*0.0000001)</f>
        <v/>
      </c>
    </row>
    <row r="243">
      <c r="R243">
        <f>IF('Product Tracker'!AD243="Buy",IF('Product Tracker'!AC243="",0,'Product Tracker'!AC243)-ROW()*0.0000001,-9999-ROW()*0.0000001)</f>
        <v/>
      </c>
      <c r="S243">
        <f>IF('Product Tracker'!BL243="Yes",IF('Product Tracker'!AC243="",0,'Product Tracker'!AC243)-ROW()*0.0000001,-9999-ROW()*0.0000001)</f>
        <v/>
      </c>
      <c r="T243">
        <f>IF(OR('Product Tracker'!AY243="High",'Product Tracker'!BA243="High",AND('Product Tracker'!AB243&lt;&gt;"",'Product Tracker'!AB243&lt;=2)),IF('Product Tracker'!AC243="",0,'Product Tracker'!AC243)-ROW()*0.0000001,-9999-ROW()*0.0000001)</f>
        <v/>
      </c>
    </row>
    <row r="244">
      <c r="R244">
        <f>IF('Product Tracker'!AD244="Buy",IF('Product Tracker'!AC244="",0,'Product Tracker'!AC244)-ROW()*0.0000001,-9999-ROW()*0.0000001)</f>
        <v/>
      </c>
      <c r="S244">
        <f>IF('Product Tracker'!BL244="Yes",IF('Product Tracker'!AC244="",0,'Product Tracker'!AC244)-ROW()*0.0000001,-9999-ROW()*0.0000001)</f>
        <v/>
      </c>
      <c r="T244">
        <f>IF(OR('Product Tracker'!AY244="High",'Product Tracker'!BA244="High",AND('Product Tracker'!AB244&lt;&gt;"",'Product Tracker'!AB244&lt;=2)),IF('Product Tracker'!AC244="",0,'Product Tracker'!AC244)-ROW()*0.0000001,-9999-ROW()*0.0000001)</f>
        <v/>
      </c>
    </row>
    <row r="245">
      <c r="R245">
        <f>IF('Product Tracker'!AD245="Buy",IF('Product Tracker'!AC245="",0,'Product Tracker'!AC245)-ROW()*0.0000001,-9999-ROW()*0.0000001)</f>
        <v/>
      </c>
      <c r="S245">
        <f>IF('Product Tracker'!BL245="Yes",IF('Product Tracker'!AC245="",0,'Product Tracker'!AC245)-ROW()*0.0000001,-9999-ROW()*0.0000001)</f>
        <v/>
      </c>
      <c r="T245">
        <f>IF(OR('Product Tracker'!AY245="High",'Product Tracker'!BA245="High",AND('Product Tracker'!AB245&lt;&gt;"",'Product Tracker'!AB245&lt;=2)),IF('Product Tracker'!AC245="",0,'Product Tracker'!AC245)-ROW()*0.0000001,-9999-ROW()*0.0000001)</f>
        <v/>
      </c>
    </row>
    <row r="246">
      <c r="R246">
        <f>IF('Product Tracker'!AD246="Buy",IF('Product Tracker'!AC246="",0,'Product Tracker'!AC246)-ROW()*0.0000001,-9999-ROW()*0.0000001)</f>
        <v/>
      </c>
      <c r="S246">
        <f>IF('Product Tracker'!BL246="Yes",IF('Product Tracker'!AC246="",0,'Product Tracker'!AC246)-ROW()*0.0000001,-9999-ROW()*0.0000001)</f>
        <v/>
      </c>
      <c r="T246">
        <f>IF(OR('Product Tracker'!AY246="High",'Product Tracker'!BA246="High",AND('Product Tracker'!AB246&lt;&gt;"",'Product Tracker'!AB246&lt;=2)),IF('Product Tracker'!AC246="",0,'Product Tracker'!AC246)-ROW()*0.0000001,-9999-ROW()*0.0000001)</f>
        <v/>
      </c>
    </row>
    <row r="247">
      <c r="R247">
        <f>IF('Product Tracker'!AD247="Buy",IF('Product Tracker'!AC247="",0,'Product Tracker'!AC247)-ROW()*0.0000001,-9999-ROW()*0.0000001)</f>
        <v/>
      </c>
      <c r="S247">
        <f>IF('Product Tracker'!BL247="Yes",IF('Product Tracker'!AC247="",0,'Product Tracker'!AC247)-ROW()*0.0000001,-9999-ROW()*0.0000001)</f>
        <v/>
      </c>
      <c r="T247">
        <f>IF(OR('Product Tracker'!AY247="High",'Product Tracker'!BA247="High",AND('Product Tracker'!AB247&lt;&gt;"",'Product Tracker'!AB247&lt;=2)),IF('Product Tracker'!AC247="",0,'Product Tracker'!AC247)-ROW()*0.0000001,-9999-ROW()*0.0000001)</f>
        <v/>
      </c>
    </row>
    <row r="248">
      <c r="R248">
        <f>IF('Product Tracker'!AD248="Buy",IF('Product Tracker'!AC248="",0,'Product Tracker'!AC248)-ROW()*0.0000001,-9999-ROW()*0.0000001)</f>
        <v/>
      </c>
      <c r="S248">
        <f>IF('Product Tracker'!BL248="Yes",IF('Product Tracker'!AC248="",0,'Product Tracker'!AC248)-ROW()*0.0000001,-9999-ROW()*0.0000001)</f>
        <v/>
      </c>
      <c r="T248">
        <f>IF(OR('Product Tracker'!AY248="High",'Product Tracker'!BA248="High",AND('Product Tracker'!AB248&lt;&gt;"",'Product Tracker'!AB248&lt;=2)),IF('Product Tracker'!AC248="",0,'Product Tracker'!AC248)-ROW()*0.0000001,-9999-ROW()*0.0000001)</f>
        <v/>
      </c>
    </row>
    <row r="249">
      <c r="R249">
        <f>IF('Product Tracker'!AD249="Buy",IF('Product Tracker'!AC249="",0,'Product Tracker'!AC249)-ROW()*0.0000001,-9999-ROW()*0.0000001)</f>
        <v/>
      </c>
      <c r="S249">
        <f>IF('Product Tracker'!BL249="Yes",IF('Product Tracker'!AC249="",0,'Product Tracker'!AC249)-ROW()*0.0000001,-9999-ROW()*0.0000001)</f>
        <v/>
      </c>
      <c r="T249">
        <f>IF(OR('Product Tracker'!AY249="High",'Product Tracker'!BA249="High",AND('Product Tracker'!AB249&lt;&gt;"",'Product Tracker'!AB249&lt;=2)),IF('Product Tracker'!AC249="",0,'Product Tracker'!AC249)-ROW()*0.0000001,-9999-ROW()*0.0000001)</f>
        <v/>
      </c>
    </row>
    <row r="250">
      <c r="R250">
        <f>IF('Product Tracker'!AD250="Buy",IF('Product Tracker'!AC250="",0,'Product Tracker'!AC250)-ROW()*0.0000001,-9999-ROW()*0.0000001)</f>
        <v/>
      </c>
      <c r="S250">
        <f>IF('Product Tracker'!BL250="Yes",IF('Product Tracker'!AC250="",0,'Product Tracker'!AC250)-ROW()*0.0000001,-9999-ROW()*0.0000001)</f>
        <v/>
      </c>
      <c r="T250">
        <f>IF(OR('Product Tracker'!AY250="High",'Product Tracker'!BA250="High",AND('Product Tracker'!AB250&lt;&gt;"",'Product Tracker'!AB250&lt;=2)),IF('Product Tracker'!AC250="",0,'Product Tracker'!AC250)-ROW()*0.0000001,-9999-ROW()*0.0000001)</f>
        <v/>
      </c>
    </row>
    <row r="251">
      <c r="R251">
        <f>IF('Product Tracker'!AD251="Buy",IF('Product Tracker'!AC251="",0,'Product Tracker'!AC251)-ROW()*0.0000001,-9999-ROW()*0.0000001)</f>
        <v/>
      </c>
      <c r="S251">
        <f>IF('Product Tracker'!BL251="Yes",IF('Product Tracker'!AC251="",0,'Product Tracker'!AC251)-ROW()*0.0000001,-9999-ROW()*0.0000001)</f>
        <v/>
      </c>
      <c r="T251">
        <f>IF(OR('Product Tracker'!AY251="High",'Product Tracker'!BA251="High",AND('Product Tracker'!AB251&lt;&gt;"",'Product Tracker'!AB251&lt;=2)),IF('Product Tracker'!AC251="",0,'Product Tracker'!AC251)-ROW()*0.0000001,-9999-ROW()*0.0000001)</f>
        <v/>
      </c>
    </row>
    <row r="252">
      <c r="R252">
        <f>IF('Product Tracker'!AD252="Buy",IF('Product Tracker'!AC252="",0,'Product Tracker'!AC252)-ROW()*0.0000001,-9999-ROW()*0.0000001)</f>
        <v/>
      </c>
      <c r="S252">
        <f>IF('Product Tracker'!BL252="Yes",IF('Product Tracker'!AC252="",0,'Product Tracker'!AC252)-ROW()*0.0000001,-9999-ROW()*0.0000001)</f>
        <v/>
      </c>
      <c r="T252">
        <f>IF(OR('Product Tracker'!AY252="High",'Product Tracker'!BA252="High",AND('Product Tracker'!AB252&lt;&gt;"",'Product Tracker'!AB252&lt;=2)),IF('Product Tracker'!AC252="",0,'Product Tracker'!AC252)-ROW()*0.0000001,-9999-ROW()*0.0000001)</f>
        <v/>
      </c>
    </row>
    <row r="253">
      <c r="R253">
        <f>IF('Product Tracker'!AD253="Buy",IF('Product Tracker'!AC253="",0,'Product Tracker'!AC253)-ROW()*0.0000001,-9999-ROW()*0.0000001)</f>
        <v/>
      </c>
      <c r="S253">
        <f>IF('Product Tracker'!BL253="Yes",IF('Product Tracker'!AC253="",0,'Product Tracker'!AC253)-ROW()*0.0000001,-9999-ROW()*0.0000001)</f>
        <v/>
      </c>
      <c r="T253">
        <f>IF(OR('Product Tracker'!AY253="High",'Product Tracker'!BA253="High",AND('Product Tracker'!AB253&lt;&gt;"",'Product Tracker'!AB253&lt;=2)),IF('Product Tracker'!AC253="",0,'Product Tracker'!AC253)-ROW()*0.0000001,-9999-ROW()*0.0000001)</f>
        <v/>
      </c>
    </row>
    <row r="254">
      <c r="R254">
        <f>IF('Product Tracker'!AD254="Buy",IF('Product Tracker'!AC254="",0,'Product Tracker'!AC254)-ROW()*0.0000001,-9999-ROW()*0.0000001)</f>
        <v/>
      </c>
      <c r="S254">
        <f>IF('Product Tracker'!BL254="Yes",IF('Product Tracker'!AC254="",0,'Product Tracker'!AC254)-ROW()*0.0000001,-9999-ROW()*0.0000001)</f>
        <v/>
      </c>
      <c r="T254">
        <f>IF(OR('Product Tracker'!AY254="High",'Product Tracker'!BA254="High",AND('Product Tracker'!AB254&lt;&gt;"",'Product Tracker'!AB254&lt;=2)),IF('Product Tracker'!AC254="",0,'Product Tracker'!AC254)-ROW()*0.0000001,-9999-ROW()*0.0000001)</f>
        <v/>
      </c>
    </row>
    <row r="255">
      <c r="R255">
        <f>IF('Product Tracker'!AD255="Buy",IF('Product Tracker'!AC255="",0,'Product Tracker'!AC255)-ROW()*0.0000001,-9999-ROW()*0.0000001)</f>
        <v/>
      </c>
      <c r="S255">
        <f>IF('Product Tracker'!BL255="Yes",IF('Product Tracker'!AC255="",0,'Product Tracker'!AC255)-ROW()*0.0000001,-9999-ROW()*0.0000001)</f>
        <v/>
      </c>
      <c r="T255">
        <f>IF(OR('Product Tracker'!AY255="High",'Product Tracker'!BA255="High",AND('Product Tracker'!AB255&lt;&gt;"",'Product Tracker'!AB255&lt;=2)),IF('Product Tracker'!AC255="",0,'Product Tracker'!AC255)-ROW()*0.0000001,-9999-ROW()*0.0000001)</f>
        <v/>
      </c>
    </row>
    <row r="256">
      <c r="R256">
        <f>IF('Product Tracker'!AD256="Buy",IF('Product Tracker'!AC256="",0,'Product Tracker'!AC256)-ROW()*0.0000001,-9999-ROW()*0.0000001)</f>
        <v/>
      </c>
      <c r="S256">
        <f>IF('Product Tracker'!BL256="Yes",IF('Product Tracker'!AC256="",0,'Product Tracker'!AC256)-ROW()*0.0000001,-9999-ROW()*0.0000001)</f>
        <v/>
      </c>
      <c r="T256">
        <f>IF(OR('Product Tracker'!AY256="High",'Product Tracker'!BA256="High",AND('Product Tracker'!AB256&lt;&gt;"",'Product Tracker'!AB256&lt;=2)),IF('Product Tracker'!AC256="",0,'Product Tracker'!AC256)-ROW()*0.0000001,-9999-ROW()*0.0000001)</f>
        <v/>
      </c>
    </row>
    <row r="257">
      <c r="R257">
        <f>IF('Product Tracker'!AD257="Buy",IF('Product Tracker'!AC257="",0,'Product Tracker'!AC257)-ROW()*0.0000001,-9999-ROW()*0.0000001)</f>
        <v/>
      </c>
      <c r="S257">
        <f>IF('Product Tracker'!BL257="Yes",IF('Product Tracker'!AC257="",0,'Product Tracker'!AC257)-ROW()*0.0000001,-9999-ROW()*0.0000001)</f>
        <v/>
      </c>
      <c r="T257">
        <f>IF(OR('Product Tracker'!AY257="High",'Product Tracker'!BA257="High",AND('Product Tracker'!AB257&lt;&gt;"",'Product Tracker'!AB257&lt;=2)),IF('Product Tracker'!AC257="",0,'Product Tracker'!AC257)-ROW()*0.0000001,-9999-ROW()*0.0000001)</f>
        <v/>
      </c>
    </row>
    <row r="258">
      <c r="R258">
        <f>IF('Product Tracker'!AD258="Buy",IF('Product Tracker'!AC258="",0,'Product Tracker'!AC258)-ROW()*0.0000001,-9999-ROW()*0.0000001)</f>
        <v/>
      </c>
      <c r="S258">
        <f>IF('Product Tracker'!BL258="Yes",IF('Product Tracker'!AC258="",0,'Product Tracker'!AC258)-ROW()*0.0000001,-9999-ROW()*0.0000001)</f>
        <v/>
      </c>
      <c r="T258">
        <f>IF(OR('Product Tracker'!AY258="High",'Product Tracker'!BA258="High",AND('Product Tracker'!AB258&lt;&gt;"",'Product Tracker'!AB258&lt;=2)),IF('Product Tracker'!AC258="",0,'Product Tracker'!AC258)-ROW()*0.0000001,-9999-ROW()*0.0000001)</f>
        <v/>
      </c>
    </row>
    <row r="259">
      <c r="R259">
        <f>IF('Product Tracker'!AD259="Buy",IF('Product Tracker'!AC259="",0,'Product Tracker'!AC259)-ROW()*0.0000001,-9999-ROW()*0.0000001)</f>
        <v/>
      </c>
      <c r="S259">
        <f>IF('Product Tracker'!BL259="Yes",IF('Product Tracker'!AC259="",0,'Product Tracker'!AC259)-ROW()*0.0000001,-9999-ROW()*0.0000001)</f>
        <v/>
      </c>
      <c r="T259">
        <f>IF(OR('Product Tracker'!AY259="High",'Product Tracker'!BA259="High",AND('Product Tracker'!AB259&lt;&gt;"",'Product Tracker'!AB259&lt;=2)),IF('Product Tracker'!AC259="",0,'Product Tracker'!AC259)-ROW()*0.0000001,-9999-ROW()*0.0000001)</f>
        <v/>
      </c>
    </row>
    <row r="260">
      <c r="R260">
        <f>IF('Product Tracker'!AD260="Buy",IF('Product Tracker'!AC260="",0,'Product Tracker'!AC260)-ROW()*0.0000001,-9999-ROW()*0.0000001)</f>
        <v/>
      </c>
      <c r="S260">
        <f>IF('Product Tracker'!BL260="Yes",IF('Product Tracker'!AC260="",0,'Product Tracker'!AC260)-ROW()*0.0000001,-9999-ROW()*0.0000001)</f>
        <v/>
      </c>
      <c r="T260">
        <f>IF(OR('Product Tracker'!AY260="High",'Product Tracker'!BA260="High",AND('Product Tracker'!AB260&lt;&gt;"",'Product Tracker'!AB260&lt;=2)),IF('Product Tracker'!AC260="",0,'Product Tracker'!AC260)-ROW()*0.0000001,-9999-ROW()*0.0000001)</f>
        <v/>
      </c>
    </row>
    <row r="261">
      <c r="R261">
        <f>IF('Product Tracker'!AD261="Buy",IF('Product Tracker'!AC261="",0,'Product Tracker'!AC261)-ROW()*0.0000001,-9999-ROW()*0.0000001)</f>
        <v/>
      </c>
      <c r="S261">
        <f>IF('Product Tracker'!BL261="Yes",IF('Product Tracker'!AC261="",0,'Product Tracker'!AC261)-ROW()*0.0000001,-9999-ROW()*0.0000001)</f>
        <v/>
      </c>
      <c r="T261">
        <f>IF(OR('Product Tracker'!AY261="High",'Product Tracker'!BA261="High",AND('Product Tracker'!AB261&lt;&gt;"",'Product Tracker'!AB261&lt;=2)),IF('Product Tracker'!AC261="",0,'Product Tracker'!AC261)-ROW()*0.0000001,-9999-ROW()*0.0000001)</f>
        <v/>
      </c>
    </row>
    <row r="262">
      <c r="R262">
        <f>IF('Product Tracker'!AD262="Buy",IF('Product Tracker'!AC262="",0,'Product Tracker'!AC262)-ROW()*0.0000001,-9999-ROW()*0.0000001)</f>
        <v/>
      </c>
      <c r="S262">
        <f>IF('Product Tracker'!BL262="Yes",IF('Product Tracker'!AC262="",0,'Product Tracker'!AC262)-ROW()*0.0000001,-9999-ROW()*0.0000001)</f>
        <v/>
      </c>
      <c r="T262">
        <f>IF(OR('Product Tracker'!AY262="High",'Product Tracker'!BA262="High",AND('Product Tracker'!AB262&lt;&gt;"",'Product Tracker'!AB262&lt;=2)),IF('Product Tracker'!AC262="",0,'Product Tracker'!AC262)-ROW()*0.0000001,-9999-ROW()*0.0000001)</f>
        <v/>
      </c>
    </row>
    <row r="263">
      <c r="R263">
        <f>IF('Product Tracker'!AD263="Buy",IF('Product Tracker'!AC263="",0,'Product Tracker'!AC263)-ROW()*0.0000001,-9999-ROW()*0.0000001)</f>
        <v/>
      </c>
      <c r="S263">
        <f>IF('Product Tracker'!BL263="Yes",IF('Product Tracker'!AC263="",0,'Product Tracker'!AC263)-ROW()*0.0000001,-9999-ROW()*0.0000001)</f>
        <v/>
      </c>
      <c r="T263">
        <f>IF(OR('Product Tracker'!AY263="High",'Product Tracker'!BA263="High",AND('Product Tracker'!AB263&lt;&gt;"",'Product Tracker'!AB263&lt;=2)),IF('Product Tracker'!AC263="",0,'Product Tracker'!AC263)-ROW()*0.0000001,-9999-ROW()*0.0000001)</f>
        <v/>
      </c>
    </row>
    <row r="264">
      <c r="R264">
        <f>IF('Product Tracker'!AD264="Buy",IF('Product Tracker'!AC264="",0,'Product Tracker'!AC264)-ROW()*0.0000001,-9999-ROW()*0.0000001)</f>
        <v/>
      </c>
      <c r="S264">
        <f>IF('Product Tracker'!BL264="Yes",IF('Product Tracker'!AC264="",0,'Product Tracker'!AC264)-ROW()*0.0000001,-9999-ROW()*0.0000001)</f>
        <v/>
      </c>
      <c r="T264">
        <f>IF(OR('Product Tracker'!AY264="High",'Product Tracker'!BA264="High",AND('Product Tracker'!AB264&lt;&gt;"",'Product Tracker'!AB264&lt;=2)),IF('Product Tracker'!AC264="",0,'Product Tracker'!AC264)-ROW()*0.0000001,-9999-ROW()*0.0000001)</f>
        <v/>
      </c>
    </row>
    <row r="265">
      <c r="R265">
        <f>IF('Product Tracker'!AD265="Buy",IF('Product Tracker'!AC265="",0,'Product Tracker'!AC265)-ROW()*0.0000001,-9999-ROW()*0.0000001)</f>
        <v/>
      </c>
      <c r="S265">
        <f>IF('Product Tracker'!BL265="Yes",IF('Product Tracker'!AC265="",0,'Product Tracker'!AC265)-ROW()*0.0000001,-9999-ROW()*0.0000001)</f>
        <v/>
      </c>
      <c r="T265">
        <f>IF(OR('Product Tracker'!AY265="High",'Product Tracker'!BA265="High",AND('Product Tracker'!AB265&lt;&gt;"",'Product Tracker'!AB265&lt;=2)),IF('Product Tracker'!AC265="",0,'Product Tracker'!AC265)-ROW()*0.0000001,-9999-ROW()*0.0000001)</f>
        <v/>
      </c>
    </row>
    <row r="266">
      <c r="R266">
        <f>IF('Product Tracker'!AD266="Buy",IF('Product Tracker'!AC266="",0,'Product Tracker'!AC266)-ROW()*0.0000001,-9999-ROW()*0.0000001)</f>
        <v/>
      </c>
      <c r="S266">
        <f>IF('Product Tracker'!BL266="Yes",IF('Product Tracker'!AC266="",0,'Product Tracker'!AC266)-ROW()*0.0000001,-9999-ROW()*0.0000001)</f>
        <v/>
      </c>
      <c r="T266">
        <f>IF(OR('Product Tracker'!AY266="High",'Product Tracker'!BA266="High",AND('Product Tracker'!AB266&lt;&gt;"",'Product Tracker'!AB266&lt;=2)),IF('Product Tracker'!AC266="",0,'Product Tracker'!AC266)-ROW()*0.0000001,-9999-ROW()*0.0000001)</f>
        <v/>
      </c>
    </row>
    <row r="267">
      <c r="R267">
        <f>IF('Product Tracker'!AD267="Buy",IF('Product Tracker'!AC267="",0,'Product Tracker'!AC267)-ROW()*0.0000001,-9999-ROW()*0.0000001)</f>
        <v/>
      </c>
      <c r="S267">
        <f>IF('Product Tracker'!BL267="Yes",IF('Product Tracker'!AC267="",0,'Product Tracker'!AC267)-ROW()*0.0000001,-9999-ROW()*0.0000001)</f>
        <v/>
      </c>
      <c r="T267">
        <f>IF(OR('Product Tracker'!AY267="High",'Product Tracker'!BA267="High",AND('Product Tracker'!AB267&lt;&gt;"",'Product Tracker'!AB267&lt;=2)),IF('Product Tracker'!AC267="",0,'Product Tracker'!AC267)-ROW()*0.0000001,-9999-ROW()*0.0000001)</f>
        <v/>
      </c>
    </row>
    <row r="268">
      <c r="R268">
        <f>IF('Product Tracker'!AD268="Buy",IF('Product Tracker'!AC268="",0,'Product Tracker'!AC268)-ROW()*0.0000001,-9999-ROW()*0.0000001)</f>
        <v/>
      </c>
      <c r="S268">
        <f>IF('Product Tracker'!BL268="Yes",IF('Product Tracker'!AC268="",0,'Product Tracker'!AC268)-ROW()*0.0000001,-9999-ROW()*0.0000001)</f>
        <v/>
      </c>
      <c r="T268">
        <f>IF(OR('Product Tracker'!AY268="High",'Product Tracker'!BA268="High",AND('Product Tracker'!AB268&lt;&gt;"",'Product Tracker'!AB268&lt;=2)),IF('Product Tracker'!AC268="",0,'Product Tracker'!AC268)-ROW()*0.0000001,-9999-ROW()*0.0000001)</f>
        <v/>
      </c>
    </row>
    <row r="269">
      <c r="R269">
        <f>IF('Product Tracker'!AD269="Buy",IF('Product Tracker'!AC269="",0,'Product Tracker'!AC269)-ROW()*0.0000001,-9999-ROW()*0.0000001)</f>
        <v/>
      </c>
      <c r="S269">
        <f>IF('Product Tracker'!BL269="Yes",IF('Product Tracker'!AC269="",0,'Product Tracker'!AC269)-ROW()*0.0000001,-9999-ROW()*0.0000001)</f>
        <v/>
      </c>
      <c r="T269">
        <f>IF(OR('Product Tracker'!AY269="High",'Product Tracker'!BA269="High",AND('Product Tracker'!AB269&lt;&gt;"",'Product Tracker'!AB269&lt;=2)),IF('Product Tracker'!AC269="",0,'Product Tracker'!AC269)-ROW()*0.0000001,-9999-ROW()*0.0000001)</f>
        <v/>
      </c>
    </row>
    <row r="270">
      <c r="R270">
        <f>IF('Product Tracker'!AD270="Buy",IF('Product Tracker'!AC270="",0,'Product Tracker'!AC270)-ROW()*0.0000001,-9999-ROW()*0.0000001)</f>
        <v/>
      </c>
      <c r="S270">
        <f>IF('Product Tracker'!BL270="Yes",IF('Product Tracker'!AC270="",0,'Product Tracker'!AC270)-ROW()*0.0000001,-9999-ROW()*0.0000001)</f>
        <v/>
      </c>
      <c r="T270">
        <f>IF(OR('Product Tracker'!AY270="High",'Product Tracker'!BA270="High",AND('Product Tracker'!AB270&lt;&gt;"",'Product Tracker'!AB270&lt;=2)),IF('Product Tracker'!AC270="",0,'Product Tracker'!AC270)-ROW()*0.0000001,-9999-ROW()*0.0000001)</f>
        <v/>
      </c>
    </row>
    <row r="271">
      <c r="R271">
        <f>IF('Product Tracker'!AD271="Buy",IF('Product Tracker'!AC271="",0,'Product Tracker'!AC271)-ROW()*0.0000001,-9999-ROW()*0.0000001)</f>
        <v/>
      </c>
      <c r="S271">
        <f>IF('Product Tracker'!BL271="Yes",IF('Product Tracker'!AC271="",0,'Product Tracker'!AC271)-ROW()*0.0000001,-9999-ROW()*0.0000001)</f>
        <v/>
      </c>
      <c r="T271">
        <f>IF(OR('Product Tracker'!AY271="High",'Product Tracker'!BA271="High",AND('Product Tracker'!AB271&lt;&gt;"",'Product Tracker'!AB271&lt;=2)),IF('Product Tracker'!AC271="",0,'Product Tracker'!AC271)-ROW()*0.0000001,-9999-ROW()*0.0000001)</f>
        <v/>
      </c>
    </row>
    <row r="272">
      <c r="R272">
        <f>IF('Product Tracker'!AD272="Buy",IF('Product Tracker'!AC272="",0,'Product Tracker'!AC272)-ROW()*0.0000001,-9999-ROW()*0.0000001)</f>
        <v/>
      </c>
      <c r="S272">
        <f>IF('Product Tracker'!BL272="Yes",IF('Product Tracker'!AC272="",0,'Product Tracker'!AC272)-ROW()*0.0000001,-9999-ROW()*0.0000001)</f>
        <v/>
      </c>
      <c r="T272">
        <f>IF(OR('Product Tracker'!AY272="High",'Product Tracker'!BA272="High",AND('Product Tracker'!AB272&lt;&gt;"",'Product Tracker'!AB272&lt;=2)),IF('Product Tracker'!AC272="",0,'Product Tracker'!AC272)-ROW()*0.0000001,-9999-ROW()*0.0000001)</f>
        <v/>
      </c>
    </row>
    <row r="273">
      <c r="R273">
        <f>IF('Product Tracker'!AD273="Buy",IF('Product Tracker'!AC273="",0,'Product Tracker'!AC273)-ROW()*0.0000001,-9999-ROW()*0.0000001)</f>
        <v/>
      </c>
      <c r="S273">
        <f>IF('Product Tracker'!BL273="Yes",IF('Product Tracker'!AC273="",0,'Product Tracker'!AC273)-ROW()*0.0000001,-9999-ROW()*0.0000001)</f>
        <v/>
      </c>
      <c r="T273">
        <f>IF(OR('Product Tracker'!AY273="High",'Product Tracker'!BA273="High",AND('Product Tracker'!AB273&lt;&gt;"",'Product Tracker'!AB273&lt;=2)),IF('Product Tracker'!AC273="",0,'Product Tracker'!AC273)-ROW()*0.0000001,-9999-ROW()*0.0000001)</f>
        <v/>
      </c>
    </row>
    <row r="274">
      <c r="R274">
        <f>IF('Product Tracker'!AD274="Buy",IF('Product Tracker'!AC274="",0,'Product Tracker'!AC274)-ROW()*0.0000001,-9999-ROW()*0.0000001)</f>
        <v/>
      </c>
      <c r="S274">
        <f>IF('Product Tracker'!BL274="Yes",IF('Product Tracker'!AC274="",0,'Product Tracker'!AC274)-ROW()*0.0000001,-9999-ROW()*0.0000001)</f>
        <v/>
      </c>
      <c r="T274">
        <f>IF(OR('Product Tracker'!AY274="High",'Product Tracker'!BA274="High",AND('Product Tracker'!AB274&lt;&gt;"",'Product Tracker'!AB274&lt;=2)),IF('Product Tracker'!AC274="",0,'Product Tracker'!AC274)-ROW()*0.0000001,-9999-ROW()*0.0000001)</f>
        <v/>
      </c>
    </row>
    <row r="275">
      <c r="R275">
        <f>IF('Product Tracker'!AD275="Buy",IF('Product Tracker'!AC275="",0,'Product Tracker'!AC275)-ROW()*0.0000001,-9999-ROW()*0.0000001)</f>
        <v/>
      </c>
      <c r="S275">
        <f>IF('Product Tracker'!BL275="Yes",IF('Product Tracker'!AC275="",0,'Product Tracker'!AC275)-ROW()*0.0000001,-9999-ROW()*0.0000001)</f>
        <v/>
      </c>
      <c r="T275">
        <f>IF(OR('Product Tracker'!AY275="High",'Product Tracker'!BA275="High",AND('Product Tracker'!AB275&lt;&gt;"",'Product Tracker'!AB275&lt;=2)),IF('Product Tracker'!AC275="",0,'Product Tracker'!AC275)-ROW()*0.0000001,-9999-ROW()*0.0000001)</f>
        <v/>
      </c>
    </row>
    <row r="276">
      <c r="R276">
        <f>IF('Product Tracker'!AD276="Buy",IF('Product Tracker'!AC276="",0,'Product Tracker'!AC276)-ROW()*0.0000001,-9999-ROW()*0.0000001)</f>
        <v/>
      </c>
      <c r="S276">
        <f>IF('Product Tracker'!BL276="Yes",IF('Product Tracker'!AC276="",0,'Product Tracker'!AC276)-ROW()*0.0000001,-9999-ROW()*0.0000001)</f>
        <v/>
      </c>
      <c r="T276">
        <f>IF(OR('Product Tracker'!AY276="High",'Product Tracker'!BA276="High",AND('Product Tracker'!AB276&lt;&gt;"",'Product Tracker'!AB276&lt;=2)),IF('Product Tracker'!AC276="",0,'Product Tracker'!AC276)-ROW()*0.0000001,-9999-ROW()*0.0000001)</f>
        <v/>
      </c>
    </row>
    <row r="277">
      <c r="R277">
        <f>IF('Product Tracker'!AD277="Buy",IF('Product Tracker'!AC277="",0,'Product Tracker'!AC277)-ROW()*0.0000001,-9999-ROW()*0.0000001)</f>
        <v/>
      </c>
      <c r="S277">
        <f>IF('Product Tracker'!BL277="Yes",IF('Product Tracker'!AC277="",0,'Product Tracker'!AC277)-ROW()*0.0000001,-9999-ROW()*0.0000001)</f>
        <v/>
      </c>
      <c r="T277">
        <f>IF(OR('Product Tracker'!AY277="High",'Product Tracker'!BA277="High",AND('Product Tracker'!AB277&lt;&gt;"",'Product Tracker'!AB277&lt;=2)),IF('Product Tracker'!AC277="",0,'Product Tracker'!AC277)-ROW()*0.0000001,-9999-ROW()*0.0000001)</f>
        <v/>
      </c>
    </row>
    <row r="278">
      <c r="R278">
        <f>IF('Product Tracker'!AD278="Buy",IF('Product Tracker'!AC278="",0,'Product Tracker'!AC278)-ROW()*0.0000001,-9999-ROW()*0.0000001)</f>
        <v/>
      </c>
      <c r="S278">
        <f>IF('Product Tracker'!BL278="Yes",IF('Product Tracker'!AC278="",0,'Product Tracker'!AC278)-ROW()*0.0000001,-9999-ROW()*0.0000001)</f>
        <v/>
      </c>
      <c r="T278">
        <f>IF(OR('Product Tracker'!AY278="High",'Product Tracker'!BA278="High",AND('Product Tracker'!AB278&lt;&gt;"",'Product Tracker'!AB278&lt;=2)),IF('Product Tracker'!AC278="",0,'Product Tracker'!AC278)-ROW()*0.0000001,-9999-ROW()*0.0000001)</f>
        <v/>
      </c>
    </row>
    <row r="279">
      <c r="R279">
        <f>IF('Product Tracker'!AD279="Buy",IF('Product Tracker'!AC279="",0,'Product Tracker'!AC279)-ROW()*0.0000001,-9999-ROW()*0.0000001)</f>
        <v/>
      </c>
      <c r="S279">
        <f>IF('Product Tracker'!BL279="Yes",IF('Product Tracker'!AC279="",0,'Product Tracker'!AC279)-ROW()*0.0000001,-9999-ROW()*0.0000001)</f>
        <v/>
      </c>
      <c r="T279">
        <f>IF(OR('Product Tracker'!AY279="High",'Product Tracker'!BA279="High",AND('Product Tracker'!AB279&lt;&gt;"",'Product Tracker'!AB279&lt;=2)),IF('Product Tracker'!AC279="",0,'Product Tracker'!AC279)-ROW()*0.0000001,-9999-ROW()*0.0000001)</f>
        <v/>
      </c>
    </row>
    <row r="280">
      <c r="R280">
        <f>IF('Product Tracker'!AD280="Buy",IF('Product Tracker'!AC280="",0,'Product Tracker'!AC280)-ROW()*0.0000001,-9999-ROW()*0.0000001)</f>
        <v/>
      </c>
      <c r="S280">
        <f>IF('Product Tracker'!BL280="Yes",IF('Product Tracker'!AC280="",0,'Product Tracker'!AC280)-ROW()*0.0000001,-9999-ROW()*0.0000001)</f>
        <v/>
      </c>
      <c r="T280">
        <f>IF(OR('Product Tracker'!AY280="High",'Product Tracker'!BA280="High",AND('Product Tracker'!AB280&lt;&gt;"",'Product Tracker'!AB280&lt;=2)),IF('Product Tracker'!AC280="",0,'Product Tracker'!AC280)-ROW()*0.0000001,-9999-ROW()*0.0000001)</f>
        <v/>
      </c>
    </row>
    <row r="281">
      <c r="R281">
        <f>IF('Product Tracker'!AD281="Buy",IF('Product Tracker'!AC281="",0,'Product Tracker'!AC281)-ROW()*0.0000001,-9999-ROW()*0.0000001)</f>
        <v/>
      </c>
      <c r="S281">
        <f>IF('Product Tracker'!BL281="Yes",IF('Product Tracker'!AC281="",0,'Product Tracker'!AC281)-ROW()*0.0000001,-9999-ROW()*0.0000001)</f>
        <v/>
      </c>
      <c r="T281">
        <f>IF(OR('Product Tracker'!AY281="High",'Product Tracker'!BA281="High",AND('Product Tracker'!AB281&lt;&gt;"",'Product Tracker'!AB281&lt;=2)),IF('Product Tracker'!AC281="",0,'Product Tracker'!AC281)-ROW()*0.0000001,-9999-ROW()*0.0000001)</f>
        <v/>
      </c>
    </row>
    <row r="282">
      <c r="R282">
        <f>IF('Product Tracker'!AD282="Buy",IF('Product Tracker'!AC282="",0,'Product Tracker'!AC282)-ROW()*0.0000001,-9999-ROW()*0.0000001)</f>
        <v/>
      </c>
      <c r="S282">
        <f>IF('Product Tracker'!BL282="Yes",IF('Product Tracker'!AC282="",0,'Product Tracker'!AC282)-ROW()*0.0000001,-9999-ROW()*0.0000001)</f>
        <v/>
      </c>
      <c r="T282">
        <f>IF(OR('Product Tracker'!AY282="High",'Product Tracker'!BA282="High",AND('Product Tracker'!AB282&lt;&gt;"",'Product Tracker'!AB282&lt;=2)),IF('Product Tracker'!AC282="",0,'Product Tracker'!AC282)-ROW()*0.0000001,-9999-ROW()*0.0000001)</f>
        <v/>
      </c>
    </row>
    <row r="283">
      <c r="R283">
        <f>IF('Product Tracker'!AD283="Buy",IF('Product Tracker'!AC283="",0,'Product Tracker'!AC283)-ROW()*0.0000001,-9999-ROW()*0.0000001)</f>
        <v/>
      </c>
      <c r="S283">
        <f>IF('Product Tracker'!BL283="Yes",IF('Product Tracker'!AC283="",0,'Product Tracker'!AC283)-ROW()*0.0000001,-9999-ROW()*0.0000001)</f>
        <v/>
      </c>
      <c r="T283">
        <f>IF(OR('Product Tracker'!AY283="High",'Product Tracker'!BA283="High",AND('Product Tracker'!AB283&lt;&gt;"",'Product Tracker'!AB283&lt;=2)),IF('Product Tracker'!AC283="",0,'Product Tracker'!AC283)-ROW()*0.0000001,-9999-ROW()*0.0000001)</f>
        <v/>
      </c>
    </row>
    <row r="284">
      <c r="R284">
        <f>IF('Product Tracker'!AD284="Buy",IF('Product Tracker'!AC284="",0,'Product Tracker'!AC284)-ROW()*0.0000001,-9999-ROW()*0.0000001)</f>
        <v/>
      </c>
      <c r="S284">
        <f>IF('Product Tracker'!BL284="Yes",IF('Product Tracker'!AC284="",0,'Product Tracker'!AC284)-ROW()*0.0000001,-9999-ROW()*0.0000001)</f>
        <v/>
      </c>
      <c r="T284">
        <f>IF(OR('Product Tracker'!AY284="High",'Product Tracker'!BA284="High",AND('Product Tracker'!AB284&lt;&gt;"",'Product Tracker'!AB284&lt;=2)),IF('Product Tracker'!AC284="",0,'Product Tracker'!AC284)-ROW()*0.0000001,-9999-ROW()*0.0000001)</f>
        <v/>
      </c>
    </row>
    <row r="285">
      <c r="R285">
        <f>IF('Product Tracker'!AD285="Buy",IF('Product Tracker'!AC285="",0,'Product Tracker'!AC285)-ROW()*0.0000001,-9999-ROW()*0.0000001)</f>
        <v/>
      </c>
      <c r="S285">
        <f>IF('Product Tracker'!BL285="Yes",IF('Product Tracker'!AC285="",0,'Product Tracker'!AC285)-ROW()*0.0000001,-9999-ROW()*0.0000001)</f>
        <v/>
      </c>
      <c r="T285">
        <f>IF(OR('Product Tracker'!AY285="High",'Product Tracker'!BA285="High",AND('Product Tracker'!AB285&lt;&gt;"",'Product Tracker'!AB285&lt;=2)),IF('Product Tracker'!AC285="",0,'Product Tracker'!AC285)-ROW()*0.0000001,-9999-ROW()*0.0000001)</f>
        <v/>
      </c>
    </row>
    <row r="286">
      <c r="R286">
        <f>IF('Product Tracker'!AD286="Buy",IF('Product Tracker'!AC286="",0,'Product Tracker'!AC286)-ROW()*0.0000001,-9999-ROW()*0.0000001)</f>
        <v/>
      </c>
      <c r="S286">
        <f>IF('Product Tracker'!BL286="Yes",IF('Product Tracker'!AC286="",0,'Product Tracker'!AC286)-ROW()*0.0000001,-9999-ROW()*0.0000001)</f>
        <v/>
      </c>
      <c r="T286">
        <f>IF(OR('Product Tracker'!AY286="High",'Product Tracker'!BA286="High",AND('Product Tracker'!AB286&lt;&gt;"",'Product Tracker'!AB286&lt;=2)),IF('Product Tracker'!AC286="",0,'Product Tracker'!AC286)-ROW()*0.0000001,-9999-ROW()*0.0000001)</f>
        <v/>
      </c>
    </row>
    <row r="287">
      <c r="R287">
        <f>IF('Product Tracker'!AD287="Buy",IF('Product Tracker'!AC287="",0,'Product Tracker'!AC287)-ROW()*0.0000001,-9999-ROW()*0.0000001)</f>
        <v/>
      </c>
      <c r="S287">
        <f>IF('Product Tracker'!BL287="Yes",IF('Product Tracker'!AC287="",0,'Product Tracker'!AC287)-ROW()*0.0000001,-9999-ROW()*0.0000001)</f>
        <v/>
      </c>
      <c r="T287">
        <f>IF(OR('Product Tracker'!AY287="High",'Product Tracker'!BA287="High",AND('Product Tracker'!AB287&lt;&gt;"",'Product Tracker'!AB287&lt;=2)),IF('Product Tracker'!AC287="",0,'Product Tracker'!AC287)-ROW()*0.0000001,-9999-ROW()*0.0000001)</f>
        <v/>
      </c>
    </row>
    <row r="288">
      <c r="R288">
        <f>IF('Product Tracker'!AD288="Buy",IF('Product Tracker'!AC288="",0,'Product Tracker'!AC288)-ROW()*0.0000001,-9999-ROW()*0.0000001)</f>
        <v/>
      </c>
      <c r="S288">
        <f>IF('Product Tracker'!BL288="Yes",IF('Product Tracker'!AC288="",0,'Product Tracker'!AC288)-ROW()*0.0000001,-9999-ROW()*0.0000001)</f>
        <v/>
      </c>
      <c r="T288">
        <f>IF(OR('Product Tracker'!AY288="High",'Product Tracker'!BA288="High",AND('Product Tracker'!AB288&lt;&gt;"",'Product Tracker'!AB288&lt;=2)),IF('Product Tracker'!AC288="",0,'Product Tracker'!AC288)-ROW()*0.0000001,-9999-ROW()*0.0000001)</f>
        <v/>
      </c>
    </row>
    <row r="289">
      <c r="R289">
        <f>IF('Product Tracker'!AD289="Buy",IF('Product Tracker'!AC289="",0,'Product Tracker'!AC289)-ROW()*0.0000001,-9999-ROW()*0.0000001)</f>
        <v/>
      </c>
      <c r="S289">
        <f>IF('Product Tracker'!BL289="Yes",IF('Product Tracker'!AC289="",0,'Product Tracker'!AC289)-ROW()*0.0000001,-9999-ROW()*0.0000001)</f>
        <v/>
      </c>
      <c r="T289">
        <f>IF(OR('Product Tracker'!AY289="High",'Product Tracker'!BA289="High",AND('Product Tracker'!AB289&lt;&gt;"",'Product Tracker'!AB289&lt;=2)),IF('Product Tracker'!AC289="",0,'Product Tracker'!AC289)-ROW()*0.0000001,-9999-ROW()*0.0000001)</f>
        <v/>
      </c>
    </row>
    <row r="290">
      <c r="R290">
        <f>IF('Product Tracker'!AD290="Buy",IF('Product Tracker'!AC290="",0,'Product Tracker'!AC290)-ROW()*0.0000001,-9999-ROW()*0.0000001)</f>
        <v/>
      </c>
      <c r="S290">
        <f>IF('Product Tracker'!BL290="Yes",IF('Product Tracker'!AC290="",0,'Product Tracker'!AC290)-ROW()*0.0000001,-9999-ROW()*0.0000001)</f>
        <v/>
      </c>
      <c r="T290">
        <f>IF(OR('Product Tracker'!AY290="High",'Product Tracker'!BA290="High",AND('Product Tracker'!AB290&lt;&gt;"",'Product Tracker'!AB290&lt;=2)),IF('Product Tracker'!AC290="",0,'Product Tracker'!AC290)-ROW()*0.0000001,-9999-ROW()*0.0000001)</f>
        <v/>
      </c>
    </row>
    <row r="291">
      <c r="R291">
        <f>IF('Product Tracker'!AD291="Buy",IF('Product Tracker'!AC291="",0,'Product Tracker'!AC291)-ROW()*0.0000001,-9999-ROW()*0.0000001)</f>
        <v/>
      </c>
      <c r="S291">
        <f>IF('Product Tracker'!BL291="Yes",IF('Product Tracker'!AC291="",0,'Product Tracker'!AC291)-ROW()*0.0000001,-9999-ROW()*0.0000001)</f>
        <v/>
      </c>
      <c r="T291">
        <f>IF(OR('Product Tracker'!AY291="High",'Product Tracker'!BA291="High",AND('Product Tracker'!AB291&lt;&gt;"",'Product Tracker'!AB291&lt;=2)),IF('Product Tracker'!AC291="",0,'Product Tracker'!AC291)-ROW()*0.0000001,-9999-ROW()*0.0000001)</f>
        <v/>
      </c>
    </row>
    <row r="292">
      <c r="R292">
        <f>IF('Product Tracker'!AD292="Buy",IF('Product Tracker'!AC292="",0,'Product Tracker'!AC292)-ROW()*0.0000001,-9999-ROW()*0.0000001)</f>
        <v/>
      </c>
      <c r="S292">
        <f>IF('Product Tracker'!BL292="Yes",IF('Product Tracker'!AC292="",0,'Product Tracker'!AC292)-ROW()*0.0000001,-9999-ROW()*0.0000001)</f>
        <v/>
      </c>
      <c r="T292">
        <f>IF(OR('Product Tracker'!AY292="High",'Product Tracker'!BA292="High",AND('Product Tracker'!AB292&lt;&gt;"",'Product Tracker'!AB292&lt;=2)),IF('Product Tracker'!AC292="",0,'Product Tracker'!AC292)-ROW()*0.0000001,-9999-ROW()*0.0000001)</f>
        <v/>
      </c>
    </row>
    <row r="293">
      <c r="R293">
        <f>IF('Product Tracker'!AD293="Buy",IF('Product Tracker'!AC293="",0,'Product Tracker'!AC293)-ROW()*0.0000001,-9999-ROW()*0.0000001)</f>
        <v/>
      </c>
      <c r="S293">
        <f>IF('Product Tracker'!BL293="Yes",IF('Product Tracker'!AC293="",0,'Product Tracker'!AC293)-ROW()*0.0000001,-9999-ROW()*0.0000001)</f>
        <v/>
      </c>
      <c r="T293">
        <f>IF(OR('Product Tracker'!AY293="High",'Product Tracker'!BA293="High",AND('Product Tracker'!AB293&lt;&gt;"",'Product Tracker'!AB293&lt;=2)),IF('Product Tracker'!AC293="",0,'Product Tracker'!AC293)-ROW()*0.0000001,-9999-ROW()*0.0000001)</f>
        <v/>
      </c>
    </row>
    <row r="294">
      <c r="R294">
        <f>IF('Product Tracker'!AD294="Buy",IF('Product Tracker'!AC294="",0,'Product Tracker'!AC294)-ROW()*0.0000001,-9999-ROW()*0.0000001)</f>
        <v/>
      </c>
      <c r="S294">
        <f>IF('Product Tracker'!BL294="Yes",IF('Product Tracker'!AC294="",0,'Product Tracker'!AC294)-ROW()*0.0000001,-9999-ROW()*0.0000001)</f>
        <v/>
      </c>
      <c r="T294">
        <f>IF(OR('Product Tracker'!AY294="High",'Product Tracker'!BA294="High",AND('Product Tracker'!AB294&lt;&gt;"",'Product Tracker'!AB294&lt;=2)),IF('Product Tracker'!AC294="",0,'Product Tracker'!AC294)-ROW()*0.0000001,-9999-ROW()*0.0000001)</f>
        <v/>
      </c>
    </row>
    <row r="295">
      <c r="R295">
        <f>IF('Product Tracker'!AD295="Buy",IF('Product Tracker'!AC295="",0,'Product Tracker'!AC295)-ROW()*0.0000001,-9999-ROW()*0.0000001)</f>
        <v/>
      </c>
      <c r="S295">
        <f>IF('Product Tracker'!BL295="Yes",IF('Product Tracker'!AC295="",0,'Product Tracker'!AC295)-ROW()*0.0000001,-9999-ROW()*0.0000001)</f>
        <v/>
      </c>
      <c r="T295">
        <f>IF(OR('Product Tracker'!AY295="High",'Product Tracker'!BA295="High",AND('Product Tracker'!AB295&lt;&gt;"",'Product Tracker'!AB295&lt;=2)),IF('Product Tracker'!AC295="",0,'Product Tracker'!AC295)-ROW()*0.0000001,-9999-ROW()*0.0000001)</f>
        <v/>
      </c>
    </row>
    <row r="296">
      <c r="R296">
        <f>IF('Product Tracker'!AD296="Buy",IF('Product Tracker'!AC296="",0,'Product Tracker'!AC296)-ROW()*0.0000001,-9999-ROW()*0.0000001)</f>
        <v/>
      </c>
      <c r="S296">
        <f>IF('Product Tracker'!BL296="Yes",IF('Product Tracker'!AC296="",0,'Product Tracker'!AC296)-ROW()*0.0000001,-9999-ROW()*0.0000001)</f>
        <v/>
      </c>
      <c r="T296">
        <f>IF(OR('Product Tracker'!AY296="High",'Product Tracker'!BA296="High",AND('Product Tracker'!AB296&lt;&gt;"",'Product Tracker'!AB296&lt;=2)),IF('Product Tracker'!AC296="",0,'Product Tracker'!AC296)-ROW()*0.0000001,-9999-ROW()*0.0000001)</f>
        <v/>
      </c>
    </row>
    <row r="297">
      <c r="R297">
        <f>IF('Product Tracker'!AD297="Buy",IF('Product Tracker'!AC297="",0,'Product Tracker'!AC297)-ROW()*0.0000001,-9999-ROW()*0.0000001)</f>
        <v/>
      </c>
      <c r="S297">
        <f>IF('Product Tracker'!BL297="Yes",IF('Product Tracker'!AC297="",0,'Product Tracker'!AC297)-ROW()*0.0000001,-9999-ROW()*0.0000001)</f>
        <v/>
      </c>
      <c r="T297">
        <f>IF(OR('Product Tracker'!AY297="High",'Product Tracker'!BA297="High",AND('Product Tracker'!AB297&lt;&gt;"",'Product Tracker'!AB297&lt;=2)),IF('Product Tracker'!AC297="",0,'Product Tracker'!AC297)-ROW()*0.0000001,-9999-ROW()*0.0000001)</f>
        <v/>
      </c>
    </row>
    <row r="298">
      <c r="R298">
        <f>IF('Product Tracker'!AD298="Buy",IF('Product Tracker'!AC298="",0,'Product Tracker'!AC298)-ROW()*0.0000001,-9999-ROW()*0.0000001)</f>
        <v/>
      </c>
      <c r="S298">
        <f>IF('Product Tracker'!BL298="Yes",IF('Product Tracker'!AC298="",0,'Product Tracker'!AC298)-ROW()*0.0000001,-9999-ROW()*0.0000001)</f>
        <v/>
      </c>
      <c r="T298">
        <f>IF(OR('Product Tracker'!AY298="High",'Product Tracker'!BA298="High",AND('Product Tracker'!AB298&lt;&gt;"",'Product Tracker'!AB298&lt;=2)),IF('Product Tracker'!AC298="",0,'Product Tracker'!AC298)-ROW()*0.0000001,-9999-ROW()*0.0000001)</f>
        <v/>
      </c>
    </row>
    <row r="299">
      <c r="R299">
        <f>IF('Product Tracker'!AD299="Buy",IF('Product Tracker'!AC299="",0,'Product Tracker'!AC299)-ROW()*0.0000001,-9999-ROW()*0.0000001)</f>
        <v/>
      </c>
      <c r="S299">
        <f>IF('Product Tracker'!BL299="Yes",IF('Product Tracker'!AC299="",0,'Product Tracker'!AC299)-ROW()*0.0000001,-9999-ROW()*0.0000001)</f>
        <v/>
      </c>
      <c r="T299">
        <f>IF(OR('Product Tracker'!AY299="High",'Product Tracker'!BA299="High",AND('Product Tracker'!AB299&lt;&gt;"",'Product Tracker'!AB299&lt;=2)),IF('Product Tracker'!AC299="",0,'Product Tracker'!AC299)-ROW()*0.0000001,-9999-ROW()*0.0000001)</f>
        <v/>
      </c>
    </row>
    <row r="300">
      <c r="R300">
        <f>IF('Product Tracker'!AD300="Buy",IF('Product Tracker'!AC300="",0,'Product Tracker'!AC300)-ROW()*0.0000001,-9999-ROW()*0.0000001)</f>
        <v/>
      </c>
      <c r="S300">
        <f>IF('Product Tracker'!BL300="Yes",IF('Product Tracker'!AC300="",0,'Product Tracker'!AC300)-ROW()*0.0000001,-9999-ROW()*0.0000001)</f>
        <v/>
      </c>
      <c r="T300">
        <f>IF(OR('Product Tracker'!AY300="High",'Product Tracker'!BA300="High",AND('Product Tracker'!AB300&lt;&gt;"",'Product Tracker'!AB300&lt;=2)),IF('Product Tracker'!AC300="",0,'Product Tracker'!AC300)-ROW()*0.0000001,-9999-ROW()*0.0000001)</f>
        <v/>
      </c>
    </row>
    <row r="301">
      <c r="R301">
        <f>IF('Product Tracker'!AD301="Buy",IF('Product Tracker'!AC301="",0,'Product Tracker'!AC301)-ROW()*0.0000001,-9999-ROW()*0.0000001)</f>
        <v/>
      </c>
      <c r="S301">
        <f>IF('Product Tracker'!BL301="Yes",IF('Product Tracker'!AC301="",0,'Product Tracker'!AC301)-ROW()*0.0000001,-9999-ROW()*0.0000001)</f>
        <v/>
      </c>
      <c r="T301">
        <f>IF(OR('Product Tracker'!AY301="High",'Product Tracker'!BA301="High",AND('Product Tracker'!AB301&lt;&gt;"",'Product Tracker'!AB301&lt;=2)),IF('Product Tracker'!AC301="",0,'Product Tracker'!AC301)-ROW()*0.0000001,-9999-ROW()*0.0000001)</f>
        <v/>
      </c>
    </row>
    <row r="302">
      <c r="R302">
        <f>IF('Product Tracker'!AD302="Buy",IF('Product Tracker'!AC302="",0,'Product Tracker'!AC302)-ROW()*0.0000001,-9999-ROW()*0.0000001)</f>
        <v/>
      </c>
      <c r="S302">
        <f>IF('Product Tracker'!BL302="Yes",IF('Product Tracker'!AC302="",0,'Product Tracker'!AC302)-ROW()*0.0000001,-9999-ROW()*0.0000001)</f>
        <v/>
      </c>
      <c r="T302">
        <f>IF(OR('Product Tracker'!AY302="High",'Product Tracker'!BA302="High",AND('Product Tracker'!AB302&lt;&gt;"",'Product Tracker'!AB302&lt;=2)),IF('Product Tracker'!AC302="",0,'Product Tracker'!AC302)-ROW()*0.0000001,-9999-ROW()*0.0000001)</f>
        <v/>
      </c>
    </row>
    <row r="303">
      <c r="R303">
        <f>IF('Product Tracker'!AD303="Buy",IF('Product Tracker'!AC303="",0,'Product Tracker'!AC303)-ROW()*0.0000001,-9999-ROW()*0.0000001)</f>
        <v/>
      </c>
      <c r="S303">
        <f>IF('Product Tracker'!BL303="Yes",IF('Product Tracker'!AC303="",0,'Product Tracker'!AC303)-ROW()*0.0000001,-9999-ROW()*0.0000001)</f>
        <v/>
      </c>
      <c r="T303">
        <f>IF(OR('Product Tracker'!AY303="High",'Product Tracker'!BA303="High",AND('Product Tracker'!AB303&lt;&gt;"",'Product Tracker'!AB303&lt;=2)),IF('Product Tracker'!AC303="",0,'Product Tracker'!AC303)-ROW()*0.0000001,-9999-ROW()*0.0000001)</f>
        <v/>
      </c>
    </row>
    <row r="304">
      <c r="R304">
        <f>IF('Product Tracker'!AD304="Buy",IF('Product Tracker'!AC304="",0,'Product Tracker'!AC304)-ROW()*0.0000001,-9999-ROW()*0.0000001)</f>
        <v/>
      </c>
      <c r="S304">
        <f>IF('Product Tracker'!BL304="Yes",IF('Product Tracker'!AC304="",0,'Product Tracker'!AC304)-ROW()*0.0000001,-9999-ROW()*0.0000001)</f>
        <v/>
      </c>
      <c r="T304">
        <f>IF(OR('Product Tracker'!AY304="High",'Product Tracker'!BA304="High",AND('Product Tracker'!AB304&lt;&gt;"",'Product Tracker'!AB304&lt;=2)),IF('Product Tracker'!AC304="",0,'Product Tracker'!AC304)-ROW()*0.0000001,-9999-ROW()*0.0000001)</f>
        <v/>
      </c>
    </row>
    <row r="305">
      <c r="R305">
        <f>IF('Product Tracker'!AD305="Buy",IF('Product Tracker'!AC305="",0,'Product Tracker'!AC305)-ROW()*0.0000001,-9999-ROW()*0.0000001)</f>
        <v/>
      </c>
      <c r="S305">
        <f>IF('Product Tracker'!BL305="Yes",IF('Product Tracker'!AC305="",0,'Product Tracker'!AC305)-ROW()*0.0000001,-9999-ROW()*0.0000001)</f>
        <v/>
      </c>
      <c r="T305">
        <f>IF(OR('Product Tracker'!AY305="High",'Product Tracker'!BA305="High",AND('Product Tracker'!AB305&lt;&gt;"",'Product Tracker'!AB305&lt;=2)),IF('Product Tracker'!AC305="",0,'Product Tracker'!AC305)-ROW()*0.0000001,-9999-ROW()*0.0000001)</f>
        <v/>
      </c>
    </row>
    <row r="306">
      <c r="R306">
        <f>IF('Product Tracker'!AD306="Buy",IF('Product Tracker'!AC306="",0,'Product Tracker'!AC306)-ROW()*0.0000001,-9999-ROW()*0.0000001)</f>
        <v/>
      </c>
      <c r="S306">
        <f>IF('Product Tracker'!BL306="Yes",IF('Product Tracker'!AC306="",0,'Product Tracker'!AC306)-ROW()*0.0000001,-9999-ROW()*0.0000001)</f>
        <v/>
      </c>
      <c r="T306">
        <f>IF(OR('Product Tracker'!AY306="High",'Product Tracker'!BA306="High",AND('Product Tracker'!AB306&lt;&gt;"",'Product Tracker'!AB306&lt;=2)),IF('Product Tracker'!AC306="",0,'Product Tracker'!AC306)-ROW()*0.0000001,-9999-ROW()*0.0000001)</f>
        <v/>
      </c>
    </row>
    <row r="307">
      <c r="R307">
        <f>IF('Product Tracker'!AD307="Buy",IF('Product Tracker'!AC307="",0,'Product Tracker'!AC307)-ROW()*0.0000001,-9999-ROW()*0.0000001)</f>
        <v/>
      </c>
      <c r="S307">
        <f>IF('Product Tracker'!BL307="Yes",IF('Product Tracker'!AC307="",0,'Product Tracker'!AC307)-ROW()*0.0000001,-9999-ROW()*0.0000001)</f>
        <v/>
      </c>
      <c r="T307">
        <f>IF(OR('Product Tracker'!AY307="High",'Product Tracker'!BA307="High",AND('Product Tracker'!AB307&lt;&gt;"",'Product Tracker'!AB307&lt;=2)),IF('Product Tracker'!AC307="",0,'Product Tracker'!AC307)-ROW()*0.0000001,-9999-ROW()*0.0000001)</f>
        <v/>
      </c>
    </row>
    <row r="308">
      <c r="R308">
        <f>IF('Product Tracker'!AD308="Buy",IF('Product Tracker'!AC308="",0,'Product Tracker'!AC308)-ROW()*0.0000001,-9999-ROW()*0.0000001)</f>
        <v/>
      </c>
      <c r="S308">
        <f>IF('Product Tracker'!BL308="Yes",IF('Product Tracker'!AC308="",0,'Product Tracker'!AC308)-ROW()*0.0000001,-9999-ROW()*0.0000001)</f>
        <v/>
      </c>
      <c r="T308">
        <f>IF(OR('Product Tracker'!AY308="High",'Product Tracker'!BA308="High",AND('Product Tracker'!AB308&lt;&gt;"",'Product Tracker'!AB308&lt;=2)),IF('Product Tracker'!AC308="",0,'Product Tracker'!AC308)-ROW()*0.0000001,-9999-ROW()*0.0000001)</f>
        <v/>
      </c>
    </row>
    <row r="309">
      <c r="R309">
        <f>IF('Product Tracker'!AD309="Buy",IF('Product Tracker'!AC309="",0,'Product Tracker'!AC309)-ROW()*0.0000001,-9999-ROW()*0.0000001)</f>
        <v/>
      </c>
      <c r="S309">
        <f>IF('Product Tracker'!BL309="Yes",IF('Product Tracker'!AC309="",0,'Product Tracker'!AC309)-ROW()*0.0000001,-9999-ROW()*0.0000001)</f>
        <v/>
      </c>
      <c r="T309">
        <f>IF(OR('Product Tracker'!AY309="High",'Product Tracker'!BA309="High",AND('Product Tracker'!AB309&lt;&gt;"",'Product Tracker'!AB309&lt;=2)),IF('Product Tracker'!AC309="",0,'Product Tracker'!AC309)-ROW()*0.0000001,-9999-ROW()*0.0000001)</f>
        <v/>
      </c>
    </row>
    <row r="310">
      <c r="R310">
        <f>IF('Product Tracker'!AD310="Buy",IF('Product Tracker'!AC310="",0,'Product Tracker'!AC310)-ROW()*0.0000001,-9999-ROW()*0.0000001)</f>
        <v/>
      </c>
      <c r="S310">
        <f>IF('Product Tracker'!BL310="Yes",IF('Product Tracker'!AC310="",0,'Product Tracker'!AC310)-ROW()*0.0000001,-9999-ROW()*0.0000001)</f>
        <v/>
      </c>
      <c r="T310">
        <f>IF(OR('Product Tracker'!AY310="High",'Product Tracker'!BA310="High",AND('Product Tracker'!AB310&lt;&gt;"",'Product Tracker'!AB310&lt;=2)),IF('Product Tracker'!AC310="",0,'Product Tracker'!AC310)-ROW()*0.0000001,-9999-ROW()*0.0000001)</f>
        <v/>
      </c>
    </row>
    <row r="311">
      <c r="R311">
        <f>IF('Product Tracker'!AD311="Buy",IF('Product Tracker'!AC311="",0,'Product Tracker'!AC311)-ROW()*0.0000001,-9999-ROW()*0.0000001)</f>
        <v/>
      </c>
      <c r="S311">
        <f>IF('Product Tracker'!BL311="Yes",IF('Product Tracker'!AC311="",0,'Product Tracker'!AC311)-ROW()*0.0000001,-9999-ROW()*0.0000001)</f>
        <v/>
      </c>
      <c r="T311">
        <f>IF(OR('Product Tracker'!AY311="High",'Product Tracker'!BA311="High",AND('Product Tracker'!AB311&lt;&gt;"",'Product Tracker'!AB311&lt;=2)),IF('Product Tracker'!AC311="",0,'Product Tracker'!AC311)-ROW()*0.0000001,-9999-ROW()*0.0000001)</f>
        <v/>
      </c>
    </row>
    <row r="312">
      <c r="R312">
        <f>IF('Product Tracker'!AD312="Buy",IF('Product Tracker'!AC312="",0,'Product Tracker'!AC312)-ROW()*0.0000001,-9999-ROW()*0.0000001)</f>
        <v/>
      </c>
      <c r="S312">
        <f>IF('Product Tracker'!BL312="Yes",IF('Product Tracker'!AC312="",0,'Product Tracker'!AC312)-ROW()*0.0000001,-9999-ROW()*0.0000001)</f>
        <v/>
      </c>
      <c r="T312">
        <f>IF(OR('Product Tracker'!AY312="High",'Product Tracker'!BA312="High",AND('Product Tracker'!AB312&lt;&gt;"",'Product Tracker'!AB312&lt;=2)),IF('Product Tracker'!AC312="",0,'Product Tracker'!AC312)-ROW()*0.0000001,-9999-ROW()*0.0000001)</f>
        <v/>
      </c>
    </row>
    <row r="313">
      <c r="R313">
        <f>IF('Product Tracker'!AD313="Buy",IF('Product Tracker'!AC313="",0,'Product Tracker'!AC313)-ROW()*0.0000001,-9999-ROW()*0.0000001)</f>
        <v/>
      </c>
      <c r="S313">
        <f>IF('Product Tracker'!BL313="Yes",IF('Product Tracker'!AC313="",0,'Product Tracker'!AC313)-ROW()*0.0000001,-9999-ROW()*0.0000001)</f>
        <v/>
      </c>
      <c r="T313">
        <f>IF(OR('Product Tracker'!AY313="High",'Product Tracker'!BA313="High",AND('Product Tracker'!AB313&lt;&gt;"",'Product Tracker'!AB313&lt;=2)),IF('Product Tracker'!AC313="",0,'Product Tracker'!AC313)-ROW()*0.0000001,-9999-ROW()*0.0000001)</f>
        <v/>
      </c>
    </row>
    <row r="314">
      <c r="R314">
        <f>IF('Product Tracker'!AD314="Buy",IF('Product Tracker'!AC314="",0,'Product Tracker'!AC314)-ROW()*0.0000001,-9999-ROW()*0.0000001)</f>
        <v/>
      </c>
      <c r="S314">
        <f>IF('Product Tracker'!BL314="Yes",IF('Product Tracker'!AC314="",0,'Product Tracker'!AC314)-ROW()*0.0000001,-9999-ROW()*0.0000001)</f>
        <v/>
      </c>
      <c r="T314">
        <f>IF(OR('Product Tracker'!AY314="High",'Product Tracker'!BA314="High",AND('Product Tracker'!AB314&lt;&gt;"",'Product Tracker'!AB314&lt;=2)),IF('Product Tracker'!AC314="",0,'Product Tracker'!AC314)-ROW()*0.0000001,-9999-ROW()*0.0000001)</f>
        <v/>
      </c>
    </row>
    <row r="315">
      <c r="R315">
        <f>IF('Product Tracker'!AD315="Buy",IF('Product Tracker'!AC315="",0,'Product Tracker'!AC315)-ROW()*0.0000001,-9999-ROW()*0.0000001)</f>
        <v/>
      </c>
      <c r="S315">
        <f>IF('Product Tracker'!BL315="Yes",IF('Product Tracker'!AC315="",0,'Product Tracker'!AC315)-ROW()*0.0000001,-9999-ROW()*0.0000001)</f>
        <v/>
      </c>
      <c r="T315">
        <f>IF(OR('Product Tracker'!AY315="High",'Product Tracker'!BA315="High",AND('Product Tracker'!AB315&lt;&gt;"",'Product Tracker'!AB315&lt;=2)),IF('Product Tracker'!AC315="",0,'Product Tracker'!AC315)-ROW()*0.0000001,-9999-ROW()*0.0000001)</f>
        <v/>
      </c>
    </row>
    <row r="316">
      <c r="R316">
        <f>IF('Product Tracker'!AD316="Buy",IF('Product Tracker'!AC316="",0,'Product Tracker'!AC316)-ROW()*0.0000001,-9999-ROW()*0.0000001)</f>
        <v/>
      </c>
      <c r="S316">
        <f>IF('Product Tracker'!BL316="Yes",IF('Product Tracker'!AC316="",0,'Product Tracker'!AC316)-ROW()*0.0000001,-9999-ROW()*0.0000001)</f>
        <v/>
      </c>
      <c r="T316">
        <f>IF(OR('Product Tracker'!AY316="High",'Product Tracker'!BA316="High",AND('Product Tracker'!AB316&lt;&gt;"",'Product Tracker'!AB316&lt;=2)),IF('Product Tracker'!AC316="",0,'Product Tracker'!AC316)-ROW()*0.0000001,-9999-ROW()*0.0000001)</f>
        <v/>
      </c>
    </row>
    <row r="317">
      <c r="R317">
        <f>IF('Product Tracker'!AD317="Buy",IF('Product Tracker'!AC317="",0,'Product Tracker'!AC317)-ROW()*0.0000001,-9999-ROW()*0.0000001)</f>
        <v/>
      </c>
      <c r="S317">
        <f>IF('Product Tracker'!BL317="Yes",IF('Product Tracker'!AC317="",0,'Product Tracker'!AC317)-ROW()*0.0000001,-9999-ROW()*0.0000001)</f>
        <v/>
      </c>
      <c r="T317">
        <f>IF(OR('Product Tracker'!AY317="High",'Product Tracker'!BA317="High",AND('Product Tracker'!AB317&lt;&gt;"",'Product Tracker'!AB317&lt;=2)),IF('Product Tracker'!AC317="",0,'Product Tracker'!AC317)-ROW()*0.0000001,-9999-ROW()*0.0000001)</f>
        <v/>
      </c>
    </row>
    <row r="318">
      <c r="R318">
        <f>IF('Product Tracker'!AD318="Buy",IF('Product Tracker'!AC318="",0,'Product Tracker'!AC318)-ROW()*0.0000001,-9999-ROW()*0.0000001)</f>
        <v/>
      </c>
      <c r="S318">
        <f>IF('Product Tracker'!BL318="Yes",IF('Product Tracker'!AC318="",0,'Product Tracker'!AC318)-ROW()*0.0000001,-9999-ROW()*0.0000001)</f>
        <v/>
      </c>
      <c r="T318">
        <f>IF(OR('Product Tracker'!AY318="High",'Product Tracker'!BA318="High",AND('Product Tracker'!AB318&lt;&gt;"",'Product Tracker'!AB318&lt;=2)),IF('Product Tracker'!AC318="",0,'Product Tracker'!AC318)-ROW()*0.0000001,-9999-ROW()*0.0000001)</f>
        <v/>
      </c>
    </row>
    <row r="319">
      <c r="R319">
        <f>IF('Product Tracker'!AD319="Buy",IF('Product Tracker'!AC319="",0,'Product Tracker'!AC319)-ROW()*0.0000001,-9999-ROW()*0.0000001)</f>
        <v/>
      </c>
      <c r="S319">
        <f>IF('Product Tracker'!BL319="Yes",IF('Product Tracker'!AC319="",0,'Product Tracker'!AC319)-ROW()*0.0000001,-9999-ROW()*0.0000001)</f>
        <v/>
      </c>
      <c r="T319">
        <f>IF(OR('Product Tracker'!AY319="High",'Product Tracker'!BA319="High",AND('Product Tracker'!AB319&lt;&gt;"",'Product Tracker'!AB319&lt;=2)),IF('Product Tracker'!AC319="",0,'Product Tracker'!AC319)-ROW()*0.0000001,-9999-ROW()*0.0000001)</f>
        <v/>
      </c>
    </row>
    <row r="320">
      <c r="R320">
        <f>IF('Product Tracker'!AD320="Buy",IF('Product Tracker'!AC320="",0,'Product Tracker'!AC320)-ROW()*0.0000001,-9999-ROW()*0.0000001)</f>
        <v/>
      </c>
      <c r="S320">
        <f>IF('Product Tracker'!BL320="Yes",IF('Product Tracker'!AC320="",0,'Product Tracker'!AC320)-ROW()*0.0000001,-9999-ROW()*0.0000001)</f>
        <v/>
      </c>
      <c r="T320">
        <f>IF(OR('Product Tracker'!AY320="High",'Product Tracker'!BA320="High",AND('Product Tracker'!AB320&lt;&gt;"",'Product Tracker'!AB320&lt;=2)),IF('Product Tracker'!AC320="",0,'Product Tracker'!AC320)-ROW()*0.0000001,-9999-ROW()*0.0000001)</f>
        <v/>
      </c>
    </row>
    <row r="321">
      <c r="R321">
        <f>IF('Product Tracker'!AD321="Buy",IF('Product Tracker'!AC321="",0,'Product Tracker'!AC321)-ROW()*0.0000001,-9999-ROW()*0.0000001)</f>
        <v/>
      </c>
      <c r="S321">
        <f>IF('Product Tracker'!BL321="Yes",IF('Product Tracker'!AC321="",0,'Product Tracker'!AC321)-ROW()*0.0000001,-9999-ROW()*0.0000001)</f>
        <v/>
      </c>
      <c r="T321">
        <f>IF(OR('Product Tracker'!AY321="High",'Product Tracker'!BA321="High",AND('Product Tracker'!AB321&lt;&gt;"",'Product Tracker'!AB321&lt;=2)),IF('Product Tracker'!AC321="",0,'Product Tracker'!AC321)-ROW()*0.0000001,-9999-ROW()*0.0000001)</f>
        <v/>
      </c>
    </row>
    <row r="322">
      <c r="R322">
        <f>IF('Product Tracker'!AD322="Buy",IF('Product Tracker'!AC322="",0,'Product Tracker'!AC322)-ROW()*0.0000001,-9999-ROW()*0.0000001)</f>
        <v/>
      </c>
      <c r="S322">
        <f>IF('Product Tracker'!BL322="Yes",IF('Product Tracker'!AC322="",0,'Product Tracker'!AC322)-ROW()*0.0000001,-9999-ROW()*0.0000001)</f>
        <v/>
      </c>
      <c r="T322">
        <f>IF(OR('Product Tracker'!AY322="High",'Product Tracker'!BA322="High",AND('Product Tracker'!AB322&lt;&gt;"",'Product Tracker'!AB322&lt;=2)),IF('Product Tracker'!AC322="",0,'Product Tracker'!AC322)-ROW()*0.0000001,-9999-ROW()*0.0000001)</f>
        <v/>
      </c>
    </row>
    <row r="323">
      <c r="R323">
        <f>IF('Product Tracker'!AD323="Buy",IF('Product Tracker'!AC323="",0,'Product Tracker'!AC323)-ROW()*0.0000001,-9999-ROW()*0.0000001)</f>
        <v/>
      </c>
      <c r="S323">
        <f>IF('Product Tracker'!BL323="Yes",IF('Product Tracker'!AC323="",0,'Product Tracker'!AC323)-ROW()*0.0000001,-9999-ROW()*0.0000001)</f>
        <v/>
      </c>
      <c r="T323">
        <f>IF(OR('Product Tracker'!AY323="High",'Product Tracker'!BA323="High",AND('Product Tracker'!AB323&lt;&gt;"",'Product Tracker'!AB323&lt;=2)),IF('Product Tracker'!AC323="",0,'Product Tracker'!AC323)-ROW()*0.0000001,-9999-ROW()*0.0000001)</f>
        <v/>
      </c>
    </row>
    <row r="324">
      <c r="R324">
        <f>IF('Product Tracker'!AD324="Buy",IF('Product Tracker'!AC324="",0,'Product Tracker'!AC324)-ROW()*0.0000001,-9999-ROW()*0.0000001)</f>
        <v/>
      </c>
      <c r="S324">
        <f>IF('Product Tracker'!BL324="Yes",IF('Product Tracker'!AC324="",0,'Product Tracker'!AC324)-ROW()*0.0000001,-9999-ROW()*0.0000001)</f>
        <v/>
      </c>
      <c r="T324">
        <f>IF(OR('Product Tracker'!AY324="High",'Product Tracker'!BA324="High",AND('Product Tracker'!AB324&lt;&gt;"",'Product Tracker'!AB324&lt;=2)),IF('Product Tracker'!AC324="",0,'Product Tracker'!AC324)-ROW()*0.0000001,-9999-ROW()*0.0000001)</f>
        <v/>
      </c>
    </row>
    <row r="325">
      <c r="R325">
        <f>IF('Product Tracker'!AD325="Buy",IF('Product Tracker'!AC325="",0,'Product Tracker'!AC325)-ROW()*0.0000001,-9999-ROW()*0.0000001)</f>
        <v/>
      </c>
      <c r="S325">
        <f>IF('Product Tracker'!BL325="Yes",IF('Product Tracker'!AC325="",0,'Product Tracker'!AC325)-ROW()*0.0000001,-9999-ROW()*0.0000001)</f>
        <v/>
      </c>
      <c r="T325">
        <f>IF(OR('Product Tracker'!AY325="High",'Product Tracker'!BA325="High",AND('Product Tracker'!AB325&lt;&gt;"",'Product Tracker'!AB325&lt;=2)),IF('Product Tracker'!AC325="",0,'Product Tracker'!AC325)-ROW()*0.0000001,-9999-ROW()*0.0000001)</f>
        <v/>
      </c>
    </row>
    <row r="326">
      <c r="R326">
        <f>IF('Product Tracker'!AD326="Buy",IF('Product Tracker'!AC326="",0,'Product Tracker'!AC326)-ROW()*0.0000001,-9999-ROW()*0.0000001)</f>
        <v/>
      </c>
      <c r="S326">
        <f>IF('Product Tracker'!BL326="Yes",IF('Product Tracker'!AC326="",0,'Product Tracker'!AC326)-ROW()*0.0000001,-9999-ROW()*0.0000001)</f>
        <v/>
      </c>
      <c r="T326">
        <f>IF(OR('Product Tracker'!AY326="High",'Product Tracker'!BA326="High",AND('Product Tracker'!AB326&lt;&gt;"",'Product Tracker'!AB326&lt;=2)),IF('Product Tracker'!AC326="",0,'Product Tracker'!AC326)-ROW()*0.0000001,-9999-ROW()*0.0000001)</f>
        <v/>
      </c>
    </row>
    <row r="327">
      <c r="R327">
        <f>IF('Product Tracker'!AD327="Buy",IF('Product Tracker'!AC327="",0,'Product Tracker'!AC327)-ROW()*0.0000001,-9999-ROW()*0.0000001)</f>
        <v/>
      </c>
      <c r="S327">
        <f>IF('Product Tracker'!BL327="Yes",IF('Product Tracker'!AC327="",0,'Product Tracker'!AC327)-ROW()*0.0000001,-9999-ROW()*0.0000001)</f>
        <v/>
      </c>
      <c r="T327">
        <f>IF(OR('Product Tracker'!AY327="High",'Product Tracker'!BA327="High",AND('Product Tracker'!AB327&lt;&gt;"",'Product Tracker'!AB327&lt;=2)),IF('Product Tracker'!AC327="",0,'Product Tracker'!AC327)-ROW()*0.0000001,-9999-ROW()*0.0000001)</f>
        <v/>
      </c>
    </row>
    <row r="328">
      <c r="R328">
        <f>IF('Product Tracker'!AD328="Buy",IF('Product Tracker'!AC328="",0,'Product Tracker'!AC328)-ROW()*0.0000001,-9999-ROW()*0.0000001)</f>
        <v/>
      </c>
      <c r="S328">
        <f>IF('Product Tracker'!BL328="Yes",IF('Product Tracker'!AC328="",0,'Product Tracker'!AC328)-ROW()*0.0000001,-9999-ROW()*0.0000001)</f>
        <v/>
      </c>
      <c r="T328">
        <f>IF(OR('Product Tracker'!AY328="High",'Product Tracker'!BA328="High",AND('Product Tracker'!AB328&lt;&gt;"",'Product Tracker'!AB328&lt;=2)),IF('Product Tracker'!AC328="",0,'Product Tracker'!AC328)-ROW()*0.0000001,-9999-ROW()*0.0000001)</f>
        <v/>
      </c>
    </row>
    <row r="329">
      <c r="R329">
        <f>IF('Product Tracker'!AD329="Buy",IF('Product Tracker'!AC329="",0,'Product Tracker'!AC329)-ROW()*0.0000001,-9999-ROW()*0.0000001)</f>
        <v/>
      </c>
      <c r="S329">
        <f>IF('Product Tracker'!BL329="Yes",IF('Product Tracker'!AC329="",0,'Product Tracker'!AC329)-ROW()*0.0000001,-9999-ROW()*0.0000001)</f>
        <v/>
      </c>
      <c r="T329">
        <f>IF(OR('Product Tracker'!AY329="High",'Product Tracker'!BA329="High",AND('Product Tracker'!AB329&lt;&gt;"",'Product Tracker'!AB329&lt;=2)),IF('Product Tracker'!AC329="",0,'Product Tracker'!AC329)-ROW()*0.0000001,-9999-ROW()*0.0000001)</f>
        <v/>
      </c>
    </row>
    <row r="330">
      <c r="R330">
        <f>IF('Product Tracker'!AD330="Buy",IF('Product Tracker'!AC330="",0,'Product Tracker'!AC330)-ROW()*0.0000001,-9999-ROW()*0.0000001)</f>
        <v/>
      </c>
      <c r="S330">
        <f>IF('Product Tracker'!BL330="Yes",IF('Product Tracker'!AC330="",0,'Product Tracker'!AC330)-ROW()*0.0000001,-9999-ROW()*0.0000001)</f>
        <v/>
      </c>
      <c r="T330">
        <f>IF(OR('Product Tracker'!AY330="High",'Product Tracker'!BA330="High",AND('Product Tracker'!AB330&lt;&gt;"",'Product Tracker'!AB330&lt;=2)),IF('Product Tracker'!AC330="",0,'Product Tracker'!AC330)-ROW()*0.0000001,-9999-ROW()*0.0000001)</f>
        <v/>
      </c>
    </row>
    <row r="331">
      <c r="R331">
        <f>IF('Product Tracker'!AD331="Buy",IF('Product Tracker'!AC331="",0,'Product Tracker'!AC331)-ROW()*0.0000001,-9999-ROW()*0.0000001)</f>
        <v/>
      </c>
      <c r="S331">
        <f>IF('Product Tracker'!BL331="Yes",IF('Product Tracker'!AC331="",0,'Product Tracker'!AC331)-ROW()*0.0000001,-9999-ROW()*0.0000001)</f>
        <v/>
      </c>
      <c r="T331">
        <f>IF(OR('Product Tracker'!AY331="High",'Product Tracker'!BA331="High",AND('Product Tracker'!AB331&lt;&gt;"",'Product Tracker'!AB331&lt;=2)),IF('Product Tracker'!AC331="",0,'Product Tracker'!AC331)-ROW()*0.0000001,-9999-ROW()*0.0000001)</f>
        <v/>
      </c>
    </row>
    <row r="332">
      <c r="R332">
        <f>IF('Product Tracker'!AD332="Buy",IF('Product Tracker'!AC332="",0,'Product Tracker'!AC332)-ROW()*0.0000001,-9999-ROW()*0.0000001)</f>
        <v/>
      </c>
      <c r="S332">
        <f>IF('Product Tracker'!BL332="Yes",IF('Product Tracker'!AC332="",0,'Product Tracker'!AC332)-ROW()*0.0000001,-9999-ROW()*0.0000001)</f>
        <v/>
      </c>
      <c r="T332">
        <f>IF(OR('Product Tracker'!AY332="High",'Product Tracker'!BA332="High",AND('Product Tracker'!AB332&lt;&gt;"",'Product Tracker'!AB332&lt;=2)),IF('Product Tracker'!AC332="",0,'Product Tracker'!AC332)-ROW()*0.0000001,-9999-ROW()*0.0000001)</f>
        <v/>
      </c>
    </row>
    <row r="333">
      <c r="R333">
        <f>IF('Product Tracker'!AD333="Buy",IF('Product Tracker'!AC333="",0,'Product Tracker'!AC333)-ROW()*0.0000001,-9999-ROW()*0.0000001)</f>
        <v/>
      </c>
      <c r="S333">
        <f>IF('Product Tracker'!BL333="Yes",IF('Product Tracker'!AC333="",0,'Product Tracker'!AC333)-ROW()*0.0000001,-9999-ROW()*0.0000001)</f>
        <v/>
      </c>
      <c r="T333">
        <f>IF(OR('Product Tracker'!AY333="High",'Product Tracker'!BA333="High",AND('Product Tracker'!AB333&lt;&gt;"",'Product Tracker'!AB333&lt;=2)),IF('Product Tracker'!AC333="",0,'Product Tracker'!AC333)-ROW()*0.0000001,-9999-ROW()*0.0000001)</f>
        <v/>
      </c>
    </row>
    <row r="334">
      <c r="R334">
        <f>IF('Product Tracker'!AD334="Buy",IF('Product Tracker'!AC334="",0,'Product Tracker'!AC334)-ROW()*0.0000001,-9999-ROW()*0.0000001)</f>
        <v/>
      </c>
      <c r="S334">
        <f>IF('Product Tracker'!BL334="Yes",IF('Product Tracker'!AC334="",0,'Product Tracker'!AC334)-ROW()*0.0000001,-9999-ROW()*0.0000001)</f>
        <v/>
      </c>
      <c r="T334">
        <f>IF(OR('Product Tracker'!AY334="High",'Product Tracker'!BA334="High",AND('Product Tracker'!AB334&lt;&gt;"",'Product Tracker'!AB334&lt;=2)),IF('Product Tracker'!AC334="",0,'Product Tracker'!AC334)-ROW()*0.0000001,-9999-ROW()*0.0000001)</f>
        <v/>
      </c>
    </row>
    <row r="335">
      <c r="R335">
        <f>IF('Product Tracker'!AD335="Buy",IF('Product Tracker'!AC335="",0,'Product Tracker'!AC335)-ROW()*0.0000001,-9999-ROW()*0.0000001)</f>
        <v/>
      </c>
      <c r="S335">
        <f>IF('Product Tracker'!BL335="Yes",IF('Product Tracker'!AC335="",0,'Product Tracker'!AC335)-ROW()*0.0000001,-9999-ROW()*0.0000001)</f>
        <v/>
      </c>
      <c r="T335">
        <f>IF(OR('Product Tracker'!AY335="High",'Product Tracker'!BA335="High",AND('Product Tracker'!AB335&lt;&gt;"",'Product Tracker'!AB335&lt;=2)),IF('Product Tracker'!AC335="",0,'Product Tracker'!AC335)-ROW()*0.0000001,-9999-ROW()*0.0000001)</f>
        <v/>
      </c>
    </row>
    <row r="336">
      <c r="R336">
        <f>IF('Product Tracker'!AD336="Buy",IF('Product Tracker'!AC336="",0,'Product Tracker'!AC336)-ROW()*0.0000001,-9999-ROW()*0.0000001)</f>
        <v/>
      </c>
      <c r="S336">
        <f>IF('Product Tracker'!BL336="Yes",IF('Product Tracker'!AC336="",0,'Product Tracker'!AC336)-ROW()*0.0000001,-9999-ROW()*0.0000001)</f>
        <v/>
      </c>
      <c r="T336">
        <f>IF(OR('Product Tracker'!AY336="High",'Product Tracker'!BA336="High",AND('Product Tracker'!AB336&lt;&gt;"",'Product Tracker'!AB336&lt;=2)),IF('Product Tracker'!AC336="",0,'Product Tracker'!AC336)-ROW()*0.0000001,-9999-ROW()*0.0000001)</f>
        <v/>
      </c>
    </row>
    <row r="337">
      <c r="R337">
        <f>IF('Product Tracker'!AD337="Buy",IF('Product Tracker'!AC337="",0,'Product Tracker'!AC337)-ROW()*0.0000001,-9999-ROW()*0.0000001)</f>
        <v/>
      </c>
      <c r="S337">
        <f>IF('Product Tracker'!BL337="Yes",IF('Product Tracker'!AC337="",0,'Product Tracker'!AC337)-ROW()*0.0000001,-9999-ROW()*0.0000001)</f>
        <v/>
      </c>
      <c r="T337">
        <f>IF(OR('Product Tracker'!AY337="High",'Product Tracker'!BA337="High",AND('Product Tracker'!AB337&lt;&gt;"",'Product Tracker'!AB337&lt;=2)),IF('Product Tracker'!AC337="",0,'Product Tracker'!AC337)-ROW()*0.0000001,-9999-ROW()*0.0000001)</f>
        <v/>
      </c>
    </row>
    <row r="338">
      <c r="R338">
        <f>IF('Product Tracker'!AD338="Buy",IF('Product Tracker'!AC338="",0,'Product Tracker'!AC338)-ROW()*0.0000001,-9999-ROW()*0.0000001)</f>
        <v/>
      </c>
      <c r="S338">
        <f>IF('Product Tracker'!BL338="Yes",IF('Product Tracker'!AC338="",0,'Product Tracker'!AC338)-ROW()*0.0000001,-9999-ROW()*0.0000001)</f>
        <v/>
      </c>
      <c r="T338">
        <f>IF(OR('Product Tracker'!AY338="High",'Product Tracker'!BA338="High",AND('Product Tracker'!AB338&lt;&gt;"",'Product Tracker'!AB338&lt;=2)),IF('Product Tracker'!AC338="",0,'Product Tracker'!AC338)-ROW()*0.0000001,-9999-ROW()*0.0000001)</f>
        <v/>
      </c>
    </row>
    <row r="339">
      <c r="R339">
        <f>IF('Product Tracker'!AD339="Buy",IF('Product Tracker'!AC339="",0,'Product Tracker'!AC339)-ROW()*0.0000001,-9999-ROW()*0.0000001)</f>
        <v/>
      </c>
      <c r="S339">
        <f>IF('Product Tracker'!BL339="Yes",IF('Product Tracker'!AC339="",0,'Product Tracker'!AC339)-ROW()*0.0000001,-9999-ROW()*0.0000001)</f>
        <v/>
      </c>
      <c r="T339">
        <f>IF(OR('Product Tracker'!AY339="High",'Product Tracker'!BA339="High",AND('Product Tracker'!AB339&lt;&gt;"",'Product Tracker'!AB339&lt;=2)),IF('Product Tracker'!AC339="",0,'Product Tracker'!AC339)-ROW()*0.0000001,-9999-ROW()*0.0000001)</f>
        <v/>
      </c>
    </row>
    <row r="340">
      <c r="R340">
        <f>IF('Product Tracker'!AD340="Buy",IF('Product Tracker'!AC340="",0,'Product Tracker'!AC340)-ROW()*0.0000001,-9999-ROW()*0.0000001)</f>
        <v/>
      </c>
      <c r="S340">
        <f>IF('Product Tracker'!BL340="Yes",IF('Product Tracker'!AC340="",0,'Product Tracker'!AC340)-ROW()*0.0000001,-9999-ROW()*0.0000001)</f>
        <v/>
      </c>
      <c r="T340">
        <f>IF(OR('Product Tracker'!AY340="High",'Product Tracker'!BA340="High",AND('Product Tracker'!AB340&lt;&gt;"",'Product Tracker'!AB340&lt;=2)),IF('Product Tracker'!AC340="",0,'Product Tracker'!AC340)-ROW()*0.0000001,-9999-ROW()*0.0000001)</f>
        <v/>
      </c>
    </row>
    <row r="341">
      <c r="R341">
        <f>IF('Product Tracker'!AD341="Buy",IF('Product Tracker'!AC341="",0,'Product Tracker'!AC341)-ROW()*0.0000001,-9999-ROW()*0.0000001)</f>
        <v/>
      </c>
      <c r="S341">
        <f>IF('Product Tracker'!BL341="Yes",IF('Product Tracker'!AC341="",0,'Product Tracker'!AC341)-ROW()*0.0000001,-9999-ROW()*0.0000001)</f>
        <v/>
      </c>
      <c r="T341">
        <f>IF(OR('Product Tracker'!AY341="High",'Product Tracker'!BA341="High",AND('Product Tracker'!AB341&lt;&gt;"",'Product Tracker'!AB341&lt;=2)),IF('Product Tracker'!AC341="",0,'Product Tracker'!AC341)-ROW()*0.0000001,-9999-ROW()*0.0000001)</f>
        <v/>
      </c>
    </row>
    <row r="342">
      <c r="R342">
        <f>IF('Product Tracker'!AD342="Buy",IF('Product Tracker'!AC342="",0,'Product Tracker'!AC342)-ROW()*0.0000001,-9999-ROW()*0.0000001)</f>
        <v/>
      </c>
      <c r="S342">
        <f>IF('Product Tracker'!BL342="Yes",IF('Product Tracker'!AC342="",0,'Product Tracker'!AC342)-ROW()*0.0000001,-9999-ROW()*0.0000001)</f>
        <v/>
      </c>
      <c r="T342">
        <f>IF(OR('Product Tracker'!AY342="High",'Product Tracker'!BA342="High",AND('Product Tracker'!AB342&lt;&gt;"",'Product Tracker'!AB342&lt;=2)),IF('Product Tracker'!AC342="",0,'Product Tracker'!AC342)-ROW()*0.0000001,-9999-ROW()*0.0000001)</f>
        <v/>
      </c>
    </row>
    <row r="343">
      <c r="R343">
        <f>IF('Product Tracker'!AD343="Buy",IF('Product Tracker'!AC343="",0,'Product Tracker'!AC343)-ROW()*0.0000001,-9999-ROW()*0.0000001)</f>
        <v/>
      </c>
      <c r="S343">
        <f>IF('Product Tracker'!BL343="Yes",IF('Product Tracker'!AC343="",0,'Product Tracker'!AC343)-ROW()*0.0000001,-9999-ROW()*0.0000001)</f>
        <v/>
      </c>
      <c r="T343">
        <f>IF(OR('Product Tracker'!AY343="High",'Product Tracker'!BA343="High",AND('Product Tracker'!AB343&lt;&gt;"",'Product Tracker'!AB343&lt;=2)),IF('Product Tracker'!AC343="",0,'Product Tracker'!AC343)-ROW()*0.0000001,-9999-ROW()*0.0000001)</f>
        <v/>
      </c>
    </row>
    <row r="344">
      <c r="R344">
        <f>IF('Product Tracker'!AD344="Buy",IF('Product Tracker'!AC344="",0,'Product Tracker'!AC344)-ROW()*0.0000001,-9999-ROW()*0.0000001)</f>
        <v/>
      </c>
      <c r="S344">
        <f>IF('Product Tracker'!BL344="Yes",IF('Product Tracker'!AC344="",0,'Product Tracker'!AC344)-ROW()*0.0000001,-9999-ROW()*0.0000001)</f>
        <v/>
      </c>
      <c r="T344">
        <f>IF(OR('Product Tracker'!AY344="High",'Product Tracker'!BA344="High",AND('Product Tracker'!AB344&lt;&gt;"",'Product Tracker'!AB344&lt;=2)),IF('Product Tracker'!AC344="",0,'Product Tracker'!AC344)-ROW()*0.0000001,-9999-ROW()*0.0000001)</f>
        <v/>
      </c>
    </row>
    <row r="345">
      <c r="R345">
        <f>IF('Product Tracker'!AD345="Buy",IF('Product Tracker'!AC345="",0,'Product Tracker'!AC345)-ROW()*0.0000001,-9999-ROW()*0.0000001)</f>
        <v/>
      </c>
      <c r="S345">
        <f>IF('Product Tracker'!BL345="Yes",IF('Product Tracker'!AC345="",0,'Product Tracker'!AC345)-ROW()*0.0000001,-9999-ROW()*0.0000001)</f>
        <v/>
      </c>
      <c r="T345">
        <f>IF(OR('Product Tracker'!AY345="High",'Product Tracker'!BA345="High",AND('Product Tracker'!AB345&lt;&gt;"",'Product Tracker'!AB345&lt;=2)),IF('Product Tracker'!AC345="",0,'Product Tracker'!AC345)-ROW()*0.0000001,-9999-ROW()*0.0000001)</f>
        <v/>
      </c>
    </row>
    <row r="346">
      <c r="R346">
        <f>IF('Product Tracker'!AD346="Buy",IF('Product Tracker'!AC346="",0,'Product Tracker'!AC346)-ROW()*0.0000001,-9999-ROW()*0.0000001)</f>
        <v/>
      </c>
      <c r="S346">
        <f>IF('Product Tracker'!BL346="Yes",IF('Product Tracker'!AC346="",0,'Product Tracker'!AC346)-ROW()*0.0000001,-9999-ROW()*0.0000001)</f>
        <v/>
      </c>
      <c r="T346">
        <f>IF(OR('Product Tracker'!AY346="High",'Product Tracker'!BA346="High",AND('Product Tracker'!AB346&lt;&gt;"",'Product Tracker'!AB346&lt;=2)),IF('Product Tracker'!AC346="",0,'Product Tracker'!AC346)-ROW()*0.0000001,-9999-ROW()*0.0000001)</f>
        <v/>
      </c>
    </row>
    <row r="347">
      <c r="R347">
        <f>IF('Product Tracker'!AD347="Buy",IF('Product Tracker'!AC347="",0,'Product Tracker'!AC347)-ROW()*0.0000001,-9999-ROW()*0.0000001)</f>
        <v/>
      </c>
      <c r="S347">
        <f>IF('Product Tracker'!BL347="Yes",IF('Product Tracker'!AC347="",0,'Product Tracker'!AC347)-ROW()*0.0000001,-9999-ROW()*0.0000001)</f>
        <v/>
      </c>
      <c r="T347">
        <f>IF(OR('Product Tracker'!AY347="High",'Product Tracker'!BA347="High",AND('Product Tracker'!AB347&lt;&gt;"",'Product Tracker'!AB347&lt;=2)),IF('Product Tracker'!AC347="",0,'Product Tracker'!AC347)-ROW()*0.0000001,-9999-ROW()*0.0000001)</f>
        <v/>
      </c>
    </row>
    <row r="348">
      <c r="R348">
        <f>IF('Product Tracker'!AD348="Buy",IF('Product Tracker'!AC348="",0,'Product Tracker'!AC348)-ROW()*0.0000001,-9999-ROW()*0.0000001)</f>
        <v/>
      </c>
      <c r="S348">
        <f>IF('Product Tracker'!BL348="Yes",IF('Product Tracker'!AC348="",0,'Product Tracker'!AC348)-ROW()*0.0000001,-9999-ROW()*0.0000001)</f>
        <v/>
      </c>
      <c r="T348">
        <f>IF(OR('Product Tracker'!AY348="High",'Product Tracker'!BA348="High",AND('Product Tracker'!AB348&lt;&gt;"",'Product Tracker'!AB348&lt;=2)),IF('Product Tracker'!AC348="",0,'Product Tracker'!AC348)-ROW()*0.0000001,-9999-ROW()*0.0000001)</f>
        <v/>
      </c>
    </row>
    <row r="349">
      <c r="R349">
        <f>IF('Product Tracker'!AD349="Buy",IF('Product Tracker'!AC349="",0,'Product Tracker'!AC349)-ROW()*0.0000001,-9999-ROW()*0.0000001)</f>
        <v/>
      </c>
      <c r="S349">
        <f>IF('Product Tracker'!BL349="Yes",IF('Product Tracker'!AC349="",0,'Product Tracker'!AC349)-ROW()*0.0000001,-9999-ROW()*0.0000001)</f>
        <v/>
      </c>
      <c r="T349">
        <f>IF(OR('Product Tracker'!AY349="High",'Product Tracker'!BA349="High",AND('Product Tracker'!AB349&lt;&gt;"",'Product Tracker'!AB349&lt;=2)),IF('Product Tracker'!AC349="",0,'Product Tracker'!AC349)-ROW()*0.0000001,-9999-ROW()*0.0000001)</f>
        <v/>
      </c>
    </row>
    <row r="350">
      <c r="R350">
        <f>IF('Product Tracker'!AD350="Buy",IF('Product Tracker'!AC350="",0,'Product Tracker'!AC350)-ROW()*0.0000001,-9999-ROW()*0.0000001)</f>
        <v/>
      </c>
      <c r="S350">
        <f>IF('Product Tracker'!BL350="Yes",IF('Product Tracker'!AC350="",0,'Product Tracker'!AC350)-ROW()*0.0000001,-9999-ROW()*0.0000001)</f>
        <v/>
      </c>
      <c r="T350">
        <f>IF(OR('Product Tracker'!AY350="High",'Product Tracker'!BA350="High",AND('Product Tracker'!AB350&lt;&gt;"",'Product Tracker'!AB350&lt;=2)),IF('Product Tracker'!AC350="",0,'Product Tracker'!AC350)-ROW()*0.0000001,-9999-ROW()*0.0000001)</f>
        <v/>
      </c>
    </row>
    <row r="351">
      <c r="R351">
        <f>IF('Product Tracker'!AD351="Buy",IF('Product Tracker'!AC351="",0,'Product Tracker'!AC351)-ROW()*0.0000001,-9999-ROW()*0.0000001)</f>
        <v/>
      </c>
      <c r="S351">
        <f>IF('Product Tracker'!BL351="Yes",IF('Product Tracker'!AC351="",0,'Product Tracker'!AC351)-ROW()*0.0000001,-9999-ROW()*0.0000001)</f>
        <v/>
      </c>
      <c r="T351">
        <f>IF(OR('Product Tracker'!AY351="High",'Product Tracker'!BA351="High",AND('Product Tracker'!AB351&lt;&gt;"",'Product Tracker'!AB351&lt;=2)),IF('Product Tracker'!AC351="",0,'Product Tracker'!AC351)-ROW()*0.0000001,-9999-ROW()*0.0000001)</f>
        <v/>
      </c>
    </row>
    <row r="352">
      <c r="R352">
        <f>IF('Product Tracker'!AD352="Buy",IF('Product Tracker'!AC352="",0,'Product Tracker'!AC352)-ROW()*0.0000001,-9999-ROW()*0.0000001)</f>
        <v/>
      </c>
      <c r="S352">
        <f>IF('Product Tracker'!BL352="Yes",IF('Product Tracker'!AC352="",0,'Product Tracker'!AC352)-ROW()*0.0000001,-9999-ROW()*0.0000001)</f>
        <v/>
      </c>
      <c r="T352">
        <f>IF(OR('Product Tracker'!AY352="High",'Product Tracker'!BA352="High",AND('Product Tracker'!AB352&lt;&gt;"",'Product Tracker'!AB352&lt;=2)),IF('Product Tracker'!AC352="",0,'Product Tracker'!AC352)-ROW()*0.0000001,-9999-ROW()*0.0000001)</f>
        <v/>
      </c>
    </row>
    <row r="353">
      <c r="R353">
        <f>IF('Product Tracker'!AD353="Buy",IF('Product Tracker'!AC353="",0,'Product Tracker'!AC353)-ROW()*0.0000001,-9999-ROW()*0.0000001)</f>
        <v/>
      </c>
      <c r="S353">
        <f>IF('Product Tracker'!BL353="Yes",IF('Product Tracker'!AC353="",0,'Product Tracker'!AC353)-ROW()*0.0000001,-9999-ROW()*0.0000001)</f>
        <v/>
      </c>
      <c r="T353">
        <f>IF(OR('Product Tracker'!AY353="High",'Product Tracker'!BA353="High",AND('Product Tracker'!AB353&lt;&gt;"",'Product Tracker'!AB353&lt;=2)),IF('Product Tracker'!AC353="",0,'Product Tracker'!AC353)-ROW()*0.0000001,-9999-ROW()*0.0000001)</f>
        <v/>
      </c>
    </row>
    <row r="354">
      <c r="R354">
        <f>IF('Product Tracker'!AD354="Buy",IF('Product Tracker'!AC354="",0,'Product Tracker'!AC354)-ROW()*0.0000001,-9999-ROW()*0.0000001)</f>
        <v/>
      </c>
      <c r="S354">
        <f>IF('Product Tracker'!BL354="Yes",IF('Product Tracker'!AC354="",0,'Product Tracker'!AC354)-ROW()*0.0000001,-9999-ROW()*0.0000001)</f>
        <v/>
      </c>
      <c r="T354">
        <f>IF(OR('Product Tracker'!AY354="High",'Product Tracker'!BA354="High",AND('Product Tracker'!AB354&lt;&gt;"",'Product Tracker'!AB354&lt;=2)),IF('Product Tracker'!AC354="",0,'Product Tracker'!AC354)-ROW()*0.0000001,-9999-ROW()*0.0000001)</f>
        <v/>
      </c>
    </row>
    <row r="355">
      <c r="R355">
        <f>IF('Product Tracker'!AD355="Buy",IF('Product Tracker'!AC355="",0,'Product Tracker'!AC355)-ROW()*0.0000001,-9999-ROW()*0.0000001)</f>
        <v/>
      </c>
      <c r="S355">
        <f>IF('Product Tracker'!BL355="Yes",IF('Product Tracker'!AC355="",0,'Product Tracker'!AC355)-ROW()*0.0000001,-9999-ROW()*0.0000001)</f>
        <v/>
      </c>
      <c r="T355">
        <f>IF(OR('Product Tracker'!AY355="High",'Product Tracker'!BA355="High",AND('Product Tracker'!AB355&lt;&gt;"",'Product Tracker'!AB355&lt;=2)),IF('Product Tracker'!AC355="",0,'Product Tracker'!AC355)-ROW()*0.0000001,-9999-ROW()*0.0000001)</f>
        <v/>
      </c>
    </row>
    <row r="356">
      <c r="R356">
        <f>IF('Product Tracker'!AD356="Buy",IF('Product Tracker'!AC356="",0,'Product Tracker'!AC356)-ROW()*0.0000001,-9999-ROW()*0.0000001)</f>
        <v/>
      </c>
      <c r="S356">
        <f>IF('Product Tracker'!BL356="Yes",IF('Product Tracker'!AC356="",0,'Product Tracker'!AC356)-ROW()*0.0000001,-9999-ROW()*0.0000001)</f>
        <v/>
      </c>
      <c r="T356">
        <f>IF(OR('Product Tracker'!AY356="High",'Product Tracker'!BA356="High",AND('Product Tracker'!AB356&lt;&gt;"",'Product Tracker'!AB356&lt;=2)),IF('Product Tracker'!AC356="",0,'Product Tracker'!AC356)-ROW()*0.0000001,-9999-ROW()*0.0000001)</f>
        <v/>
      </c>
    </row>
    <row r="357">
      <c r="R357">
        <f>IF('Product Tracker'!AD357="Buy",IF('Product Tracker'!AC357="",0,'Product Tracker'!AC357)-ROW()*0.0000001,-9999-ROW()*0.0000001)</f>
        <v/>
      </c>
      <c r="S357">
        <f>IF('Product Tracker'!BL357="Yes",IF('Product Tracker'!AC357="",0,'Product Tracker'!AC357)-ROW()*0.0000001,-9999-ROW()*0.0000001)</f>
        <v/>
      </c>
      <c r="T357">
        <f>IF(OR('Product Tracker'!AY357="High",'Product Tracker'!BA357="High",AND('Product Tracker'!AB357&lt;&gt;"",'Product Tracker'!AB357&lt;=2)),IF('Product Tracker'!AC357="",0,'Product Tracker'!AC357)-ROW()*0.0000001,-9999-ROW()*0.0000001)</f>
        <v/>
      </c>
    </row>
    <row r="358">
      <c r="R358">
        <f>IF('Product Tracker'!AD358="Buy",IF('Product Tracker'!AC358="",0,'Product Tracker'!AC358)-ROW()*0.0000001,-9999-ROW()*0.0000001)</f>
        <v/>
      </c>
      <c r="S358">
        <f>IF('Product Tracker'!BL358="Yes",IF('Product Tracker'!AC358="",0,'Product Tracker'!AC358)-ROW()*0.0000001,-9999-ROW()*0.0000001)</f>
        <v/>
      </c>
      <c r="T358">
        <f>IF(OR('Product Tracker'!AY358="High",'Product Tracker'!BA358="High",AND('Product Tracker'!AB358&lt;&gt;"",'Product Tracker'!AB358&lt;=2)),IF('Product Tracker'!AC358="",0,'Product Tracker'!AC358)-ROW()*0.0000001,-9999-ROW()*0.0000001)</f>
        <v/>
      </c>
    </row>
    <row r="359">
      <c r="R359">
        <f>IF('Product Tracker'!AD359="Buy",IF('Product Tracker'!AC359="",0,'Product Tracker'!AC359)-ROW()*0.0000001,-9999-ROW()*0.0000001)</f>
        <v/>
      </c>
      <c r="S359">
        <f>IF('Product Tracker'!BL359="Yes",IF('Product Tracker'!AC359="",0,'Product Tracker'!AC359)-ROW()*0.0000001,-9999-ROW()*0.0000001)</f>
        <v/>
      </c>
      <c r="T359">
        <f>IF(OR('Product Tracker'!AY359="High",'Product Tracker'!BA359="High",AND('Product Tracker'!AB359&lt;&gt;"",'Product Tracker'!AB359&lt;=2)),IF('Product Tracker'!AC359="",0,'Product Tracker'!AC359)-ROW()*0.0000001,-9999-ROW()*0.0000001)</f>
        <v/>
      </c>
    </row>
    <row r="360">
      <c r="R360">
        <f>IF('Product Tracker'!AD360="Buy",IF('Product Tracker'!AC360="",0,'Product Tracker'!AC360)-ROW()*0.0000001,-9999-ROW()*0.0000001)</f>
        <v/>
      </c>
      <c r="S360">
        <f>IF('Product Tracker'!BL360="Yes",IF('Product Tracker'!AC360="",0,'Product Tracker'!AC360)-ROW()*0.0000001,-9999-ROW()*0.0000001)</f>
        <v/>
      </c>
      <c r="T360">
        <f>IF(OR('Product Tracker'!AY360="High",'Product Tracker'!BA360="High",AND('Product Tracker'!AB360&lt;&gt;"",'Product Tracker'!AB360&lt;=2)),IF('Product Tracker'!AC360="",0,'Product Tracker'!AC360)-ROW()*0.0000001,-9999-ROW()*0.0000001)</f>
        <v/>
      </c>
    </row>
    <row r="361">
      <c r="R361">
        <f>IF('Product Tracker'!AD361="Buy",IF('Product Tracker'!AC361="",0,'Product Tracker'!AC361)-ROW()*0.0000001,-9999-ROW()*0.0000001)</f>
        <v/>
      </c>
      <c r="S361">
        <f>IF('Product Tracker'!BL361="Yes",IF('Product Tracker'!AC361="",0,'Product Tracker'!AC361)-ROW()*0.0000001,-9999-ROW()*0.0000001)</f>
        <v/>
      </c>
      <c r="T361">
        <f>IF(OR('Product Tracker'!AY361="High",'Product Tracker'!BA361="High",AND('Product Tracker'!AB361&lt;&gt;"",'Product Tracker'!AB361&lt;=2)),IF('Product Tracker'!AC361="",0,'Product Tracker'!AC361)-ROW()*0.0000001,-9999-ROW()*0.0000001)</f>
        <v/>
      </c>
    </row>
    <row r="362">
      <c r="R362">
        <f>IF('Product Tracker'!AD362="Buy",IF('Product Tracker'!AC362="",0,'Product Tracker'!AC362)-ROW()*0.0000001,-9999-ROW()*0.0000001)</f>
        <v/>
      </c>
      <c r="S362">
        <f>IF('Product Tracker'!BL362="Yes",IF('Product Tracker'!AC362="",0,'Product Tracker'!AC362)-ROW()*0.0000001,-9999-ROW()*0.0000001)</f>
        <v/>
      </c>
      <c r="T362">
        <f>IF(OR('Product Tracker'!AY362="High",'Product Tracker'!BA362="High",AND('Product Tracker'!AB362&lt;&gt;"",'Product Tracker'!AB362&lt;=2)),IF('Product Tracker'!AC362="",0,'Product Tracker'!AC362)-ROW()*0.0000001,-9999-ROW()*0.0000001)</f>
        <v/>
      </c>
    </row>
    <row r="363">
      <c r="R363">
        <f>IF('Product Tracker'!AD363="Buy",IF('Product Tracker'!AC363="",0,'Product Tracker'!AC363)-ROW()*0.0000001,-9999-ROW()*0.0000001)</f>
        <v/>
      </c>
      <c r="S363">
        <f>IF('Product Tracker'!BL363="Yes",IF('Product Tracker'!AC363="",0,'Product Tracker'!AC363)-ROW()*0.0000001,-9999-ROW()*0.0000001)</f>
        <v/>
      </c>
      <c r="T363">
        <f>IF(OR('Product Tracker'!AY363="High",'Product Tracker'!BA363="High",AND('Product Tracker'!AB363&lt;&gt;"",'Product Tracker'!AB363&lt;=2)),IF('Product Tracker'!AC363="",0,'Product Tracker'!AC363)-ROW()*0.0000001,-9999-ROW()*0.0000001)</f>
        <v/>
      </c>
    </row>
    <row r="364">
      <c r="R364">
        <f>IF('Product Tracker'!AD364="Buy",IF('Product Tracker'!AC364="",0,'Product Tracker'!AC364)-ROW()*0.0000001,-9999-ROW()*0.0000001)</f>
        <v/>
      </c>
      <c r="S364">
        <f>IF('Product Tracker'!BL364="Yes",IF('Product Tracker'!AC364="",0,'Product Tracker'!AC364)-ROW()*0.0000001,-9999-ROW()*0.0000001)</f>
        <v/>
      </c>
      <c r="T364">
        <f>IF(OR('Product Tracker'!AY364="High",'Product Tracker'!BA364="High",AND('Product Tracker'!AB364&lt;&gt;"",'Product Tracker'!AB364&lt;=2)),IF('Product Tracker'!AC364="",0,'Product Tracker'!AC364)-ROW()*0.0000001,-9999-ROW()*0.0000001)</f>
        <v/>
      </c>
    </row>
    <row r="365">
      <c r="R365">
        <f>IF('Product Tracker'!AD365="Buy",IF('Product Tracker'!AC365="",0,'Product Tracker'!AC365)-ROW()*0.0000001,-9999-ROW()*0.0000001)</f>
        <v/>
      </c>
      <c r="S365">
        <f>IF('Product Tracker'!BL365="Yes",IF('Product Tracker'!AC365="",0,'Product Tracker'!AC365)-ROW()*0.0000001,-9999-ROW()*0.0000001)</f>
        <v/>
      </c>
      <c r="T365">
        <f>IF(OR('Product Tracker'!AY365="High",'Product Tracker'!BA365="High",AND('Product Tracker'!AB365&lt;&gt;"",'Product Tracker'!AB365&lt;=2)),IF('Product Tracker'!AC365="",0,'Product Tracker'!AC365)-ROW()*0.0000001,-9999-ROW()*0.0000001)</f>
        <v/>
      </c>
    </row>
    <row r="366">
      <c r="R366">
        <f>IF('Product Tracker'!AD366="Buy",IF('Product Tracker'!AC366="",0,'Product Tracker'!AC366)-ROW()*0.0000001,-9999-ROW()*0.0000001)</f>
        <v/>
      </c>
      <c r="S366">
        <f>IF('Product Tracker'!BL366="Yes",IF('Product Tracker'!AC366="",0,'Product Tracker'!AC366)-ROW()*0.0000001,-9999-ROW()*0.0000001)</f>
        <v/>
      </c>
      <c r="T366">
        <f>IF(OR('Product Tracker'!AY366="High",'Product Tracker'!BA366="High",AND('Product Tracker'!AB366&lt;&gt;"",'Product Tracker'!AB366&lt;=2)),IF('Product Tracker'!AC366="",0,'Product Tracker'!AC366)-ROW()*0.0000001,-9999-ROW()*0.0000001)</f>
        <v/>
      </c>
    </row>
    <row r="367">
      <c r="R367">
        <f>IF('Product Tracker'!AD367="Buy",IF('Product Tracker'!AC367="",0,'Product Tracker'!AC367)-ROW()*0.0000001,-9999-ROW()*0.0000001)</f>
        <v/>
      </c>
      <c r="S367">
        <f>IF('Product Tracker'!BL367="Yes",IF('Product Tracker'!AC367="",0,'Product Tracker'!AC367)-ROW()*0.0000001,-9999-ROW()*0.0000001)</f>
        <v/>
      </c>
      <c r="T367">
        <f>IF(OR('Product Tracker'!AY367="High",'Product Tracker'!BA367="High",AND('Product Tracker'!AB367&lt;&gt;"",'Product Tracker'!AB367&lt;=2)),IF('Product Tracker'!AC367="",0,'Product Tracker'!AC367)-ROW()*0.0000001,-9999-ROW()*0.0000001)</f>
        <v/>
      </c>
    </row>
    <row r="368">
      <c r="R368">
        <f>IF('Product Tracker'!AD368="Buy",IF('Product Tracker'!AC368="",0,'Product Tracker'!AC368)-ROW()*0.0000001,-9999-ROW()*0.0000001)</f>
        <v/>
      </c>
      <c r="S368">
        <f>IF('Product Tracker'!BL368="Yes",IF('Product Tracker'!AC368="",0,'Product Tracker'!AC368)-ROW()*0.0000001,-9999-ROW()*0.0000001)</f>
        <v/>
      </c>
      <c r="T368">
        <f>IF(OR('Product Tracker'!AY368="High",'Product Tracker'!BA368="High",AND('Product Tracker'!AB368&lt;&gt;"",'Product Tracker'!AB368&lt;=2)),IF('Product Tracker'!AC368="",0,'Product Tracker'!AC368)-ROW()*0.0000001,-9999-ROW()*0.0000001)</f>
        <v/>
      </c>
    </row>
    <row r="369">
      <c r="R369">
        <f>IF('Product Tracker'!AD369="Buy",IF('Product Tracker'!AC369="",0,'Product Tracker'!AC369)-ROW()*0.0000001,-9999-ROW()*0.0000001)</f>
        <v/>
      </c>
      <c r="S369">
        <f>IF('Product Tracker'!BL369="Yes",IF('Product Tracker'!AC369="",0,'Product Tracker'!AC369)-ROW()*0.0000001,-9999-ROW()*0.0000001)</f>
        <v/>
      </c>
      <c r="T369">
        <f>IF(OR('Product Tracker'!AY369="High",'Product Tracker'!BA369="High",AND('Product Tracker'!AB369&lt;&gt;"",'Product Tracker'!AB369&lt;=2)),IF('Product Tracker'!AC369="",0,'Product Tracker'!AC369)-ROW()*0.0000001,-9999-ROW()*0.0000001)</f>
        <v/>
      </c>
    </row>
    <row r="370">
      <c r="R370">
        <f>IF('Product Tracker'!AD370="Buy",IF('Product Tracker'!AC370="",0,'Product Tracker'!AC370)-ROW()*0.0000001,-9999-ROW()*0.0000001)</f>
        <v/>
      </c>
      <c r="S370">
        <f>IF('Product Tracker'!BL370="Yes",IF('Product Tracker'!AC370="",0,'Product Tracker'!AC370)-ROW()*0.0000001,-9999-ROW()*0.0000001)</f>
        <v/>
      </c>
      <c r="T370">
        <f>IF(OR('Product Tracker'!AY370="High",'Product Tracker'!BA370="High",AND('Product Tracker'!AB370&lt;&gt;"",'Product Tracker'!AB370&lt;=2)),IF('Product Tracker'!AC370="",0,'Product Tracker'!AC370)-ROW()*0.0000001,-9999-ROW()*0.0000001)</f>
        <v/>
      </c>
    </row>
    <row r="371">
      <c r="R371">
        <f>IF('Product Tracker'!AD371="Buy",IF('Product Tracker'!AC371="",0,'Product Tracker'!AC371)-ROW()*0.0000001,-9999-ROW()*0.0000001)</f>
        <v/>
      </c>
      <c r="S371">
        <f>IF('Product Tracker'!BL371="Yes",IF('Product Tracker'!AC371="",0,'Product Tracker'!AC371)-ROW()*0.0000001,-9999-ROW()*0.0000001)</f>
        <v/>
      </c>
      <c r="T371">
        <f>IF(OR('Product Tracker'!AY371="High",'Product Tracker'!BA371="High",AND('Product Tracker'!AB371&lt;&gt;"",'Product Tracker'!AB371&lt;=2)),IF('Product Tracker'!AC371="",0,'Product Tracker'!AC371)-ROW()*0.0000001,-9999-ROW()*0.0000001)</f>
        <v/>
      </c>
    </row>
    <row r="372">
      <c r="R372">
        <f>IF('Product Tracker'!AD372="Buy",IF('Product Tracker'!AC372="",0,'Product Tracker'!AC372)-ROW()*0.0000001,-9999-ROW()*0.0000001)</f>
        <v/>
      </c>
      <c r="S372">
        <f>IF('Product Tracker'!BL372="Yes",IF('Product Tracker'!AC372="",0,'Product Tracker'!AC372)-ROW()*0.0000001,-9999-ROW()*0.0000001)</f>
        <v/>
      </c>
      <c r="T372">
        <f>IF(OR('Product Tracker'!AY372="High",'Product Tracker'!BA372="High",AND('Product Tracker'!AB372&lt;&gt;"",'Product Tracker'!AB372&lt;=2)),IF('Product Tracker'!AC372="",0,'Product Tracker'!AC372)-ROW()*0.0000001,-9999-ROW()*0.0000001)</f>
        <v/>
      </c>
    </row>
    <row r="373">
      <c r="R373">
        <f>IF('Product Tracker'!AD373="Buy",IF('Product Tracker'!AC373="",0,'Product Tracker'!AC373)-ROW()*0.0000001,-9999-ROW()*0.0000001)</f>
        <v/>
      </c>
      <c r="S373">
        <f>IF('Product Tracker'!BL373="Yes",IF('Product Tracker'!AC373="",0,'Product Tracker'!AC373)-ROW()*0.0000001,-9999-ROW()*0.0000001)</f>
        <v/>
      </c>
      <c r="T373">
        <f>IF(OR('Product Tracker'!AY373="High",'Product Tracker'!BA373="High",AND('Product Tracker'!AB373&lt;&gt;"",'Product Tracker'!AB373&lt;=2)),IF('Product Tracker'!AC373="",0,'Product Tracker'!AC373)-ROW()*0.0000001,-9999-ROW()*0.0000001)</f>
        <v/>
      </c>
    </row>
    <row r="374">
      <c r="R374">
        <f>IF('Product Tracker'!AD374="Buy",IF('Product Tracker'!AC374="",0,'Product Tracker'!AC374)-ROW()*0.0000001,-9999-ROW()*0.0000001)</f>
        <v/>
      </c>
      <c r="S374">
        <f>IF('Product Tracker'!BL374="Yes",IF('Product Tracker'!AC374="",0,'Product Tracker'!AC374)-ROW()*0.0000001,-9999-ROW()*0.0000001)</f>
        <v/>
      </c>
      <c r="T374">
        <f>IF(OR('Product Tracker'!AY374="High",'Product Tracker'!BA374="High",AND('Product Tracker'!AB374&lt;&gt;"",'Product Tracker'!AB374&lt;=2)),IF('Product Tracker'!AC374="",0,'Product Tracker'!AC374)-ROW()*0.0000001,-9999-ROW()*0.0000001)</f>
        <v/>
      </c>
    </row>
    <row r="375">
      <c r="R375">
        <f>IF('Product Tracker'!AD375="Buy",IF('Product Tracker'!AC375="",0,'Product Tracker'!AC375)-ROW()*0.0000001,-9999-ROW()*0.0000001)</f>
        <v/>
      </c>
      <c r="S375">
        <f>IF('Product Tracker'!BL375="Yes",IF('Product Tracker'!AC375="",0,'Product Tracker'!AC375)-ROW()*0.0000001,-9999-ROW()*0.0000001)</f>
        <v/>
      </c>
      <c r="T375">
        <f>IF(OR('Product Tracker'!AY375="High",'Product Tracker'!BA375="High",AND('Product Tracker'!AB375&lt;&gt;"",'Product Tracker'!AB375&lt;=2)),IF('Product Tracker'!AC375="",0,'Product Tracker'!AC375)-ROW()*0.0000001,-9999-ROW()*0.0000001)</f>
        <v/>
      </c>
    </row>
    <row r="376">
      <c r="R376">
        <f>IF('Product Tracker'!AD376="Buy",IF('Product Tracker'!AC376="",0,'Product Tracker'!AC376)-ROW()*0.0000001,-9999-ROW()*0.0000001)</f>
        <v/>
      </c>
      <c r="S376">
        <f>IF('Product Tracker'!BL376="Yes",IF('Product Tracker'!AC376="",0,'Product Tracker'!AC376)-ROW()*0.0000001,-9999-ROW()*0.0000001)</f>
        <v/>
      </c>
      <c r="T376">
        <f>IF(OR('Product Tracker'!AY376="High",'Product Tracker'!BA376="High",AND('Product Tracker'!AB376&lt;&gt;"",'Product Tracker'!AB376&lt;=2)),IF('Product Tracker'!AC376="",0,'Product Tracker'!AC376)-ROW()*0.0000001,-9999-ROW()*0.0000001)</f>
        <v/>
      </c>
    </row>
    <row r="377">
      <c r="R377">
        <f>IF('Product Tracker'!AD377="Buy",IF('Product Tracker'!AC377="",0,'Product Tracker'!AC377)-ROW()*0.0000001,-9999-ROW()*0.0000001)</f>
        <v/>
      </c>
      <c r="S377">
        <f>IF('Product Tracker'!BL377="Yes",IF('Product Tracker'!AC377="",0,'Product Tracker'!AC377)-ROW()*0.0000001,-9999-ROW()*0.0000001)</f>
        <v/>
      </c>
      <c r="T377">
        <f>IF(OR('Product Tracker'!AY377="High",'Product Tracker'!BA377="High",AND('Product Tracker'!AB377&lt;&gt;"",'Product Tracker'!AB377&lt;=2)),IF('Product Tracker'!AC377="",0,'Product Tracker'!AC377)-ROW()*0.0000001,-9999-ROW()*0.0000001)</f>
        <v/>
      </c>
    </row>
    <row r="378">
      <c r="R378">
        <f>IF('Product Tracker'!AD378="Buy",IF('Product Tracker'!AC378="",0,'Product Tracker'!AC378)-ROW()*0.0000001,-9999-ROW()*0.0000001)</f>
        <v/>
      </c>
      <c r="S378">
        <f>IF('Product Tracker'!BL378="Yes",IF('Product Tracker'!AC378="",0,'Product Tracker'!AC378)-ROW()*0.0000001,-9999-ROW()*0.0000001)</f>
        <v/>
      </c>
      <c r="T378">
        <f>IF(OR('Product Tracker'!AY378="High",'Product Tracker'!BA378="High",AND('Product Tracker'!AB378&lt;&gt;"",'Product Tracker'!AB378&lt;=2)),IF('Product Tracker'!AC378="",0,'Product Tracker'!AC378)-ROW()*0.0000001,-9999-ROW()*0.0000001)</f>
        <v/>
      </c>
    </row>
    <row r="379">
      <c r="R379">
        <f>IF('Product Tracker'!AD379="Buy",IF('Product Tracker'!AC379="",0,'Product Tracker'!AC379)-ROW()*0.0000001,-9999-ROW()*0.0000001)</f>
        <v/>
      </c>
      <c r="S379">
        <f>IF('Product Tracker'!BL379="Yes",IF('Product Tracker'!AC379="",0,'Product Tracker'!AC379)-ROW()*0.0000001,-9999-ROW()*0.0000001)</f>
        <v/>
      </c>
      <c r="T379">
        <f>IF(OR('Product Tracker'!AY379="High",'Product Tracker'!BA379="High",AND('Product Tracker'!AB379&lt;&gt;"",'Product Tracker'!AB379&lt;=2)),IF('Product Tracker'!AC379="",0,'Product Tracker'!AC379)-ROW()*0.0000001,-9999-ROW()*0.0000001)</f>
        <v/>
      </c>
    </row>
    <row r="380">
      <c r="R380">
        <f>IF('Product Tracker'!AD380="Buy",IF('Product Tracker'!AC380="",0,'Product Tracker'!AC380)-ROW()*0.0000001,-9999-ROW()*0.0000001)</f>
        <v/>
      </c>
      <c r="S380">
        <f>IF('Product Tracker'!BL380="Yes",IF('Product Tracker'!AC380="",0,'Product Tracker'!AC380)-ROW()*0.0000001,-9999-ROW()*0.0000001)</f>
        <v/>
      </c>
      <c r="T380">
        <f>IF(OR('Product Tracker'!AY380="High",'Product Tracker'!BA380="High",AND('Product Tracker'!AB380&lt;&gt;"",'Product Tracker'!AB380&lt;=2)),IF('Product Tracker'!AC380="",0,'Product Tracker'!AC380)-ROW()*0.0000001,-9999-ROW()*0.0000001)</f>
        <v/>
      </c>
    </row>
    <row r="381">
      <c r="R381">
        <f>IF('Product Tracker'!AD381="Buy",IF('Product Tracker'!AC381="",0,'Product Tracker'!AC381)-ROW()*0.0000001,-9999-ROW()*0.0000001)</f>
        <v/>
      </c>
      <c r="S381">
        <f>IF('Product Tracker'!BL381="Yes",IF('Product Tracker'!AC381="",0,'Product Tracker'!AC381)-ROW()*0.0000001,-9999-ROW()*0.0000001)</f>
        <v/>
      </c>
      <c r="T381">
        <f>IF(OR('Product Tracker'!AY381="High",'Product Tracker'!BA381="High",AND('Product Tracker'!AB381&lt;&gt;"",'Product Tracker'!AB381&lt;=2)),IF('Product Tracker'!AC381="",0,'Product Tracker'!AC381)-ROW()*0.0000001,-9999-ROW()*0.0000001)</f>
        <v/>
      </c>
    </row>
    <row r="382">
      <c r="R382">
        <f>IF('Product Tracker'!AD382="Buy",IF('Product Tracker'!AC382="",0,'Product Tracker'!AC382)-ROW()*0.0000001,-9999-ROW()*0.0000001)</f>
        <v/>
      </c>
      <c r="S382">
        <f>IF('Product Tracker'!BL382="Yes",IF('Product Tracker'!AC382="",0,'Product Tracker'!AC382)-ROW()*0.0000001,-9999-ROW()*0.0000001)</f>
        <v/>
      </c>
      <c r="T382">
        <f>IF(OR('Product Tracker'!AY382="High",'Product Tracker'!BA382="High",AND('Product Tracker'!AB382&lt;&gt;"",'Product Tracker'!AB382&lt;=2)),IF('Product Tracker'!AC382="",0,'Product Tracker'!AC382)-ROW()*0.0000001,-9999-ROW()*0.0000001)</f>
        <v/>
      </c>
    </row>
    <row r="383">
      <c r="R383">
        <f>IF('Product Tracker'!AD383="Buy",IF('Product Tracker'!AC383="",0,'Product Tracker'!AC383)-ROW()*0.0000001,-9999-ROW()*0.0000001)</f>
        <v/>
      </c>
      <c r="S383">
        <f>IF('Product Tracker'!BL383="Yes",IF('Product Tracker'!AC383="",0,'Product Tracker'!AC383)-ROW()*0.0000001,-9999-ROW()*0.0000001)</f>
        <v/>
      </c>
      <c r="T383">
        <f>IF(OR('Product Tracker'!AY383="High",'Product Tracker'!BA383="High",AND('Product Tracker'!AB383&lt;&gt;"",'Product Tracker'!AB383&lt;=2)),IF('Product Tracker'!AC383="",0,'Product Tracker'!AC383)-ROW()*0.0000001,-9999-ROW()*0.0000001)</f>
        <v/>
      </c>
    </row>
    <row r="384">
      <c r="R384">
        <f>IF('Product Tracker'!AD384="Buy",IF('Product Tracker'!AC384="",0,'Product Tracker'!AC384)-ROW()*0.0000001,-9999-ROW()*0.0000001)</f>
        <v/>
      </c>
      <c r="S384">
        <f>IF('Product Tracker'!BL384="Yes",IF('Product Tracker'!AC384="",0,'Product Tracker'!AC384)-ROW()*0.0000001,-9999-ROW()*0.0000001)</f>
        <v/>
      </c>
      <c r="T384">
        <f>IF(OR('Product Tracker'!AY384="High",'Product Tracker'!BA384="High",AND('Product Tracker'!AB384&lt;&gt;"",'Product Tracker'!AB384&lt;=2)),IF('Product Tracker'!AC384="",0,'Product Tracker'!AC384)-ROW()*0.0000001,-9999-ROW()*0.0000001)</f>
        <v/>
      </c>
    </row>
    <row r="385">
      <c r="R385">
        <f>IF('Product Tracker'!AD385="Buy",IF('Product Tracker'!AC385="",0,'Product Tracker'!AC385)-ROW()*0.0000001,-9999-ROW()*0.0000001)</f>
        <v/>
      </c>
      <c r="S385">
        <f>IF('Product Tracker'!BL385="Yes",IF('Product Tracker'!AC385="",0,'Product Tracker'!AC385)-ROW()*0.0000001,-9999-ROW()*0.0000001)</f>
        <v/>
      </c>
      <c r="T385">
        <f>IF(OR('Product Tracker'!AY385="High",'Product Tracker'!BA385="High",AND('Product Tracker'!AB385&lt;&gt;"",'Product Tracker'!AB385&lt;=2)),IF('Product Tracker'!AC385="",0,'Product Tracker'!AC385)-ROW()*0.0000001,-9999-ROW()*0.0000001)</f>
        <v/>
      </c>
    </row>
    <row r="386">
      <c r="R386">
        <f>IF('Product Tracker'!AD386="Buy",IF('Product Tracker'!AC386="",0,'Product Tracker'!AC386)-ROW()*0.0000001,-9999-ROW()*0.0000001)</f>
        <v/>
      </c>
      <c r="S386">
        <f>IF('Product Tracker'!BL386="Yes",IF('Product Tracker'!AC386="",0,'Product Tracker'!AC386)-ROW()*0.0000001,-9999-ROW()*0.0000001)</f>
        <v/>
      </c>
      <c r="T386">
        <f>IF(OR('Product Tracker'!AY386="High",'Product Tracker'!BA386="High",AND('Product Tracker'!AB386&lt;&gt;"",'Product Tracker'!AB386&lt;=2)),IF('Product Tracker'!AC386="",0,'Product Tracker'!AC386)-ROW()*0.0000001,-9999-ROW()*0.0000001)</f>
        <v/>
      </c>
    </row>
    <row r="387">
      <c r="R387">
        <f>IF('Product Tracker'!AD387="Buy",IF('Product Tracker'!AC387="",0,'Product Tracker'!AC387)-ROW()*0.0000001,-9999-ROW()*0.0000001)</f>
        <v/>
      </c>
      <c r="S387">
        <f>IF('Product Tracker'!BL387="Yes",IF('Product Tracker'!AC387="",0,'Product Tracker'!AC387)-ROW()*0.0000001,-9999-ROW()*0.0000001)</f>
        <v/>
      </c>
      <c r="T387">
        <f>IF(OR('Product Tracker'!AY387="High",'Product Tracker'!BA387="High",AND('Product Tracker'!AB387&lt;&gt;"",'Product Tracker'!AB387&lt;=2)),IF('Product Tracker'!AC387="",0,'Product Tracker'!AC387)-ROW()*0.0000001,-9999-ROW()*0.0000001)</f>
        <v/>
      </c>
    </row>
    <row r="388">
      <c r="R388">
        <f>IF('Product Tracker'!AD388="Buy",IF('Product Tracker'!AC388="",0,'Product Tracker'!AC388)-ROW()*0.0000001,-9999-ROW()*0.0000001)</f>
        <v/>
      </c>
      <c r="S388">
        <f>IF('Product Tracker'!BL388="Yes",IF('Product Tracker'!AC388="",0,'Product Tracker'!AC388)-ROW()*0.0000001,-9999-ROW()*0.0000001)</f>
        <v/>
      </c>
      <c r="T388">
        <f>IF(OR('Product Tracker'!AY388="High",'Product Tracker'!BA388="High",AND('Product Tracker'!AB388&lt;&gt;"",'Product Tracker'!AB388&lt;=2)),IF('Product Tracker'!AC388="",0,'Product Tracker'!AC388)-ROW()*0.0000001,-9999-ROW()*0.0000001)</f>
        <v/>
      </c>
    </row>
    <row r="389">
      <c r="R389">
        <f>IF('Product Tracker'!AD389="Buy",IF('Product Tracker'!AC389="",0,'Product Tracker'!AC389)-ROW()*0.0000001,-9999-ROW()*0.0000001)</f>
        <v/>
      </c>
      <c r="S389">
        <f>IF('Product Tracker'!BL389="Yes",IF('Product Tracker'!AC389="",0,'Product Tracker'!AC389)-ROW()*0.0000001,-9999-ROW()*0.0000001)</f>
        <v/>
      </c>
      <c r="T389">
        <f>IF(OR('Product Tracker'!AY389="High",'Product Tracker'!BA389="High",AND('Product Tracker'!AB389&lt;&gt;"",'Product Tracker'!AB389&lt;=2)),IF('Product Tracker'!AC389="",0,'Product Tracker'!AC389)-ROW()*0.0000001,-9999-ROW()*0.0000001)</f>
        <v/>
      </c>
    </row>
    <row r="390">
      <c r="R390">
        <f>IF('Product Tracker'!AD390="Buy",IF('Product Tracker'!AC390="",0,'Product Tracker'!AC390)-ROW()*0.0000001,-9999-ROW()*0.0000001)</f>
        <v/>
      </c>
      <c r="S390">
        <f>IF('Product Tracker'!BL390="Yes",IF('Product Tracker'!AC390="",0,'Product Tracker'!AC390)-ROW()*0.0000001,-9999-ROW()*0.0000001)</f>
        <v/>
      </c>
      <c r="T390">
        <f>IF(OR('Product Tracker'!AY390="High",'Product Tracker'!BA390="High",AND('Product Tracker'!AB390&lt;&gt;"",'Product Tracker'!AB390&lt;=2)),IF('Product Tracker'!AC390="",0,'Product Tracker'!AC390)-ROW()*0.0000001,-9999-ROW()*0.0000001)</f>
        <v/>
      </c>
    </row>
    <row r="391">
      <c r="R391">
        <f>IF('Product Tracker'!AD391="Buy",IF('Product Tracker'!AC391="",0,'Product Tracker'!AC391)-ROW()*0.0000001,-9999-ROW()*0.0000001)</f>
        <v/>
      </c>
      <c r="S391">
        <f>IF('Product Tracker'!BL391="Yes",IF('Product Tracker'!AC391="",0,'Product Tracker'!AC391)-ROW()*0.0000001,-9999-ROW()*0.0000001)</f>
        <v/>
      </c>
      <c r="T391">
        <f>IF(OR('Product Tracker'!AY391="High",'Product Tracker'!BA391="High",AND('Product Tracker'!AB391&lt;&gt;"",'Product Tracker'!AB391&lt;=2)),IF('Product Tracker'!AC391="",0,'Product Tracker'!AC391)-ROW()*0.0000001,-9999-ROW()*0.0000001)</f>
        <v/>
      </c>
    </row>
    <row r="392">
      <c r="R392">
        <f>IF('Product Tracker'!AD392="Buy",IF('Product Tracker'!AC392="",0,'Product Tracker'!AC392)-ROW()*0.0000001,-9999-ROW()*0.0000001)</f>
        <v/>
      </c>
      <c r="S392">
        <f>IF('Product Tracker'!BL392="Yes",IF('Product Tracker'!AC392="",0,'Product Tracker'!AC392)-ROW()*0.0000001,-9999-ROW()*0.0000001)</f>
        <v/>
      </c>
      <c r="T392">
        <f>IF(OR('Product Tracker'!AY392="High",'Product Tracker'!BA392="High",AND('Product Tracker'!AB392&lt;&gt;"",'Product Tracker'!AB392&lt;=2)),IF('Product Tracker'!AC392="",0,'Product Tracker'!AC392)-ROW()*0.0000001,-9999-ROW()*0.0000001)</f>
        <v/>
      </c>
    </row>
    <row r="393">
      <c r="R393">
        <f>IF('Product Tracker'!AD393="Buy",IF('Product Tracker'!AC393="",0,'Product Tracker'!AC393)-ROW()*0.0000001,-9999-ROW()*0.0000001)</f>
        <v/>
      </c>
      <c r="S393">
        <f>IF('Product Tracker'!BL393="Yes",IF('Product Tracker'!AC393="",0,'Product Tracker'!AC393)-ROW()*0.0000001,-9999-ROW()*0.0000001)</f>
        <v/>
      </c>
      <c r="T393">
        <f>IF(OR('Product Tracker'!AY393="High",'Product Tracker'!BA393="High",AND('Product Tracker'!AB393&lt;&gt;"",'Product Tracker'!AB393&lt;=2)),IF('Product Tracker'!AC393="",0,'Product Tracker'!AC393)-ROW()*0.0000001,-9999-ROW()*0.0000001)</f>
        <v/>
      </c>
    </row>
    <row r="394">
      <c r="R394">
        <f>IF('Product Tracker'!AD394="Buy",IF('Product Tracker'!AC394="",0,'Product Tracker'!AC394)-ROW()*0.0000001,-9999-ROW()*0.0000001)</f>
        <v/>
      </c>
      <c r="S394">
        <f>IF('Product Tracker'!BL394="Yes",IF('Product Tracker'!AC394="",0,'Product Tracker'!AC394)-ROW()*0.0000001,-9999-ROW()*0.0000001)</f>
        <v/>
      </c>
      <c r="T394">
        <f>IF(OR('Product Tracker'!AY394="High",'Product Tracker'!BA394="High",AND('Product Tracker'!AB394&lt;&gt;"",'Product Tracker'!AB394&lt;=2)),IF('Product Tracker'!AC394="",0,'Product Tracker'!AC394)-ROW()*0.0000001,-9999-ROW()*0.0000001)</f>
        <v/>
      </c>
    </row>
    <row r="395">
      <c r="R395">
        <f>IF('Product Tracker'!AD395="Buy",IF('Product Tracker'!AC395="",0,'Product Tracker'!AC395)-ROW()*0.0000001,-9999-ROW()*0.0000001)</f>
        <v/>
      </c>
      <c r="S395">
        <f>IF('Product Tracker'!BL395="Yes",IF('Product Tracker'!AC395="",0,'Product Tracker'!AC395)-ROW()*0.0000001,-9999-ROW()*0.0000001)</f>
        <v/>
      </c>
      <c r="T395">
        <f>IF(OR('Product Tracker'!AY395="High",'Product Tracker'!BA395="High",AND('Product Tracker'!AB395&lt;&gt;"",'Product Tracker'!AB395&lt;=2)),IF('Product Tracker'!AC395="",0,'Product Tracker'!AC395)-ROW()*0.0000001,-9999-ROW()*0.0000001)</f>
        <v/>
      </c>
    </row>
    <row r="396">
      <c r="R396">
        <f>IF('Product Tracker'!AD396="Buy",IF('Product Tracker'!AC396="",0,'Product Tracker'!AC396)-ROW()*0.0000001,-9999-ROW()*0.0000001)</f>
        <v/>
      </c>
      <c r="S396">
        <f>IF('Product Tracker'!BL396="Yes",IF('Product Tracker'!AC396="",0,'Product Tracker'!AC396)-ROW()*0.0000001,-9999-ROW()*0.0000001)</f>
        <v/>
      </c>
      <c r="T396">
        <f>IF(OR('Product Tracker'!AY396="High",'Product Tracker'!BA396="High",AND('Product Tracker'!AB396&lt;&gt;"",'Product Tracker'!AB396&lt;=2)),IF('Product Tracker'!AC396="",0,'Product Tracker'!AC396)-ROW()*0.0000001,-9999-ROW()*0.0000001)</f>
        <v/>
      </c>
    </row>
    <row r="397">
      <c r="R397">
        <f>IF('Product Tracker'!AD397="Buy",IF('Product Tracker'!AC397="",0,'Product Tracker'!AC397)-ROW()*0.0000001,-9999-ROW()*0.0000001)</f>
        <v/>
      </c>
      <c r="S397">
        <f>IF('Product Tracker'!BL397="Yes",IF('Product Tracker'!AC397="",0,'Product Tracker'!AC397)-ROW()*0.0000001,-9999-ROW()*0.0000001)</f>
        <v/>
      </c>
      <c r="T397">
        <f>IF(OR('Product Tracker'!AY397="High",'Product Tracker'!BA397="High",AND('Product Tracker'!AB397&lt;&gt;"",'Product Tracker'!AB397&lt;=2)),IF('Product Tracker'!AC397="",0,'Product Tracker'!AC397)-ROW()*0.0000001,-9999-ROW()*0.0000001)</f>
        <v/>
      </c>
    </row>
    <row r="398">
      <c r="R398">
        <f>IF('Product Tracker'!AD398="Buy",IF('Product Tracker'!AC398="",0,'Product Tracker'!AC398)-ROW()*0.0000001,-9999-ROW()*0.0000001)</f>
        <v/>
      </c>
      <c r="S398">
        <f>IF('Product Tracker'!BL398="Yes",IF('Product Tracker'!AC398="",0,'Product Tracker'!AC398)-ROW()*0.0000001,-9999-ROW()*0.0000001)</f>
        <v/>
      </c>
      <c r="T398">
        <f>IF(OR('Product Tracker'!AY398="High",'Product Tracker'!BA398="High",AND('Product Tracker'!AB398&lt;&gt;"",'Product Tracker'!AB398&lt;=2)),IF('Product Tracker'!AC398="",0,'Product Tracker'!AC398)-ROW()*0.0000001,-9999-ROW()*0.0000001)</f>
        <v/>
      </c>
    </row>
    <row r="399">
      <c r="R399">
        <f>IF('Product Tracker'!AD399="Buy",IF('Product Tracker'!AC399="",0,'Product Tracker'!AC399)-ROW()*0.0000001,-9999-ROW()*0.0000001)</f>
        <v/>
      </c>
      <c r="S399">
        <f>IF('Product Tracker'!BL399="Yes",IF('Product Tracker'!AC399="",0,'Product Tracker'!AC399)-ROW()*0.0000001,-9999-ROW()*0.0000001)</f>
        <v/>
      </c>
      <c r="T399">
        <f>IF(OR('Product Tracker'!AY399="High",'Product Tracker'!BA399="High",AND('Product Tracker'!AB399&lt;&gt;"",'Product Tracker'!AB399&lt;=2)),IF('Product Tracker'!AC399="",0,'Product Tracker'!AC399)-ROW()*0.0000001,-9999-ROW()*0.0000001)</f>
        <v/>
      </c>
    </row>
    <row r="400">
      <c r="R400">
        <f>IF('Product Tracker'!AD400="Buy",IF('Product Tracker'!AC400="",0,'Product Tracker'!AC400)-ROW()*0.0000001,-9999-ROW()*0.0000001)</f>
        <v/>
      </c>
      <c r="S400">
        <f>IF('Product Tracker'!BL400="Yes",IF('Product Tracker'!AC400="",0,'Product Tracker'!AC400)-ROW()*0.0000001,-9999-ROW()*0.0000001)</f>
        <v/>
      </c>
      <c r="T400">
        <f>IF(OR('Product Tracker'!AY400="High",'Product Tracker'!BA400="High",AND('Product Tracker'!AB400&lt;&gt;"",'Product Tracker'!AB400&lt;=2)),IF('Product Tracker'!AC400="",0,'Product Tracker'!AC400)-ROW()*0.0000001,-9999-ROW()*0.0000001)</f>
        <v/>
      </c>
    </row>
    <row r="401">
      <c r="R401">
        <f>IF('Product Tracker'!AD401="Buy",IF('Product Tracker'!AC401="",0,'Product Tracker'!AC401)-ROW()*0.0000001,-9999-ROW()*0.0000001)</f>
        <v/>
      </c>
      <c r="S401">
        <f>IF('Product Tracker'!BL401="Yes",IF('Product Tracker'!AC401="",0,'Product Tracker'!AC401)-ROW()*0.0000001,-9999-ROW()*0.0000001)</f>
        <v/>
      </c>
      <c r="T401">
        <f>IF(OR('Product Tracker'!AY401="High",'Product Tracker'!BA401="High",AND('Product Tracker'!AB401&lt;&gt;"",'Product Tracker'!AB401&lt;=2)),IF('Product Tracker'!AC401="",0,'Product Tracker'!AC401)-ROW()*0.0000001,-9999-ROW()*0.0000001)</f>
        <v/>
      </c>
    </row>
    <row r="402">
      <c r="R402">
        <f>IF('Product Tracker'!AD402="Buy",IF('Product Tracker'!AC402="",0,'Product Tracker'!AC402)-ROW()*0.0000001,-9999-ROW()*0.0000001)</f>
        <v/>
      </c>
      <c r="S402">
        <f>IF('Product Tracker'!BL402="Yes",IF('Product Tracker'!AC402="",0,'Product Tracker'!AC402)-ROW()*0.0000001,-9999-ROW()*0.0000001)</f>
        <v/>
      </c>
      <c r="T402">
        <f>IF(OR('Product Tracker'!AY402="High",'Product Tracker'!BA402="High",AND('Product Tracker'!AB402&lt;&gt;"",'Product Tracker'!AB402&lt;=2)),IF('Product Tracker'!AC402="",0,'Product Tracker'!AC402)-ROW()*0.0000001,-9999-ROW()*0.0000001)</f>
        <v/>
      </c>
    </row>
    <row r="403">
      <c r="R403">
        <f>IF('Product Tracker'!AD403="Buy",IF('Product Tracker'!AC403="",0,'Product Tracker'!AC403)-ROW()*0.0000001,-9999-ROW()*0.0000001)</f>
        <v/>
      </c>
      <c r="S403">
        <f>IF('Product Tracker'!BL403="Yes",IF('Product Tracker'!AC403="",0,'Product Tracker'!AC403)-ROW()*0.0000001,-9999-ROW()*0.0000001)</f>
        <v/>
      </c>
      <c r="T403">
        <f>IF(OR('Product Tracker'!AY403="High",'Product Tracker'!BA403="High",AND('Product Tracker'!AB403&lt;&gt;"",'Product Tracker'!AB403&lt;=2)),IF('Product Tracker'!AC403="",0,'Product Tracker'!AC403)-ROW()*0.0000001,-9999-ROW()*0.0000001)</f>
        <v/>
      </c>
    </row>
    <row r="404">
      <c r="R404">
        <f>IF('Product Tracker'!AD404="Buy",IF('Product Tracker'!AC404="",0,'Product Tracker'!AC404)-ROW()*0.0000001,-9999-ROW()*0.0000001)</f>
        <v/>
      </c>
      <c r="S404">
        <f>IF('Product Tracker'!BL404="Yes",IF('Product Tracker'!AC404="",0,'Product Tracker'!AC404)-ROW()*0.0000001,-9999-ROW()*0.0000001)</f>
        <v/>
      </c>
      <c r="T404">
        <f>IF(OR('Product Tracker'!AY404="High",'Product Tracker'!BA404="High",AND('Product Tracker'!AB404&lt;&gt;"",'Product Tracker'!AB404&lt;=2)),IF('Product Tracker'!AC404="",0,'Product Tracker'!AC404)-ROW()*0.0000001,-9999-ROW()*0.0000001)</f>
        <v/>
      </c>
    </row>
    <row r="405">
      <c r="R405">
        <f>IF('Product Tracker'!AD405="Buy",IF('Product Tracker'!AC405="",0,'Product Tracker'!AC405)-ROW()*0.0000001,-9999-ROW()*0.0000001)</f>
        <v/>
      </c>
      <c r="S405">
        <f>IF('Product Tracker'!BL405="Yes",IF('Product Tracker'!AC405="",0,'Product Tracker'!AC405)-ROW()*0.0000001,-9999-ROW()*0.0000001)</f>
        <v/>
      </c>
      <c r="T405">
        <f>IF(OR('Product Tracker'!AY405="High",'Product Tracker'!BA405="High",AND('Product Tracker'!AB405&lt;&gt;"",'Product Tracker'!AB405&lt;=2)),IF('Product Tracker'!AC405="",0,'Product Tracker'!AC405)-ROW()*0.0000001,-9999-ROW()*0.0000001)</f>
        <v/>
      </c>
    </row>
    <row r="406">
      <c r="R406">
        <f>IF('Product Tracker'!AD406="Buy",IF('Product Tracker'!AC406="",0,'Product Tracker'!AC406)-ROW()*0.0000001,-9999-ROW()*0.0000001)</f>
        <v/>
      </c>
      <c r="S406">
        <f>IF('Product Tracker'!BL406="Yes",IF('Product Tracker'!AC406="",0,'Product Tracker'!AC406)-ROW()*0.0000001,-9999-ROW()*0.0000001)</f>
        <v/>
      </c>
      <c r="T406">
        <f>IF(OR('Product Tracker'!AY406="High",'Product Tracker'!BA406="High",AND('Product Tracker'!AB406&lt;&gt;"",'Product Tracker'!AB406&lt;=2)),IF('Product Tracker'!AC406="",0,'Product Tracker'!AC406)-ROW()*0.0000001,-9999-ROW()*0.0000001)</f>
        <v/>
      </c>
    </row>
    <row r="407">
      <c r="R407">
        <f>IF('Product Tracker'!AD407="Buy",IF('Product Tracker'!AC407="",0,'Product Tracker'!AC407)-ROW()*0.0000001,-9999-ROW()*0.0000001)</f>
        <v/>
      </c>
      <c r="S407">
        <f>IF('Product Tracker'!BL407="Yes",IF('Product Tracker'!AC407="",0,'Product Tracker'!AC407)-ROW()*0.0000001,-9999-ROW()*0.0000001)</f>
        <v/>
      </c>
      <c r="T407">
        <f>IF(OR('Product Tracker'!AY407="High",'Product Tracker'!BA407="High",AND('Product Tracker'!AB407&lt;&gt;"",'Product Tracker'!AB407&lt;=2)),IF('Product Tracker'!AC407="",0,'Product Tracker'!AC407)-ROW()*0.0000001,-9999-ROW()*0.0000001)</f>
        <v/>
      </c>
    </row>
    <row r="408">
      <c r="R408">
        <f>IF('Product Tracker'!AD408="Buy",IF('Product Tracker'!AC408="",0,'Product Tracker'!AC408)-ROW()*0.0000001,-9999-ROW()*0.0000001)</f>
        <v/>
      </c>
      <c r="S408">
        <f>IF('Product Tracker'!BL408="Yes",IF('Product Tracker'!AC408="",0,'Product Tracker'!AC408)-ROW()*0.0000001,-9999-ROW()*0.0000001)</f>
        <v/>
      </c>
      <c r="T408">
        <f>IF(OR('Product Tracker'!AY408="High",'Product Tracker'!BA408="High",AND('Product Tracker'!AB408&lt;&gt;"",'Product Tracker'!AB408&lt;=2)),IF('Product Tracker'!AC408="",0,'Product Tracker'!AC408)-ROW()*0.0000001,-9999-ROW()*0.0000001)</f>
        <v/>
      </c>
    </row>
    <row r="409">
      <c r="R409">
        <f>IF('Product Tracker'!AD409="Buy",IF('Product Tracker'!AC409="",0,'Product Tracker'!AC409)-ROW()*0.0000001,-9999-ROW()*0.0000001)</f>
        <v/>
      </c>
      <c r="S409">
        <f>IF('Product Tracker'!BL409="Yes",IF('Product Tracker'!AC409="",0,'Product Tracker'!AC409)-ROW()*0.0000001,-9999-ROW()*0.0000001)</f>
        <v/>
      </c>
      <c r="T409">
        <f>IF(OR('Product Tracker'!AY409="High",'Product Tracker'!BA409="High",AND('Product Tracker'!AB409&lt;&gt;"",'Product Tracker'!AB409&lt;=2)),IF('Product Tracker'!AC409="",0,'Product Tracker'!AC409)-ROW()*0.0000001,-9999-ROW()*0.0000001)</f>
        <v/>
      </c>
    </row>
    <row r="410">
      <c r="R410">
        <f>IF('Product Tracker'!AD410="Buy",IF('Product Tracker'!AC410="",0,'Product Tracker'!AC410)-ROW()*0.0000001,-9999-ROW()*0.0000001)</f>
        <v/>
      </c>
      <c r="S410">
        <f>IF('Product Tracker'!BL410="Yes",IF('Product Tracker'!AC410="",0,'Product Tracker'!AC410)-ROW()*0.0000001,-9999-ROW()*0.0000001)</f>
        <v/>
      </c>
      <c r="T410">
        <f>IF(OR('Product Tracker'!AY410="High",'Product Tracker'!BA410="High",AND('Product Tracker'!AB410&lt;&gt;"",'Product Tracker'!AB410&lt;=2)),IF('Product Tracker'!AC410="",0,'Product Tracker'!AC410)-ROW()*0.0000001,-9999-ROW()*0.0000001)</f>
        <v/>
      </c>
    </row>
    <row r="411">
      <c r="R411">
        <f>IF('Product Tracker'!AD411="Buy",IF('Product Tracker'!AC411="",0,'Product Tracker'!AC411)-ROW()*0.0000001,-9999-ROW()*0.0000001)</f>
        <v/>
      </c>
      <c r="S411">
        <f>IF('Product Tracker'!BL411="Yes",IF('Product Tracker'!AC411="",0,'Product Tracker'!AC411)-ROW()*0.0000001,-9999-ROW()*0.0000001)</f>
        <v/>
      </c>
      <c r="T411">
        <f>IF(OR('Product Tracker'!AY411="High",'Product Tracker'!BA411="High",AND('Product Tracker'!AB411&lt;&gt;"",'Product Tracker'!AB411&lt;=2)),IF('Product Tracker'!AC411="",0,'Product Tracker'!AC411)-ROW()*0.0000001,-9999-ROW()*0.0000001)</f>
        <v/>
      </c>
    </row>
    <row r="412">
      <c r="R412">
        <f>IF('Product Tracker'!AD412="Buy",IF('Product Tracker'!AC412="",0,'Product Tracker'!AC412)-ROW()*0.0000001,-9999-ROW()*0.0000001)</f>
        <v/>
      </c>
      <c r="S412">
        <f>IF('Product Tracker'!BL412="Yes",IF('Product Tracker'!AC412="",0,'Product Tracker'!AC412)-ROW()*0.0000001,-9999-ROW()*0.0000001)</f>
        <v/>
      </c>
      <c r="T412">
        <f>IF(OR('Product Tracker'!AY412="High",'Product Tracker'!BA412="High",AND('Product Tracker'!AB412&lt;&gt;"",'Product Tracker'!AB412&lt;=2)),IF('Product Tracker'!AC412="",0,'Product Tracker'!AC412)-ROW()*0.0000001,-9999-ROW()*0.0000001)</f>
        <v/>
      </c>
    </row>
    <row r="413">
      <c r="R413">
        <f>IF('Product Tracker'!AD413="Buy",IF('Product Tracker'!AC413="",0,'Product Tracker'!AC413)-ROW()*0.0000001,-9999-ROW()*0.0000001)</f>
        <v/>
      </c>
      <c r="S413">
        <f>IF('Product Tracker'!BL413="Yes",IF('Product Tracker'!AC413="",0,'Product Tracker'!AC413)-ROW()*0.0000001,-9999-ROW()*0.0000001)</f>
        <v/>
      </c>
      <c r="T413">
        <f>IF(OR('Product Tracker'!AY413="High",'Product Tracker'!BA413="High",AND('Product Tracker'!AB413&lt;&gt;"",'Product Tracker'!AB413&lt;=2)),IF('Product Tracker'!AC413="",0,'Product Tracker'!AC413)-ROW()*0.0000001,-9999-ROW()*0.0000001)</f>
        <v/>
      </c>
    </row>
    <row r="414">
      <c r="R414">
        <f>IF('Product Tracker'!AD414="Buy",IF('Product Tracker'!AC414="",0,'Product Tracker'!AC414)-ROW()*0.0000001,-9999-ROW()*0.0000001)</f>
        <v/>
      </c>
      <c r="S414">
        <f>IF('Product Tracker'!BL414="Yes",IF('Product Tracker'!AC414="",0,'Product Tracker'!AC414)-ROW()*0.0000001,-9999-ROW()*0.0000001)</f>
        <v/>
      </c>
      <c r="T414">
        <f>IF(OR('Product Tracker'!AY414="High",'Product Tracker'!BA414="High",AND('Product Tracker'!AB414&lt;&gt;"",'Product Tracker'!AB414&lt;=2)),IF('Product Tracker'!AC414="",0,'Product Tracker'!AC414)-ROW()*0.0000001,-9999-ROW()*0.0000001)</f>
        <v/>
      </c>
    </row>
    <row r="415">
      <c r="R415">
        <f>IF('Product Tracker'!AD415="Buy",IF('Product Tracker'!AC415="",0,'Product Tracker'!AC415)-ROW()*0.0000001,-9999-ROW()*0.0000001)</f>
        <v/>
      </c>
      <c r="S415">
        <f>IF('Product Tracker'!BL415="Yes",IF('Product Tracker'!AC415="",0,'Product Tracker'!AC415)-ROW()*0.0000001,-9999-ROW()*0.0000001)</f>
        <v/>
      </c>
      <c r="T415">
        <f>IF(OR('Product Tracker'!AY415="High",'Product Tracker'!BA415="High",AND('Product Tracker'!AB415&lt;&gt;"",'Product Tracker'!AB415&lt;=2)),IF('Product Tracker'!AC415="",0,'Product Tracker'!AC415)-ROW()*0.0000001,-9999-ROW()*0.0000001)</f>
        <v/>
      </c>
    </row>
    <row r="416">
      <c r="R416">
        <f>IF('Product Tracker'!AD416="Buy",IF('Product Tracker'!AC416="",0,'Product Tracker'!AC416)-ROW()*0.0000001,-9999-ROW()*0.0000001)</f>
        <v/>
      </c>
      <c r="S416">
        <f>IF('Product Tracker'!BL416="Yes",IF('Product Tracker'!AC416="",0,'Product Tracker'!AC416)-ROW()*0.0000001,-9999-ROW()*0.0000001)</f>
        <v/>
      </c>
      <c r="T416">
        <f>IF(OR('Product Tracker'!AY416="High",'Product Tracker'!BA416="High",AND('Product Tracker'!AB416&lt;&gt;"",'Product Tracker'!AB416&lt;=2)),IF('Product Tracker'!AC416="",0,'Product Tracker'!AC416)-ROW()*0.0000001,-9999-ROW()*0.0000001)</f>
        <v/>
      </c>
    </row>
    <row r="417">
      <c r="R417">
        <f>IF('Product Tracker'!AD417="Buy",IF('Product Tracker'!AC417="",0,'Product Tracker'!AC417)-ROW()*0.0000001,-9999-ROW()*0.0000001)</f>
        <v/>
      </c>
      <c r="S417">
        <f>IF('Product Tracker'!BL417="Yes",IF('Product Tracker'!AC417="",0,'Product Tracker'!AC417)-ROW()*0.0000001,-9999-ROW()*0.0000001)</f>
        <v/>
      </c>
      <c r="T417">
        <f>IF(OR('Product Tracker'!AY417="High",'Product Tracker'!BA417="High",AND('Product Tracker'!AB417&lt;&gt;"",'Product Tracker'!AB417&lt;=2)),IF('Product Tracker'!AC417="",0,'Product Tracker'!AC417)-ROW()*0.0000001,-9999-ROW()*0.0000001)</f>
        <v/>
      </c>
    </row>
    <row r="418">
      <c r="R418">
        <f>IF('Product Tracker'!AD418="Buy",IF('Product Tracker'!AC418="",0,'Product Tracker'!AC418)-ROW()*0.0000001,-9999-ROW()*0.0000001)</f>
        <v/>
      </c>
      <c r="S418">
        <f>IF('Product Tracker'!BL418="Yes",IF('Product Tracker'!AC418="",0,'Product Tracker'!AC418)-ROW()*0.0000001,-9999-ROW()*0.0000001)</f>
        <v/>
      </c>
      <c r="T418">
        <f>IF(OR('Product Tracker'!AY418="High",'Product Tracker'!BA418="High",AND('Product Tracker'!AB418&lt;&gt;"",'Product Tracker'!AB418&lt;=2)),IF('Product Tracker'!AC418="",0,'Product Tracker'!AC418)-ROW()*0.0000001,-9999-ROW()*0.0000001)</f>
        <v/>
      </c>
    </row>
    <row r="419">
      <c r="R419">
        <f>IF('Product Tracker'!AD419="Buy",IF('Product Tracker'!AC419="",0,'Product Tracker'!AC419)-ROW()*0.0000001,-9999-ROW()*0.0000001)</f>
        <v/>
      </c>
      <c r="S419">
        <f>IF('Product Tracker'!BL419="Yes",IF('Product Tracker'!AC419="",0,'Product Tracker'!AC419)-ROW()*0.0000001,-9999-ROW()*0.0000001)</f>
        <v/>
      </c>
      <c r="T419">
        <f>IF(OR('Product Tracker'!AY419="High",'Product Tracker'!BA419="High",AND('Product Tracker'!AB419&lt;&gt;"",'Product Tracker'!AB419&lt;=2)),IF('Product Tracker'!AC419="",0,'Product Tracker'!AC419)-ROW()*0.0000001,-9999-ROW()*0.0000001)</f>
        <v/>
      </c>
    </row>
    <row r="420">
      <c r="R420">
        <f>IF('Product Tracker'!AD420="Buy",IF('Product Tracker'!AC420="",0,'Product Tracker'!AC420)-ROW()*0.0000001,-9999-ROW()*0.0000001)</f>
        <v/>
      </c>
      <c r="S420">
        <f>IF('Product Tracker'!BL420="Yes",IF('Product Tracker'!AC420="",0,'Product Tracker'!AC420)-ROW()*0.0000001,-9999-ROW()*0.0000001)</f>
        <v/>
      </c>
      <c r="T420">
        <f>IF(OR('Product Tracker'!AY420="High",'Product Tracker'!BA420="High",AND('Product Tracker'!AB420&lt;&gt;"",'Product Tracker'!AB420&lt;=2)),IF('Product Tracker'!AC420="",0,'Product Tracker'!AC420)-ROW()*0.0000001,-9999-ROW()*0.0000001)</f>
        <v/>
      </c>
    </row>
    <row r="421">
      <c r="R421">
        <f>IF('Product Tracker'!AD421="Buy",IF('Product Tracker'!AC421="",0,'Product Tracker'!AC421)-ROW()*0.0000001,-9999-ROW()*0.0000001)</f>
        <v/>
      </c>
      <c r="S421">
        <f>IF('Product Tracker'!BL421="Yes",IF('Product Tracker'!AC421="",0,'Product Tracker'!AC421)-ROW()*0.0000001,-9999-ROW()*0.0000001)</f>
        <v/>
      </c>
      <c r="T421">
        <f>IF(OR('Product Tracker'!AY421="High",'Product Tracker'!BA421="High",AND('Product Tracker'!AB421&lt;&gt;"",'Product Tracker'!AB421&lt;=2)),IF('Product Tracker'!AC421="",0,'Product Tracker'!AC421)-ROW()*0.0000001,-9999-ROW()*0.0000001)</f>
        <v/>
      </c>
    </row>
    <row r="422">
      <c r="R422">
        <f>IF('Product Tracker'!AD422="Buy",IF('Product Tracker'!AC422="",0,'Product Tracker'!AC422)-ROW()*0.0000001,-9999-ROW()*0.0000001)</f>
        <v/>
      </c>
      <c r="S422">
        <f>IF('Product Tracker'!BL422="Yes",IF('Product Tracker'!AC422="",0,'Product Tracker'!AC422)-ROW()*0.0000001,-9999-ROW()*0.0000001)</f>
        <v/>
      </c>
      <c r="T422">
        <f>IF(OR('Product Tracker'!AY422="High",'Product Tracker'!BA422="High",AND('Product Tracker'!AB422&lt;&gt;"",'Product Tracker'!AB422&lt;=2)),IF('Product Tracker'!AC422="",0,'Product Tracker'!AC422)-ROW()*0.0000001,-9999-ROW()*0.0000001)</f>
        <v/>
      </c>
    </row>
    <row r="423">
      <c r="R423">
        <f>IF('Product Tracker'!AD423="Buy",IF('Product Tracker'!AC423="",0,'Product Tracker'!AC423)-ROW()*0.0000001,-9999-ROW()*0.0000001)</f>
        <v/>
      </c>
      <c r="S423">
        <f>IF('Product Tracker'!BL423="Yes",IF('Product Tracker'!AC423="",0,'Product Tracker'!AC423)-ROW()*0.0000001,-9999-ROW()*0.0000001)</f>
        <v/>
      </c>
      <c r="T423">
        <f>IF(OR('Product Tracker'!AY423="High",'Product Tracker'!BA423="High",AND('Product Tracker'!AB423&lt;&gt;"",'Product Tracker'!AB423&lt;=2)),IF('Product Tracker'!AC423="",0,'Product Tracker'!AC423)-ROW()*0.0000001,-9999-ROW()*0.0000001)</f>
        <v/>
      </c>
    </row>
    <row r="424">
      <c r="R424">
        <f>IF('Product Tracker'!AD424="Buy",IF('Product Tracker'!AC424="",0,'Product Tracker'!AC424)-ROW()*0.0000001,-9999-ROW()*0.0000001)</f>
        <v/>
      </c>
      <c r="S424">
        <f>IF('Product Tracker'!BL424="Yes",IF('Product Tracker'!AC424="",0,'Product Tracker'!AC424)-ROW()*0.0000001,-9999-ROW()*0.0000001)</f>
        <v/>
      </c>
      <c r="T424">
        <f>IF(OR('Product Tracker'!AY424="High",'Product Tracker'!BA424="High",AND('Product Tracker'!AB424&lt;&gt;"",'Product Tracker'!AB424&lt;=2)),IF('Product Tracker'!AC424="",0,'Product Tracker'!AC424)-ROW()*0.0000001,-9999-ROW()*0.0000001)</f>
        <v/>
      </c>
    </row>
    <row r="425">
      <c r="R425">
        <f>IF('Product Tracker'!AD425="Buy",IF('Product Tracker'!AC425="",0,'Product Tracker'!AC425)-ROW()*0.0000001,-9999-ROW()*0.0000001)</f>
        <v/>
      </c>
      <c r="S425">
        <f>IF('Product Tracker'!BL425="Yes",IF('Product Tracker'!AC425="",0,'Product Tracker'!AC425)-ROW()*0.0000001,-9999-ROW()*0.0000001)</f>
        <v/>
      </c>
      <c r="T425">
        <f>IF(OR('Product Tracker'!AY425="High",'Product Tracker'!BA425="High",AND('Product Tracker'!AB425&lt;&gt;"",'Product Tracker'!AB425&lt;=2)),IF('Product Tracker'!AC425="",0,'Product Tracker'!AC425)-ROW()*0.0000001,-9999-ROW()*0.0000001)</f>
        <v/>
      </c>
    </row>
    <row r="426">
      <c r="R426">
        <f>IF('Product Tracker'!AD426="Buy",IF('Product Tracker'!AC426="",0,'Product Tracker'!AC426)-ROW()*0.0000001,-9999-ROW()*0.0000001)</f>
        <v/>
      </c>
      <c r="S426">
        <f>IF('Product Tracker'!BL426="Yes",IF('Product Tracker'!AC426="",0,'Product Tracker'!AC426)-ROW()*0.0000001,-9999-ROW()*0.0000001)</f>
        <v/>
      </c>
      <c r="T426">
        <f>IF(OR('Product Tracker'!AY426="High",'Product Tracker'!BA426="High",AND('Product Tracker'!AB426&lt;&gt;"",'Product Tracker'!AB426&lt;=2)),IF('Product Tracker'!AC426="",0,'Product Tracker'!AC426)-ROW()*0.0000001,-9999-ROW()*0.0000001)</f>
        <v/>
      </c>
    </row>
    <row r="427">
      <c r="R427">
        <f>IF('Product Tracker'!AD427="Buy",IF('Product Tracker'!AC427="",0,'Product Tracker'!AC427)-ROW()*0.0000001,-9999-ROW()*0.0000001)</f>
        <v/>
      </c>
      <c r="S427">
        <f>IF('Product Tracker'!BL427="Yes",IF('Product Tracker'!AC427="",0,'Product Tracker'!AC427)-ROW()*0.0000001,-9999-ROW()*0.0000001)</f>
        <v/>
      </c>
      <c r="T427">
        <f>IF(OR('Product Tracker'!AY427="High",'Product Tracker'!BA427="High",AND('Product Tracker'!AB427&lt;&gt;"",'Product Tracker'!AB427&lt;=2)),IF('Product Tracker'!AC427="",0,'Product Tracker'!AC427)-ROW()*0.0000001,-9999-ROW()*0.0000001)</f>
        <v/>
      </c>
    </row>
    <row r="428">
      <c r="R428">
        <f>IF('Product Tracker'!AD428="Buy",IF('Product Tracker'!AC428="",0,'Product Tracker'!AC428)-ROW()*0.0000001,-9999-ROW()*0.0000001)</f>
        <v/>
      </c>
      <c r="S428">
        <f>IF('Product Tracker'!BL428="Yes",IF('Product Tracker'!AC428="",0,'Product Tracker'!AC428)-ROW()*0.0000001,-9999-ROW()*0.0000001)</f>
        <v/>
      </c>
      <c r="T428">
        <f>IF(OR('Product Tracker'!AY428="High",'Product Tracker'!BA428="High",AND('Product Tracker'!AB428&lt;&gt;"",'Product Tracker'!AB428&lt;=2)),IF('Product Tracker'!AC428="",0,'Product Tracker'!AC428)-ROW()*0.0000001,-9999-ROW()*0.0000001)</f>
        <v/>
      </c>
    </row>
    <row r="429">
      <c r="R429">
        <f>IF('Product Tracker'!AD429="Buy",IF('Product Tracker'!AC429="",0,'Product Tracker'!AC429)-ROW()*0.0000001,-9999-ROW()*0.0000001)</f>
        <v/>
      </c>
      <c r="S429">
        <f>IF('Product Tracker'!BL429="Yes",IF('Product Tracker'!AC429="",0,'Product Tracker'!AC429)-ROW()*0.0000001,-9999-ROW()*0.0000001)</f>
        <v/>
      </c>
      <c r="T429">
        <f>IF(OR('Product Tracker'!AY429="High",'Product Tracker'!BA429="High",AND('Product Tracker'!AB429&lt;&gt;"",'Product Tracker'!AB429&lt;=2)),IF('Product Tracker'!AC429="",0,'Product Tracker'!AC429)-ROW()*0.0000001,-9999-ROW()*0.0000001)</f>
        <v/>
      </c>
    </row>
    <row r="430">
      <c r="R430">
        <f>IF('Product Tracker'!AD430="Buy",IF('Product Tracker'!AC430="",0,'Product Tracker'!AC430)-ROW()*0.0000001,-9999-ROW()*0.0000001)</f>
        <v/>
      </c>
      <c r="S430">
        <f>IF('Product Tracker'!BL430="Yes",IF('Product Tracker'!AC430="",0,'Product Tracker'!AC430)-ROW()*0.0000001,-9999-ROW()*0.0000001)</f>
        <v/>
      </c>
      <c r="T430">
        <f>IF(OR('Product Tracker'!AY430="High",'Product Tracker'!BA430="High",AND('Product Tracker'!AB430&lt;&gt;"",'Product Tracker'!AB430&lt;=2)),IF('Product Tracker'!AC430="",0,'Product Tracker'!AC430)-ROW()*0.0000001,-9999-ROW()*0.0000001)</f>
        <v/>
      </c>
    </row>
    <row r="431">
      <c r="R431">
        <f>IF('Product Tracker'!AD431="Buy",IF('Product Tracker'!AC431="",0,'Product Tracker'!AC431)-ROW()*0.0000001,-9999-ROW()*0.0000001)</f>
        <v/>
      </c>
      <c r="S431">
        <f>IF('Product Tracker'!BL431="Yes",IF('Product Tracker'!AC431="",0,'Product Tracker'!AC431)-ROW()*0.0000001,-9999-ROW()*0.0000001)</f>
        <v/>
      </c>
      <c r="T431">
        <f>IF(OR('Product Tracker'!AY431="High",'Product Tracker'!BA431="High",AND('Product Tracker'!AB431&lt;&gt;"",'Product Tracker'!AB431&lt;=2)),IF('Product Tracker'!AC431="",0,'Product Tracker'!AC431)-ROW()*0.0000001,-9999-ROW()*0.0000001)</f>
        <v/>
      </c>
    </row>
    <row r="432">
      <c r="R432">
        <f>IF('Product Tracker'!AD432="Buy",IF('Product Tracker'!AC432="",0,'Product Tracker'!AC432)-ROW()*0.0000001,-9999-ROW()*0.0000001)</f>
        <v/>
      </c>
      <c r="S432">
        <f>IF('Product Tracker'!BL432="Yes",IF('Product Tracker'!AC432="",0,'Product Tracker'!AC432)-ROW()*0.0000001,-9999-ROW()*0.0000001)</f>
        <v/>
      </c>
      <c r="T432">
        <f>IF(OR('Product Tracker'!AY432="High",'Product Tracker'!BA432="High",AND('Product Tracker'!AB432&lt;&gt;"",'Product Tracker'!AB432&lt;=2)),IF('Product Tracker'!AC432="",0,'Product Tracker'!AC432)-ROW()*0.0000001,-9999-ROW()*0.0000001)</f>
        <v/>
      </c>
    </row>
    <row r="433">
      <c r="R433">
        <f>IF('Product Tracker'!AD433="Buy",IF('Product Tracker'!AC433="",0,'Product Tracker'!AC433)-ROW()*0.0000001,-9999-ROW()*0.0000001)</f>
        <v/>
      </c>
      <c r="S433">
        <f>IF('Product Tracker'!BL433="Yes",IF('Product Tracker'!AC433="",0,'Product Tracker'!AC433)-ROW()*0.0000001,-9999-ROW()*0.0000001)</f>
        <v/>
      </c>
      <c r="T433">
        <f>IF(OR('Product Tracker'!AY433="High",'Product Tracker'!BA433="High",AND('Product Tracker'!AB433&lt;&gt;"",'Product Tracker'!AB433&lt;=2)),IF('Product Tracker'!AC433="",0,'Product Tracker'!AC433)-ROW()*0.0000001,-9999-ROW()*0.0000001)</f>
        <v/>
      </c>
    </row>
    <row r="434">
      <c r="R434">
        <f>IF('Product Tracker'!AD434="Buy",IF('Product Tracker'!AC434="",0,'Product Tracker'!AC434)-ROW()*0.0000001,-9999-ROW()*0.0000001)</f>
        <v/>
      </c>
      <c r="S434">
        <f>IF('Product Tracker'!BL434="Yes",IF('Product Tracker'!AC434="",0,'Product Tracker'!AC434)-ROW()*0.0000001,-9999-ROW()*0.0000001)</f>
        <v/>
      </c>
      <c r="T434">
        <f>IF(OR('Product Tracker'!AY434="High",'Product Tracker'!BA434="High",AND('Product Tracker'!AB434&lt;&gt;"",'Product Tracker'!AB434&lt;=2)),IF('Product Tracker'!AC434="",0,'Product Tracker'!AC434)-ROW()*0.0000001,-9999-ROW()*0.0000001)</f>
        <v/>
      </c>
    </row>
    <row r="435">
      <c r="R435">
        <f>IF('Product Tracker'!AD435="Buy",IF('Product Tracker'!AC435="",0,'Product Tracker'!AC435)-ROW()*0.0000001,-9999-ROW()*0.0000001)</f>
        <v/>
      </c>
      <c r="S435">
        <f>IF('Product Tracker'!BL435="Yes",IF('Product Tracker'!AC435="",0,'Product Tracker'!AC435)-ROW()*0.0000001,-9999-ROW()*0.0000001)</f>
        <v/>
      </c>
      <c r="T435">
        <f>IF(OR('Product Tracker'!AY435="High",'Product Tracker'!BA435="High",AND('Product Tracker'!AB435&lt;&gt;"",'Product Tracker'!AB435&lt;=2)),IF('Product Tracker'!AC435="",0,'Product Tracker'!AC435)-ROW()*0.0000001,-9999-ROW()*0.0000001)</f>
        <v/>
      </c>
    </row>
    <row r="436">
      <c r="R436">
        <f>IF('Product Tracker'!AD436="Buy",IF('Product Tracker'!AC436="",0,'Product Tracker'!AC436)-ROW()*0.0000001,-9999-ROW()*0.0000001)</f>
        <v/>
      </c>
      <c r="S436">
        <f>IF('Product Tracker'!BL436="Yes",IF('Product Tracker'!AC436="",0,'Product Tracker'!AC436)-ROW()*0.0000001,-9999-ROW()*0.0000001)</f>
        <v/>
      </c>
      <c r="T436">
        <f>IF(OR('Product Tracker'!AY436="High",'Product Tracker'!BA436="High",AND('Product Tracker'!AB436&lt;&gt;"",'Product Tracker'!AB436&lt;=2)),IF('Product Tracker'!AC436="",0,'Product Tracker'!AC436)-ROW()*0.0000001,-9999-ROW()*0.0000001)</f>
        <v/>
      </c>
    </row>
    <row r="437">
      <c r="R437">
        <f>IF('Product Tracker'!AD437="Buy",IF('Product Tracker'!AC437="",0,'Product Tracker'!AC437)-ROW()*0.0000001,-9999-ROW()*0.0000001)</f>
        <v/>
      </c>
      <c r="S437">
        <f>IF('Product Tracker'!BL437="Yes",IF('Product Tracker'!AC437="",0,'Product Tracker'!AC437)-ROW()*0.0000001,-9999-ROW()*0.0000001)</f>
        <v/>
      </c>
      <c r="T437">
        <f>IF(OR('Product Tracker'!AY437="High",'Product Tracker'!BA437="High",AND('Product Tracker'!AB437&lt;&gt;"",'Product Tracker'!AB437&lt;=2)),IF('Product Tracker'!AC437="",0,'Product Tracker'!AC437)-ROW()*0.0000001,-9999-ROW()*0.0000001)</f>
        <v/>
      </c>
    </row>
    <row r="438">
      <c r="R438">
        <f>IF('Product Tracker'!AD438="Buy",IF('Product Tracker'!AC438="",0,'Product Tracker'!AC438)-ROW()*0.0000001,-9999-ROW()*0.0000001)</f>
        <v/>
      </c>
      <c r="S438">
        <f>IF('Product Tracker'!BL438="Yes",IF('Product Tracker'!AC438="",0,'Product Tracker'!AC438)-ROW()*0.0000001,-9999-ROW()*0.0000001)</f>
        <v/>
      </c>
      <c r="T438">
        <f>IF(OR('Product Tracker'!AY438="High",'Product Tracker'!BA438="High",AND('Product Tracker'!AB438&lt;&gt;"",'Product Tracker'!AB438&lt;=2)),IF('Product Tracker'!AC438="",0,'Product Tracker'!AC438)-ROW()*0.0000001,-9999-ROW()*0.0000001)</f>
        <v/>
      </c>
    </row>
    <row r="439">
      <c r="R439">
        <f>IF('Product Tracker'!AD439="Buy",IF('Product Tracker'!AC439="",0,'Product Tracker'!AC439)-ROW()*0.0000001,-9999-ROW()*0.0000001)</f>
        <v/>
      </c>
      <c r="S439">
        <f>IF('Product Tracker'!BL439="Yes",IF('Product Tracker'!AC439="",0,'Product Tracker'!AC439)-ROW()*0.0000001,-9999-ROW()*0.0000001)</f>
        <v/>
      </c>
      <c r="T439">
        <f>IF(OR('Product Tracker'!AY439="High",'Product Tracker'!BA439="High",AND('Product Tracker'!AB439&lt;&gt;"",'Product Tracker'!AB439&lt;=2)),IF('Product Tracker'!AC439="",0,'Product Tracker'!AC439)-ROW()*0.0000001,-9999-ROW()*0.0000001)</f>
        <v/>
      </c>
    </row>
    <row r="440">
      <c r="R440">
        <f>IF('Product Tracker'!AD440="Buy",IF('Product Tracker'!AC440="",0,'Product Tracker'!AC440)-ROW()*0.0000001,-9999-ROW()*0.0000001)</f>
        <v/>
      </c>
      <c r="S440">
        <f>IF('Product Tracker'!BL440="Yes",IF('Product Tracker'!AC440="",0,'Product Tracker'!AC440)-ROW()*0.0000001,-9999-ROW()*0.0000001)</f>
        <v/>
      </c>
      <c r="T440">
        <f>IF(OR('Product Tracker'!AY440="High",'Product Tracker'!BA440="High",AND('Product Tracker'!AB440&lt;&gt;"",'Product Tracker'!AB440&lt;=2)),IF('Product Tracker'!AC440="",0,'Product Tracker'!AC440)-ROW()*0.0000001,-9999-ROW()*0.0000001)</f>
        <v/>
      </c>
    </row>
    <row r="441">
      <c r="R441">
        <f>IF('Product Tracker'!AD441="Buy",IF('Product Tracker'!AC441="",0,'Product Tracker'!AC441)-ROW()*0.0000001,-9999-ROW()*0.0000001)</f>
        <v/>
      </c>
      <c r="S441">
        <f>IF('Product Tracker'!BL441="Yes",IF('Product Tracker'!AC441="",0,'Product Tracker'!AC441)-ROW()*0.0000001,-9999-ROW()*0.0000001)</f>
        <v/>
      </c>
      <c r="T441">
        <f>IF(OR('Product Tracker'!AY441="High",'Product Tracker'!BA441="High",AND('Product Tracker'!AB441&lt;&gt;"",'Product Tracker'!AB441&lt;=2)),IF('Product Tracker'!AC441="",0,'Product Tracker'!AC441)-ROW()*0.0000001,-9999-ROW()*0.0000001)</f>
        <v/>
      </c>
    </row>
    <row r="442">
      <c r="R442">
        <f>IF('Product Tracker'!AD442="Buy",IF('Product Tracker'!AC442="",0,'Product Tracker'!AC442)-ROW()*0.0000001,-9999-ROW()*0.0000001)</f>
        <v/>
      </c>
      <c r="S442">
        <f>IF('Product Tracker'!BL442="Yes",IF('Product Tracker'!AC442="",0,'Product Tracker'!AC442)-ROW()*0.0000001,-9999-ROW()*0.0000001)</f>
        <v/>
      </c>
      <c r="T442">
        <f>IF(OR('Product Tracker'!AY442="High",'Product Tracker'!BA442="High",AND('Product Tracker'!AB442&lt;&gt;"",'Product Tracker'!AB442&lt;=2)),IF('Product Tracker'!AC442="",0,'Product Tracker'!AC442)-ROW()*0.0000001,-9999-ROW()*0.0000001)</f>
        <v/>
      </c>
    </row>
    <row r="443">
      <c r="R443">
        <f>IF('Product Tracker'!AD443="Buy",IF('Product Tracker'!AC443="",0,'Product Tracker'!AC443)-ROW()*0.0000001,-9999-ROW()*0.0000001)</f>
        <v/>
      </c>
      <c r="S443">
        <f>IF('Product Tracker'!BL443="Yes",IF('Product Tracker'!AC443="",0,'Product Tracker'!AC443)-ROW()*0.0000001,-9999-ROW()*0.0000001)</f>
        <v/>
      </c>
      <c r="T443">
        <f>IF(OR('Product Tracker'!AY443="High",'Product Tracker'!BA443="High",AND('Product Tracker'!AB443&lt;&gt;"",'Product Tracker'!AB443&lt;=2)),IF('Product Tracker'!AC443="",0,'Product Tracker'!AC443)-ROW()*0.0000001,-9999-ROW()*0.0000001)</f>
        <v/>
      </c>
    </row>
    <row r="444">
      <c r="R444">
        <f>IF('Product Tracker'!AD444="Buy",IF('Product Tracker'!AC444="",0,'Product Tracker'!AC444)-ROW()*0.0000001,-9999-ROW()*0.0000001)</f>
        <v/>
      </c>
      <c r="S444">
        <f>IF('Product Tracker'!BL444="Yes",IF('Product Tracker'!AC444="",0,'Product Tracker'!AC444)-ROW()*0.0000001,-9999-ROW()*0.0000001)</f>
        <v/>
      </c>
      <c r="T444">
        <f>IF(OR('Product Tracker'!AY444="High",'Product Tracker'!BA444="High",AND('Product Tracker'!AB444&lt;&gt;"",'Product Tracker'!AB444&lt;=2)),IF('Product Tracker'!AC444="",0,'Product Tracker'!AC444)-ROW()*0.0000001,-9999-ROW()*0.0000001)</f>
        <v/>
      </c>
    </row>
    <row r="445">
      <c r="R445">
        <f>IF('Product Tracker'!AD445="Buy",IF('Product Tracker'!AC445="",0,'Product Tracker'!AC445)-ROW()*0.0000001,-9999-ROW()*0.0000001)</f>
        <v/>
      </c>
      <c r="S445">
        <f>IF('Product Tracker'!BL445="Yes",IF('Product Tracker'!AC445="",0,'Product Tracker'!AC445)-ROW()*0.0000001,-9999-ROW()*0.0000001)</f>
        <v/>
      </c>
      <c r="T445">
        <f>IF(OR('Product Tracker'!AY445="High",'Product Tracker'!BA445="High",AND('Product Tracker'!AB445&lt;&gt;"",'Product Tracker'!AB445&lt;=2)),IF('Product Tracker'!AC445="",0,'Product Tracker'!AC445)-ROW()*0.0000001,-9999-ROW()*0.0000001)</f>
        <v/>
      </c>
    </row>
    <row r="446">
      <c r="R446">
        <f>IF('Product Tracker'!AD446="Buy",IF('Product Tracker'!AC446="",0,'Product Tracker'!AC446)-ROW()*0.0000001,-9999-ROW()*0.0000001)</f>
        <v/>
      </c>
      <c r="S446">
        <f>IF('Product Tracker'!BL446="Yes",IF('Product Tracker'!AC446="",0,'Product Tracker'!AC446)-ROW()*0.0000001,-9999-ROW()*0.0000001)</f>
        <v/>
      </c>
      <c r="T446">
        <f>IF(OR('Product Tracker'!AY446="High",'Product Tracker'!BA446="High",AND('Product Tracker'!AB446&lt;&gt;"",'Product Tracker'!AB446&lt;=2)),IF('Product Tracker'!AC446="",0,'Product Tracker'!AC446)-ROW()*0.0000001,-9999-ROW()*0.0000001)</f>
        <v/>
      </c>
    </row>
    <row r="447">
      <c r="R447">
        <f>IF('Product Tracker'!AD447="Buy",IF('Product Tracker'!AC447="",0,'Product Tracker'!AC447)-ROW()*0.0000001,-9999-ROW()*0.0000001)</f>
        <v/>
      </c>
      <c r="S447">
        <f>IF('Product Tracker'!BL447="Yes",IF('Product Tracker'!AC447="",0,'Product Tracker'!AC447)-ROW()*0.0000001,-9999-ROW()*0.0000001)</f>
        <v/>
      </c>
      <c r="T447">
        <f>IF(OR('Product Tracker'!AY447="High",'Product Tracker'!BA447="High",AND('Product Tracker'!AB447&lt;&gt;"",'Product Tracker'!AB447&lt;=2)),IF('Product Tracker'!AC447="",0,'Product Tracker'!AC447)-ROW()*0.0000001,-9999-ROW()*0.0000001)</f>
        <v/>
      </c>
    </row>
    <row r="448">
      <c r="R448">
        <f>IF('Product Tracker'!AD448="Buy",IF('Product Tracker'!AC448="",0,'Product Tracker'!AC448)-ROW()*0.0000001,-9999-ROW()*0.0000001)</f>
        <v/>
      </c>
      <c r="S448">
        <f>IF('Product Tracker'!BL448="Yes",IF('Product Tracker'!AC448="",0,'Product Tracker'!AC448)-ROW()*0.0000001,-9999-ROW()*0.0000001)</f>
        <v/>
      </c>
      <c r="T448">
        <f>IF(OR('Product Tracker'!AY448="High",'Product Tracker'!BA448="High",AND('Product Tracker'!AB448&lt;&gt;"",'Product Tracker'!AB448&lt;=2)),IF('Product Tracker'!AC448="",0,'Product Tracker'!AC448)-ROW()*0.0000001,-9999-ROW()*0.0000001)</f>
        <v/>
      </c>
    </row>
    <row r="449">
      <c r="R449">
        <f>IF('Product Tracker'!AD449="Buy",IF('Product Tracker'!AC449="",0,'Product Tracker'!AC449)-ROW()*0.0000001,-9999-ROW()*0.0000001)</f>
        <v/>
      </c>
      <c r="S449">
        <f>IF('Product Tracker'!BL449="Yes",IF('Product Tracker'!AC449="",0,'Product Tracker'!AC449)-ROW()*0.0000001,-9999-ROW()*0.0000001)</f>
        <v/>
      </c>
      <c r="T449">
        <f>IF(OR('Product Tracker'!AY449="High",'Product Tracker'!BA449="High",AND('Product Tracker'!AB449&lt;&gt;"",'Product Tracker'!AB449&lt;=2)),IF('Product Tracker'!AC449="",0,'Product Tracker'!AC449)-ROW()*0.0000001,-9999-ROW()*0.0000001)</f>
        <v/>
      </c>
    </row>
    <row r="450">
      <c r="R450">
        <f>IF('Product Tracker'!AD450="Buy",IF('Product Tracker'!AC450="",0,'Product Tracker'!AC450)-ROW()*0.0000001,-9999-ROW()*0.0000001)</f>
        <v/>
      </c>
      <c r="S450">
        <f>IF('Product Tracker'!BL450="Yes",IF('Product Tracker'!AC450="",0,'Product Tracker'!AC450)-ROW()*0.0000001,-9999-ROW()*0.0000001)</f>
        <v/>
      </c>
      <c r="T450">
        <f>IF(OR('Product Tracker'!AY450="High",'Product Tracker'!BA450="High",AND('Product Tracker'!AB450&lt;&gt;"",'Product Tracker'!AB450&lt;=2)),IF('Product Tracker'!AC450="",0,'Product Tracker'!AC450)-ROW()*0.0000001,-9999-ROW()*0.0000001)</f>
        <v/>
      </c>
    </row>
    <row r="451">
      <c r="R451">
        <f>IF('Product Tracker'!AD451="Buy",IF('Product Tracker'!AC451="",0,'Product Tracker'!AC451)-ROW()*0.0000001,-9999-ROW()*0.0000001)</f>
        <v/>
      </c>
      <c r="S451">
        <f>IF('Product Tracker'!BL451="Yes",IF('Product Tracker'!AC451="",0,'Product Tracker'!AC451)-ROW()*0.0000001,-9999-ROW()*0.0000001)</f>
        <v/>
      </c>
      <c r="T451">
        <f>IF(OR('Product Tracker'!AY451="High",'Product Tracker'!BA451="High",AND('Product Tracker'!AB451&lt;&gt;"",'Product Tracker'!AB451&lt;=2)),IF('Product Tracker'!AC451="",0,'Product Tracker'!AC451)-ROW()*0.0000001,-9999-ROW()*0.0000001)</f>
        <v/>
      </c>
    </row>
    <row r="452">
      <c r="R452">
        <f>IF('Product Tracker'!AD452="Buy",IF('Product Tracker'!AC452="",0,'Product Tracker'!AC452)-ROW()*0.0000001,-9999-ROW()*0.0000001)</f>
        <v/>
      </c>
      <c r="S452">
        <f>IF('Product Tracker'!BL452="Yes",IF('Product Tracker'!AC452="",0,'Product Tracker'!AC452)-ROW()*0.0000001,-9999-ROW()*0.0000001)</f>
        <v/>
      </c>
      <c r="T452">
        <f>IF(OR('Product Tracker'!AY452="High",'Product Tracker'!BA452="High",AND('Product Tracker'!AB452&lt;&gt;"",'Product Tracker'!AB452&lt;=2)),IF('Product Tracker'!AC452="",0,'Product Tracker'!AC452)-ROW()*0.0000001,-9999-ROW()*0.0000001)</f>
        <v/>
      </c>
    </row>
    <row r="453">
      <c r="R453">
        <f>IF('Product Tracker'!AD453="Buy",IF('Product Tracker'!AC453="",0,'Product Tracker'!AC453)-ROW()*0.0000001,-9999-ROW()*0.0000001)</f>
        <v/>
      </c>
      <c r="S453">
        <f>IF('Product Tracker'!BL453="Yes",IF('Product Tracker'!AC453="",0,'Product Tracker'!AC453)-ROW()*0.0000001,-9999-ROW()*0.0000001)</f>
        <v/>
      </c>
      <c r="T453">
        <f>IF(OR('Product Tracker'!AY453="High",'Product Tracker'!BA453="High",AND('Product Tracker'!AB453&lt;&gt;"",'Product Tracker'!AB453&lt;=2)),IF('Product Tracker'!AC453="",0,'Product Tracker'!AC453)-ROW()*0.0000001,-9999-ROW()*0.0000001)</f>
        <v/>
      </c>
    </row>
    <row r="454">
      <c r="R454">
        <f>IF('Product Tracker'!AD454="Buy",IF('Product Tracker'!AC454="",0,'Product Tracker'!AC454)-ROW()*0.0000001,-9999-ROW()*0.0000001)</f>
        <v/>
      </c>
      <c r="S454">
        <f>IF('Product Tracker'!BL454="Yes",IF('Product Tracker'!AC454="",0,'Product Tracker'!AC454)-ROW()*0.0000001,-9999-ROW()*0.0000001)</f>
        <v/>
      </c>
      <c r="T454">
        <f>IF(OR('Product Tracker'!AY454="High",'Product Tracker'!BA454="High",AND('Product Tracker'!AB454&lt;&gt;"",'Product Tracker'!AB454&lt;=2)),IF('Product Tracker'!AC454="",0,'Product Tracker'!AC454)-ROW()*0.0000001,-9999-ROW()*0.0000001)</f>
        <v/>
      </c>
    </row>
    <row r="455">
      <c r="R455">
        <f>IF('Product Tracker'!AD455="Buy",IF('Product Tracker'!AC455="",0,'Product Tracker'!AC455)-ROW()*0.0000001,-9999-ROW()*0.0000001)</f>
        <v/>
      </c>
      <c r="S455">
        <f>IF('Product Tracker'!BL455="Yes",IF('Product Tracker'!AC455="",0,'Product Tracker'!AC455)-ROW()*0.0000001,-9999-ROW()*0.0000001)</f>
        <v/>
      </c>
      <c r="T455">
        <f>IF(OR('Product Tracker'!AY455="High",'Product Tracker'!BA455="High",AND('Product Tracker'!AB455&lt;&gt;"",'Product Tracker'!AB455&lt;=2)),IF('Product Tracker'!AC455="",0,'Product Tracker'!AC455)-ROW()*0.0000001,-9999-ROW()*0.0000001)</f>
        <v/>
      </c>
    </row>
    <row r="456">
      <c r="R456">
        <f>IF('Product Tracker'!AD456="Buy",IF('Product Tracker'!AC456="",0,'Product Tracker'!AC456)-ROW()*0.0000001,-9999-ROW()*0.0000001)</f>
        <v/>
      </c>
      <c r="S456">
        <f>IF('Product Tracker'!BL456="Yes",IF('Product Tracker'!AC456="",0,'Product Tracker'!AC456)-ROW()*0.0000001,-9999-ROW()*0.0000001)</f>
        <v/>
      </c>
      <c r="T456">
        <f>IF(OR('Product Tracker'!AY456="High",'Product Tracker'!BA456="High",AND('Product Tracker'!AB456&lt;&gt;"",'Product Tracker'!AB456&lt;=2)),IF('Product Tracker'!AC456="",0,'Product Tracker'!AC456)-ROW()*0.0000001,-9999-ROW()*0.0000001)</f>
        <v/>
      </c>
    </row>
    <row r="457">
      <c r="R457">
        <f>IF('Product Tracker'!AD457="Buy",IF('Product Tracker'!AC457="",0,'Product Tracker'!AC457)-ROW()*0.0000001,-9999-ROW()*0.0000001)</f>
        <v/>
      </c>
      <c r="S457">
        <f>IF('Product Tracker'!BL457="Yes",IF('Product Tracker'!AC457="",0,'Product Tracker'!AC457)-ROW()*0.0000001,-9999-ROW()*0.0000001)</f>
        <v/>
      </c>
      <c r="T457">
        <f>IF(OR('Product Tracker'!AY457="High",'Product Tracker'!BA457="High",AND('Product Tracker'!AB457&lt;&gt;"",'Product Tracker'!AB457&lt;=2)),IF('Product Tracker'!AC457="",0,'Product Tracker'!AC457)-ROW()*0.0000001,-9999-ROW()*0.0000001)</f>
        <v/>
      </c>
    </row>
    <row r="458">
      <c r="R458">
        <f>IF('Product Tracker'!AD458="Buy",IF('Product Tracker'!AC458="",0,'Product Tracker'!AC458)-ROW()*0.0000001,-9999-ROW()*0.0000001)</f>
        <v/>
      </c>
      <c r="S458">
        <f>IF('Product Tracker'!BL458="Yes",IF('Product Tracker'!AC458="",0,'Product Tracker'!AC458)-ROW()*0.0000001,-9999-ROW()*0.0000001)</f>
        <v/>
      </c>
      <c r="T458">
        <f>IF(OR('Product Tracker'!AY458="High",'Product Tracker'!BA458="High",AND('Product Tracker'!AB458&lt;&gt;"",'Product Tracker'!AB458&lt;=2)),IF('Product Tracker'!AC458="",0,'Product Tracker'!AC458)-ROW()*0.0000001,-9999-ROW()*0.0000001)</f>
        <v/>
      </c>
    </row>
    <row r="459">
      <c r="R459">
        <f>IF('Product Tracker'!AD459="Buy",IF('Product Tracker'!AC459="",0,'Product Tracker'!AC459)-ROW()*0.0000001,-9999-ROW()*0.0000001)</f>
        <v/>
      </c>
      <c r="S459">
        <f>IF('Product Tracker'!BL459="Yes",IF('Product Tracker'!AC459="",0,'Product Tracker'!AC459)-ROW()*0.0000001,-9999-ROW()*0.0000001)</f>
        <v/>
      </c>
      <c r="T459">
        <f>IF(OR('Product Tracker'!AY459="High",'Product Tracker'!BA459="High",AND('Product Tracker'!AB459&lt;&gt;"",'Product Tracker'!AB459&lt;=2)),IF('Product Tracker'!AC459="",0,'Product Tracker'!AC459)-ROW()*0.0000001,-9999-ROW()*0.0000001)</f>
        <v/>
      </c>
    </row>
    <row r="460">
      <c r="R460">
        <f>IF('Product Tracker'!AD460="Buy",IF('Product Tracker'!AC460="",0,'Product Tracker'!AC460)-ROW()*0.0000001,-9999-ROW()*0.0000001)</f>
        <v/>
      </c>
      <c r="S460">
        <f>IF('Product Tracker'!BL460="Yes",IF('Product Tracker'!AC460="",0,'Product Tracker'!AC460)-ROW()*0.0000001,-9999-ROW()*0.0000001)</f>
        <v/>
      </c>
      <c r="T460">
        <f>IF(OR('Product Tracker'!AY460="High",'Product Tracker'!BA460="High",AND('Product Tracker'!AB460&lt;&gt;"",'Product Tracker'!AB460&lt;=2)),IF('Product Tracker'!AC460="",0,'Product Tracker'!AC460)-ROW()*0.0000001,-9999-ROW()*0.0000001)</f>
        <v/>
      </c>
    </row>
    <row r="461">
      <c r="R461">
        <f>IF('Product Tracker'!AD461="Buy",IF('Product Tracker'!AC461="",0,'Product Tracker'!AC461)-ROW()*0.0000001,-9999-ROW()*0.0000001)</f>
        <v/>
      </c>
      <c r="S461">
        <f>IF('Product Tracker'!BL461="Yes",IF('Product Tracker'!AC461="",0,'Product Tracker'!AC461)-ROW()*0.0000001,-9999-ROW()*0.0000001)</f>
        <v/>
      </c>
      <c r="T461">
        <f>IF(OR('Product Tracker'!AY461="High",'Product Tracker'!BA461="High",AND('Product Tracker'!AB461&lt;&gt;"",'Product Tracker'!AB461&lt;=2)),IF('Product Tracker'!AC461="",0,'Product Tracker'!AC461)-ROW()*0.0000001,-9999-ROW()*0.0000001)</f>
        <v/>
      </c>
    </row>
    <row r="462">
      <c r="R462">
        <f>IF('Product Tracker'!AD462="Buy",IF('Product Tracker'!AC462="",0,'Product Tracker'!AC462)-ROW()*0.0000001,-9999-ROW()*0.0000001)</f>
        <v/>
      </c>
      <c r="S462">
        <f>IF('Product Tracker'!BL462="Yes",IF('Product Tracker'!AC462="",0,'Product Tracker'!AC462)-ROW()*0.0000001,-9999-ROW()*0.0000001)</f>
        <v/>
      </c>
      <c r="T462">
        <f>IF(OR('Product Tracker'!AY462="High",'Product Tracker'!BA462="High",AND('Product Tracker'!AB462&lt;&gt;"",'Product Tracker'!AB462&lt;=2)),IF('Product Tracker'!AC462="",0,'Product Tracker'!AC462)-ROW()*0.0000001,-9999-ROW()*0.0000001)</f>
        <v/>
      </c>
    </row>
    <row r="463">
      <c r="R463">
        <f>IF('Product Tracker'!AD463="Buy",IF('Product Tracker'!AC463="",0,'Product Tracker'!AC463)-ROW()*0.0000001,-9999-ROW()*0.0000001)</f>
        <v/>
      </c>
      <c r="S463">
        <f>IF('Product Tracker'!BL463="Yes",IF('Product Tracker'!AC463="",0,'Product Tracker'!AC463)-ROW()*0.0000001,-9999-ROW()*0.0000001)</f>
        <v/>
      </c>
      <c r="T463">
        <f>IF(OR('Product Tracker'!AY463="High",'Product Tracker'!BA463="High",AND('Product Tracker'!AB463&lt;&gt;"",'Product Tracker'!AB463&lt;=2)),IF('Product Tracker'!AC463="",0,'Product Tracker'!AC463)-ROW()*0.0000001,-9999-ROW()*0.0000001)</f>
        <v/>
      </c>
    </row>
    <row r="464">
      <c r="R464">
        <f>IF('Product Tracker'!AD464="Buy",IF('Product Tracker'!AC464="",0,'Product Tracker'!AC464)-ROW()*0.0000001,-9999-ROW()*0.0000001)</f>
        <v/>
      </c>
      <c r="S464">
        <f>IF('Product Tracker'!BL464="Yes",IF('Product Tracker'!AC464="",0,'Product Tracker'!AC464)-ROW()*0.0000001,-9999-ROW()*0.0000001)</f>
        <v/>
      </c>
      <c r="T464">
        <f>IF(OR('Product Tracker'!AY464="High",'Product Tracker'!BA464="High",AND('Product Tracker'!AB464&lt;&gt;"",'Product Tracker'!AB464&lt;=2)),IF('Product Tracker'!AC464="",0,'Product Tracker'!AC464)-ROW()*0.0000001,-9999-ROW()*0.0000001)</f>
        <v/>
      </c>
    </row>
    <row r="465">
      <c r="R465">
        <f>IF('Product Tracker'!AD465="Buy",IF('Product Tracker'!AC465="",0,'Product Tracker'!AC465)-ROW()*0.0000001,-9999-ROW()*0.0000001)</f>
        <v/>
      </c>
      <c r="S465">
        <f>IF('Product Tracker'!BL465="Yes",IF('Product Tracker'!AC465="",0,'Product Tracker'!AC465)-ROW()*0.0000001,-9999-ROW()*0.0000001)</f>
        <v/>
      </c>
      <c r="T465">
        <f>IF(OR('Product Tracker'!AY465="High",'Product Tracker'!BA465="High",AND('Product Tracker'!AB465&lt;&gt;"",'Product Tracker'!AB465&lt;=2)),IF('Product Tracker'!AC465="",0,'Product Tracker'!AC465)-ROW()*0.0000001,-9999-ROW()*0.0000001)</f>
        <v/>
      </c>
    </row>
    <row r="466">
      <c r="R466">
        <f>IF('Product Tracker'!AD466="Buy",IF('Product Tracker'!AC466="",0,'Product Tracker'!AC466)-ROW()*0.0000001,-9999-ROW()*0.0000001)</f>
        <v/>
      </c>
      <c r="S466">
        <f>IF('Product Tracker'!BL466="Yes",IF('Product Tracker'!AC466="",0,'Product Tracker'!AC466)-ROW()*0.0000001,-9999-ROW()*0.0000001)</f>
        <v/>
      </c>
      <c r="T466">
        <f>IF(OR('Product Tracker'!AY466="High",'Product Tracker'!BA466="High",AND('Product Tracker'!AB466&lt;&gt;"",'Product Tracker'!AB466&lt;=2)),IF('Product Tracker'!AC466="",0,'Product Tracker'!AC466)-ROW()*0.0000001,-9999-ROW()*0.0000001)</f>
        <v/>
      </c>
    </row>
    <row r="467">
      <c r="R467">
        <f>IF('Product Tracker'!AD467="Buy",IF('Product Tracker'!AC467="",0,'Product Tracker'!AC467)-ROW()*0.0000001,-9999-ROW()*0.0000001)</f>
        <v/>
      </c>
      <c r="S467">
        <f>IF('Product Tracker'!BL467="Yes",IF('Product Tracker'!AC467="",0,'Product Tracker'!AC467)-ROW()*0.0000001,-9999-ROW()*0.0000001)</f>
        <v/>
      </c>
      <c r="T467">
        <f>IF(OR('Product Tracker'!AY467="High",'Product Tracker'!BA467="High",AND('Product Tracker'!AB467&lt;&gt;"",'Product Tracker'!AB467&lt;=2)),IF('Product Tracker'!AC467="",0,'Product Tracker'!AC467)-ROW()*0.0000001,-9999-ROW()*0.0000001)</f>
        <v/>
      </c>
    </row>
    <row r="468">
      <c r="R468">
        <f>IF('Product Tracker'!AD468="Buy",IF('Product Tracker'!AC468="",0,'Product Tracker'!AC468)-ROW()*0.0000001,-9999-ROW()*0.0000001)</f>
        <v/>
      </c>
      <c r="S468">
        <f>IF('Product Tracker'!BL468="Yes",IF('Product Tracker'!AC468="",0,'Product Tracker'!AC468)-ROW()*0.0000001,-9999-ROW()*0.0000001)</f>
        <v/>
      </c>
      <c r="T468">
        <f>IF(OR('Product Tracker'!AY468="High",'Product Tracker'!BA468="High",AND('Product Tracker'!AB468&lt;&gt;"",'Product Tracker'!AB468&lt;=2)),IF('Product Tracker'!AC468="",0,'Product Tracker'!AC468)-ROW()*0.0000001,-9999-ROW()*0.0000001)</f>
        <v/>
      </c>
    </row>
    <row r="469">
      <c r="R469">
        <f>IF('Product Tracker'!AD469="Buy",IF('Product Tracker'!AC469="",0,'Product Tracker'!AC469)-ROW()*0.0000001,-9999-ROW()*0.0000001)</f>
        <v/>
      </c>
      <c r="S469">
        <f>IF('Product Tracker'!BL469="Yes",IF('Product Tracker'!AC469="",0,'Product Tracker'!AC469)-ROW()*0.0000001,-9999-ROW()*0.0000001)</f>
        <v/>
      </c>
      <c r="T469">
        <f>IF(OR('Product Tracker'!AY469="High",'Product Tracker'!BA469="High",AND('Product Tracker'!AB469&lt;&gt;"",'Product Tracker'!AB469&lt;=2)),IF('Product Tracker'!AC469="",0,'Product Tracker'!AC469)-ROW()*0.0000001,-9999-ROW()*0.0000001)</f>
        <v/>
      </c>
    </row>
    <row r="470">
      <c r="R470">
        <f>IF('Product Tracker'!AD470="Buy",IF('Product Tracker'!AC470="",0,'Product Tracker'!AC470)-ROW()*0.0000001,-9999-ROW()*0.0000001)</f>
        <v/>
      </c>
      <c r="S470">
        <f>IF('Product Tracker'!BL470="Yes",IF('Product Tracker'!AC470="",0,'Product Tracker'!AC470)-ROW()*0.0000001,-9999-ROW()*0.0000001)</f>
        <v/>
      </c>
      <c r="T470">
        <f>IF(OR('Product Tracker'!AY470="High",'Product Tracker'!BA470="High",AND('Product Tracker'!AB470&lt;&gt;"",'Product Tracker'!AB470&lt;=2)),IF('Product Tracker'!AC470="",0,'Product Tracker'!AC470)-ROW()*0.0000001,-9999-ROW()*0.0000001)</f>
        <v/>
      </c>
    </row>
    <row r="471">
      <c r="R471">
        <f>IF('Product Tracker'!AD471="Buy",IF('Product Tracker'!AC471="",0,'Product Tracker'!AC471)-ROW()*0.0000001,-9999-ROW()*0.0000001)</f>
        <v/>
      </c>
      <c r="S471">
        <f>IF('Product Tracker'!BL471="Yes",IF('Product Tracker'!AC471="",0,'Product Tracker'!AC471)-ROW()*0.0000001,-9999-ROW()*0.0000001)</f>
        <v/>
      </c>
      <c r="T471">
        <f>IF(OR('Product Tracker'!AY471="High",'Product Tracker'!BA471="High",AND('Product Tracker'!AB471&lt;&gt;"",'Product Tracker'!AB471&lt;=2)),IF('Product Tracker'!AC471="",0,'Product Tracker'!AC471)-ROW()*0.0000001,-9999-ROW()*0.0000001)</f>
        <v/>
      </c>
    </row>
    <row r="472">
      <c r="R472">
        <f>IF('Product Tracker'!AD472="Buy",IF('Product Tracker'!AC472="",0,'Product Tracker'!AC472)-ROW()*0.0000001,-9999-ROW()*0.0000001)</f>
        <v/>
      </c>
      <c r="S472">
        <f>IF('Product Tracker'!BL472="Yes",IF('Product Tracker'!AC472="",0,'Product Tracker'!AC472)-ROW()*0.0000001,-9999-ROW()*0.0000001)</f>
        <v/>
      </c>
      <c r="T472">
        <f>IF(OR('Product Tracker'!AY472="High",'Product Tracker'!BA472="High",AND('Product Tracker'!AB472&lt;&gt;"",'Product Tracker'!AB472&lt;=2)),IF('Product Tracker'!AC472="",0,'Product Tracker'!AC472)-ROW()*0.0000001,-9999-ROW()*0.0000001)</f>
        <v/>
      </c>
    </row>
    <row r="473">
      <c r="R473">
        <f>IF('Product Tracker'!AD473="Buy",IF('Product Tracker'!AC473="",0,'Product Tracker'!AC473)-ROW()*0.0000001,-9999-ROW()*0.0000001)</f>
        <v/>
      </c>
      <c r="S473">
        <f>IF('Product Tracker'!BL473="Yes",IF('Product Tracker'!AC473="",0,'Product Tracker'!AC473)-ROW()*0.0000001,-9999-ROW()*0.0000001)</f>
        <v/>
      </c>
      <c r="T473">
        <f>IF(OR('Product Tracker'!AY473="High",'Product Tracker'!BA473="High",AND('Product Tracker'!AB473&lt;&gt;"",'Product Tracker'!AB473&lt;=2)),IF('Product Tracker'!AC473="",0,'Product Tracker'!AC473)-ROW()*0.0000001,-9999-ROW()*0.0000001)</f>
        <v/>
      </c>
    </row>
    <row r="474">
      <c r="R474">
        <f>IF('Product Tracker'!AD474="Buy",IF('Product Tracker'!AC474="",0,'Product Tracker'!AC474)-ROW()*0.0000001,-9999-ROW()*0.0000001)</f>
        <v/>
      </c>
      <c r="S474">
        <f>IF('Product Tracker'!BL474="Yes",IF('Product Tracker'!AC474="",0,'Product Tracker'!AC474)-ROW()*0.0000001,-9999-ROW()*0.0000001)</f>
        <v/>
      </c>
      <c r="T474">
        <f>IF(OR('Product Tracker'!AY474="High",'Product Tracker'!BA474="High",AND('Product Tracker'!AB474&lt;&gt;"",'Product Tracker'!AB474&lt;=2)),IF('Product Tracker'!AC474="",0,'Product Tracker'!AC474)-ROW()*0.0000001,-9999-ROW()*0.0000001)</f>
        <v/>
      </c>
    </row>
    <row r="475">
      <c r="R475">
        <f>IF('Product Tracker'!AD475="Buy",IF('Product Tracker'!AC475="",0,'Product Tracker'!AC475)-ROW()*0.0000001,-9999-ROW()*0.0000001)</f>
        <v/>
      </c>
      <c r="S475">
        <f>IF('Product Tracker'!BL475="Yes",IF('Product Tracker'!AC475="",0,'Product Tracker'!AC475)-ROW()*0.0000001,-9999-ROW()*0.0000001)</f>
        <v/>
      </c>
      <c r="T475">
        <f>IF(OR('Product Tracker'!AY475="High",'Product Tracker'!BA475="High",AND('Product Tracker'!AB475&lt;&gt;"",'Product Tracker'!AB475&lt;=2)),IF('Product Tracker'!AC475="",0,'Product Tracker'!AC475)-ROW()*0.0000001,-9999-ROW()*0.0000001)</f>
        <v/>
      </c>
    </row>
    <row r="476">
      <c r="R476">
        <f>IF('Product Tracker'!AD476="Buy",IF('Product Tracker'!AC476="",0,'Product Tracker'!AC476)-ROW()*0.0000001,-9999-ROW()*0.0000001)</f>
        <v/>
      </c>
      <c r="S476">
        <f>IF('Product Tracker'!BL476="Yes",IF('Product Tracker'!AC476="",0,'Product Tracker'!AC476)-ROW()*0.0000001,-9999-ROW()*0.0000001)</f>
        <v/>
      </c>
      <c r="T476">
        <f>IF(OR('Product Tracker'!AY476="High",'Product Tracker'!BA476="High",AND('Product Tracker'!AB476&lt;&gt;"",'Product Tracker'!AB476&lt;=2)),IF('Product Tracker'!AC476="",0,'Product Tracker'!AC476)-ROW()*0.0000001,-9999-ROW()*0.0000001)</f>
        <v/>
      </c>
    </row>
    <row r="477">
      <c r="R477">
        <f>IF('Product Tracker'!AD477="Buy",IF('Product Tracker'!AC477="",0,'Product Tracker'!AC477)-ROW()*0.0000001,-9999-ROW()*0.0000001)</f>
        <v/>
      </c>
      <c r="S477">
        <f>IF('Product Tracker'!BL477="Yes",IF('Product Tracker'!AC477="",0,'Product Tracker'!AC477)-ROW()*0.0000001,-9999-ROW()*0.0000001)</f>
        <v/>
      </c>
      <c r="T477">
        <f>IF(OR('Product Tracker'!AY477="High",'Product Tracker'!BA477="High",AND('Product Tracker'!AB477&lt;&gt;"",'Product Tracker'!AB477&lt;=2)),IF('Product Tracker'!AC477="",0,'Product Tracker'!AC477)-ROW()*0.0000001,-9999-ROW()*0.0000001)</f>
        <v/>
      </c>
    </row>
    <row r="478">
      <c r="R478">
        <f>IF('Product Tracker'!AD478="Buy",IF('Product Tracker'!AC478="",0,'Product Tracker'!AC478)-ROW()*0.0000001,-9999-ROW()*0.0000001)</f>
        <v/>
      </c>
      <c r="S478">
        <f>IF('Product Tracker'!BL478="Yes",IF('Product Tracker'!AC478="",0,'Product Tracker'!AC478)-ROW()*0.0000001,-9999-ROW()*0.0000001)</f>
        <v/>
      </c>
      <c r="T478">
        <f>IF(OR('Product Tracker'!AY478="High",'Product Tracker'!BA478="High",AND('Product Tracker'!AB478&lt;&gt;"",'Product Tracker'!AB478&lt;=2)),IF('Product Tracker'!AC478="",0,'Product Tracker'!AC478)-ROW()*0.0000001,-9999-ROW()*0.0000001)</f>
        <v/>
      </c>
    </row>
    <row r="479">
      <c r="R479">
        <f>IF('Product Tracker'!AD479="Buy",IF('Product Tracker'!AC479="",0,'Product Tracker'!AC479)-ROW()*0.0000001,-9999-ROW()*0.0000001)</f>
        <v/>
      </c>
      <c r="S479">
        <f>IF('Product Tracker'!BL479="Yes",IF('Product Tracker'!AC479="",0,'Product Tracker'!AC479)-ROW()*0.0000001,-9999-ROW()*0.0000001)</f>
        <v/>
      </c>
      <c r="T479">
        <f>IF(OR('Product Tracker'!AY479="High",'Product Tracker'!BA479="High",AND('Product Tracker'!AB479&lt;&gt;"",'Product Tracker'!AB479&lt;=2)),IF('Product Tracker'!AC479="",0,'Product Tracker'!AC479)-ROW()*0.0000001,-9999-ROW()*0.0000001)</f>
        <v/>
      </c>
    </row>
    <row r="480">
      <c r="R480">
        <f>IF('Product Tracker'!AD480="Buy",IF('Product Tracker'!AC480="",0,'Product Tracker'!AC480)-ROW()*0.0000001,-9999-ROW()*0.0000001)</f>
        <v/>
      </c>
      <c r="S480">
        <f>IF('Product Tracker'!BL480="Yes",IF('Product Tracker'!AC480="",0,'Product Tracker'!AC480)-ROW()*0.0000001,-9999-ROW()*0.0000001)</f>
        <v/>
      </c>
      <c r="T480">
        <f>IF(OR('Product Tracker'!AY480="High",'Product Tracker'!BA480="High",AND('Product Tracker'!AB480&lt;&gt;"",'Product Tracker'!AB480&lt;=2)),IF('Product Tracker'!AC480="",0,'Product Tracker'!AC480)-ROW()*0.0000001,-9999-ROW()*0.0000001)</f>
        <v/>
      </c>
    </row>
    <row r="481">
      <c r="R481">
        <f>IF('Product Tracker'!AD481="Buy",IF('Product Tracker'!AC481="",0,'Product Tracker'!AC481)-ROW()*0.0000001,-9999-ROW()*0.0000001)</f>
        <v/>
      </c>
      <c r="S481">
        <f>IF('Product Tracker'!BL481="Yes",IF('Product Tracker'!AC481="",0,'Product Tracker'!AC481)-ROW()*0.0000001,-9999-ROW()*0.0000001)</f>
        <v/>
      </c>
      <c r="T481">
        <f>IF(OR('Product Tracker'!AY481="High",'Product Tracker'!BA481="High",AND('Product Tracker'!AB481&lt;&gt;"",'Product Tracker'!AB481&lt;=2)),IF('Product Tracker'!AC481="",0,'Product Tracker'!AC481)-ROW()*0.0000001,-9999-ROW()*0.0000001)</f>
        <v/>
      </c>
    </row>
    <row r="482">
      <c r="R482">
        <f>IF('Product Tracker'!AD482="Buy",IF('Product Tracker'!AC482="",0,'Product Tracker'!AC482)-ROW()*0.0000001,-9999-ROW()*0.0000001)</f>
        <v/>
      </c>
      <c r="S482">
        <f>IF('Product Tracker'!BL482="Yes",IF('Product Tracker'!AC482="",0,'Product Tracker'!AC482)-ROW()*0.0000001,-9999-ROW()*0.0000001)</f>
        <v/>
      </c>
      <c r="T482">
        <f>IF(OR('Product Tracker'!AY482="High",'Product Tracker'!BA482="High",AND('Product Tracker'!AB482&lt;&gt;"",'Product Tracker'!AB482&lt;=2)),IF('Product Tracker'!AC482="",0,'Product Tracker'!AC482)-ROW()*0.0000001,-9999-ROW()*0.0000001)</f>
        <v/>
      </c>
    </row>
    <row r="483">
      <c r="R483">
        <f>IF('Product Tracker'!AD483="Buy",IF('Product Tracker'!AC483="",0,'Product Tracker'!AC483)-ROW()*0.0000001,-9999-ROW()*0.0000001)</f>
        <v/>
      </c>
      <c r="S483">
        <f>IF('Product Tracker'!BL483="Yes",IF('Product Tracker'!AC483="",0,'Product Tracker'!AC483)-ROW()*0.0000001,-9999-ROW()*0.0000001)</f>
        <v/>
      </c>
      <c r="T483">
        <f>IF(OR('Product Tracker'!AY483="High",'Product Tracker'!BA483="High",AND('Product Tracker'!AB483&lt;&gt;"",'Product Tracker'!AB483&lt;=2)),IF('Product Tracker'!AC483="",0,'Product Tracker'!AC483)-ROW()*0.0000001,-9999-ROW()*0.0000001)</f>
        <v/>
      </c>
    </row>
    <row r="484">
      <c r="R484">
        <f>IF('Product Tracker'!AD484="Buy",IF('Product Tracker'!AC484="",0,'Product Tracker'!AC484)-ROW()*0.0000001,-9999-ROW()*0.0000001)</f>
        <v/>
      </c>
      <c r="S484">
        <f>IF('Product Tracker'!BL484="Yes",IF('Product Tracker'!AC484="",0,'Product Tracker'!AC484)-ROW()*0.0000001,-9999-ROW()*0.0000001)</f>
        <v/>
      </c>
      <c r="T484">
        <f>IF(OR('Product Tracker'!AY484="High",'Product Tracker'!BA484="High",AND('Product Tracker'!AB484&lt;&gt;"",'Product Tracker'!AB484&lt;=2)),IF('Product Tracker'!AC484="",0,'Product Tracker'!AC484)-ROW()*0.0000001,-9999-ROW()*0.0000001)</f>
        <v/>
      </c>
    </row>
    <row r="485">
      <c r="R485">
        <f>IF('Product Tracker'!AD485="Buy",IF('Product Tracker'!AC485="",0,'Product Tracker'!AC485)-ROW()*0.0000001,-9999-ROW()*0.0000001)</f>
        <v/>
      </c>
      <c r="S485">
        <f>IF('Product Tracker'!BL485="Yes",IF('Product Tracker'!AC485="",0,'Product Tracker'!AC485)-ROW()*0.0000001,-9999-ROW()*0.0000001)</f>
        <v/>
      </c>
      <c r="T485">
        <f>IF(OR('Product Tracker'!AY485="High",'Product Tracker'!BA485="High",AND('Product Tracker'!AB485&lt;&gt;"",'Product Tracker'!AB485&lt;=2)),IF('Product Tracker'!AC485="",0,'Product Tracker'!AC485)-ROW()*0.0000001,-9999-ROW()*0.0000001)</f>
        <v/>
      </c>
    </row>
    <row r="486">
      <c r="R486">
        <f>IF('Product Tracker'!AD486="Buy",IF('Product Tracker'!AC486="",0,'Product Tracker'!AC486)-ROW()*0.0000001,-9999-ROW()*0.0000001)</f>
        <v/>
      </c>
      <c r="S486">
        <f>IF('Product Tracker'!BL486="Yes",IF('Product Tracker'!AC486="",0,'Product Tracker'!AC486)-ROW()*0.0000001,-9999-ROW()*0.0000001)</f>
        <v/>
      </c>
      <c r="T486">
        <f>IF(OR('Product Tracker'!AY486="High",'Product Tracker'!BA486="High",AND('Product Tracker'!AB486&lt;&gt;"",'Product Tracker'!AB486&lt;=2)),IF('Product Tracker'!AC486="",0,'Product Tracker'!AC486)-ROW()*0.0000001,-9999-ROW()*0.0000001)</f>
        <v/>
      </c>
    </row>
    <row r="487">
      <c r="R487">
        <f>IF('Product Tracker'!AD487="Buy",IF('Product Tracker'!AC487="",0,'Product Tracker'!AC487)-ROW()*0.0000001,-9999-ROW()*0.0000001)</f>
        <v/>
      </c>
      <c r="S487">
        <f>IF('Product Tracker'!BL487="Yes",IF('Product Tracker'!AC487="",0,'Product Tracker'!AC487)-ROW()*0.0000001,-9999-ROW()*0.0000001)</f>
        <v/>
      </c>
      <c r="T487">
        <f>IF(OR('Product Tracker'!AY487="High",'Product Tracker'!BA487="High",AND('Product Tracker'!AB487&lt;&gt;"",'Product Tracker'!AB487&lt;=2)),IF('Product Tracker'!AC487="",0,'Product Tracker'!AC487)-ROW()*0.0000001,-9999-ROW()*0.0000001)</f>
        <v/>
      </c>
    </row>
    <row r="488">
      <c r="R488">
        <f>IF('Product Tracker'!AD488="Buy",IF('Product Tracker'!AC488="",0,'Product Tracker'!AC488)-ROW()*0.0000001,-9999-ROW()*0.0000001)</f>
        <v/>
      </c>
      <c r="S488">
        <f>IF('Product Tracker'!BL488="Yes",IF('Product Tracker'!AC488="",0,'Product Tracker'!AC488)-ROW()*0.0000001,-9999-ROW()*0.0000001)</f>
        <v/>
      </c>
      <c r="T488">
        <f>IF(OR('Product Tracker'!AY488="High",'Product Tracker'!BA488="High",AND('Product Tracker'!AB488&lt;&gt;"",'Product Tracker'!AB488&lt;=2)),IF('Product Tracker'!AC488="",0,'Product Tracker'!AC488)-ROW()*0.0000001,-9999-ROW()*0.0000001)</f>
        <v/>
      </c>
    </row>
    <row r="489">
      <c r="R489">
        <f>IF('Product Tracker'!AD489="Buy",IF('Product Tracker'!AC489="",0,'Product Tracker'!AC489)-ROW()*0.0000001,-9999-ROW()*0.0000001)</f>
        <v/>
      </c>
      <c r="S489">
        <f>IF('Product Tracker'!BL489="Yes",IF('Product Tracker'!AC489="",0,'Product Tracker'!AC489)-ROW()*0.0000001,-9999-ROW()*0.0000001)</f>
        <v/>
      </c>
      <c r="T489">
        <f>IF(OR('Product Tracker'!AY489="High",'Product Tracker'!BA489="High",AND('Product Tracker'!AB489&lt;&gt;"",'Product Tracker'!AB489&lt;=2)),IF('Product Tracker'!AC489="",0,'Product Tracker'!AC489)-ROW()*0.0000001,-9999-ROW()*0.0000001)</f>
        <v/>
      </c>
    </row>
    <row r="490">
      <c r="R490">
        <f>IF('Product Tracker'!AD490="Buy",IF('Product Tracker'!AC490="",0,'Product Tracker'!AC490)-ROW()*0.0000001,-9999-ROW()*0.0000001)</f>
        <v/>
      </c>
      <c r="S490">
        <f>IF('Product Tracker'!BL490="Yes",IF('Product Tracker'!AC490="",0,'Product Tracker'!AC490)-ROW()*0.0000001,-9999-ROW()*0.0000001)</f>
        <v/>
      </c>
      <c r="T490">
        <f>IF(OR('Product Tracker'!AY490="High",'Product Tracker'!BA490="High",AND('Product Tracker'!AB490&lt;&gt;"",'Product Tracker'!AB490&lt;=2)),IF('Product Tracker'!AC490="",0,'Product Tracker'!AC490)-ROW()*0.0000001,-9999-ROW()*0.0000001)</f>
        <v/>
      </c>
    </row>
    <row r="491">
      <c r="R491">
        <f>IF('Product Tracker'!AD491="Buy",IF('Product Tracker'!AC491="",0,'Product Tracker'!AC491)-ROW()*0.0000001,-9999-ROW()*0.0000001)</f>
        <v/>
      </c>
      <c r="S491">
        <f>IF('Product Tracker'!BL491="Yes",IF('Product Tracker'!AC491="",0,'Product Tracker'!AC491)-ROW()*0.0000001,-9999-ROW()*0.0000001)</f>
        <v/>
      </c>
      <c r="T491">
        <f>IF(OR('Product Tracker'!AY491="High",'Product Tracker'!BA491="High",AND('Product Tracker'!AB491&lt;&gt;"",'Product Tracker'!AB491&lt;=2)),IF('Product Tracker'!AC491="",0,'Product Tracker'!AC491)-ROW()*0.0000001,-9999-ROW()*0.0000001)</f>
        <v/>
      </c>
    </row>
    <row r="492">
      <c r="R492">
        <f>IF('Product Tracker'!AD492="Buy",IF('Product Tracker'!AC492="",0,'Product Tracker'!AC492)-ROW()*0.0000001,-9999-ROW()*0.0000001)</f>
        <v/>
      </c>
      <c r="S492">
        <f>IF('Product Tracker'!BL492="Yes",IF('Product Tracker'!AC492="",0,'Product Tracker'!AC492)-ROW()*0.0000001,-9999-ROW()*0.0000001)</f>
        <v/>
      </c>
      <c r="T492">
        <f>IF(OR('Product Tracker'!AY492="High",'Product Tracker'!BA492="High",AND('Product Tracker'!AB492&lt;&gt;"",'Product Tracker'!AB492&lt;=2)),IF('Product Tracker'!AC492="",0,'Product Tracker'!AC492)-ROW()*0.0000001,-9999-ROW()*0.0000001)</f>
        <v/>
      </c>
    </row>
    <row r="493">
      <c r="R493">
        <f>IF('Product Tracker'!AD493="Buy",IF('Product Tracker'!AC493="",0,'Product Tracker'!AC493)-ROW()*0.0000001,-9999-ROW()*0.0000001)</f>
        <v/>
      </c>
      <c r="S493">
        <f>IF('Product Tracker'!BL493="Yes",IF('Product Tracker'!AC493="",0,'Product Tracker'!AC493)-ROW()*0.0000001,-9999-ROW()*0.0000001)</f>
        <v/>
      </c>
      <c r="T493">
        <f>IF(OR('Product Tracker'!AY493="High",'Product Tracker'!BA493="High",AND('Product Tracker'!AB493&lt;&gt;"",'Product Tracker'!AB493&lt;=2)),IF('Product Tracker'!AC493="",0,'Product Tracker'!AC493)-ROW()*0.0000001,-9999-ROW()*0.0000001)</f>
        <v/>
      </c>
    </row>
    <row r="494">
      <c r="R494">
        <f>IF('Product Tracker'!AD494="Buy",IF('Product Tracker'!AC494="",0,'Product Tracker'!AC494)-ROW()*0.0000001,-9999-ROW()*0.0000001)</f>
        <v/>
      </c>
      <c r="S494">
        <f>IF('Product Tracker'!BL494="Yes",IF('Product Tracker'!AC494="",0,'Product Tracker'!AC494)-ROW()*0.0000001,-9999-ROW()*0.0000001)</f>
        <v/>
      </c>
      <c r="T494">
        <f>IF(OR('Product Tracker'!AY494="High",'Product Tracker'!BA494="High",AND('Product Tracker'!AB494&lt;&gt;"",'Product Tracker'!AB494&lt;=2)),IF('Product Tracker'!AC494="",0,'Product Tracker'!AC494)-ROW()*0.0000001,-9999-ROW()*0.0000001)</f>
        <v/>
      </c>
    </row>
    <row r="495">
      <c r="R495">
        <f>IF('Product Tracker'!AD495="Buy",IF('Product Tracker'!AC495="",0,'Product Tracker'!AC495)-ROW()*0.0000001,-9999-ROW()*0.0000001)</f>
        <v/>
      </c>
      <c r="S495">
        <f>IF('Product Tracker'!BL495="Yes",IF('Product Tracker'!AC495="",0,'Product Tracker'!AC495)-ROW()*0.0000001,-9999-ROW()*0.0000001)</f>
        <v/>
      </c>
      <c r="T495">
        <f>IF(OR('Product Tracker'!AY495="High",'Product Tracker'!BA495="High",AND('Product Tracker'!AB495&lt;&gt;"",'Product Tracker'!AB495&lt;=2)),IF('Product Tracker'!AC495="",0,'Product Tracker'!AC495)-ROW()*0.0000001,-9999-ROW()*0.0000001)</f>
        <v/>
      </c>
    </row>
    <row r="496">
      <c r="R496">
        <f>IF('Product Tracker'!AD496="Buy",IF('Product Tracker'!AC496="",0,'Product Tracker'!AC496)-ROW()*0.0000001,-9999-ROW()*0.0000001)</f>
        <v/>
      </c>
      <c r="S496">
        <f>IF('Product Tracker'!BL496="Yes",IF('Product Tracker'!AC496="",0,'Product Tracker'!AC496)-ROW()*0.0000001,-9999-ROW()*0.0000001)</f>
        <v/>
      </c>
      <c r="T496">
        <f>IF(OR('Product Tracker'!AY496="High",'Product Tracker'!BA496="High",AND('Product Tracker'!AB496&lt;&gt;"",'Product Tracker'!AB496&lt;=2)),IF('Product Tracker'!AC496="",0,'Product Tracker'!AC496)-ROW()*0.0000001,-9999-ROW()*0.0000001)</f>
        <v/>
      </c>
    </row>
    <row r="497">
      <c r="R497">
        <f>IF('Product Tracker'!AD497="Buy",IF('Product Tracker'!AC497="",0,'Product Tracker'!AC497)-ROW()*0.0000001,-9999-ROW()*0.0000001)</f>
        <v/>
      </c>
      <c r="S497">
        <f>IF('Product Tracker'!BL497="Yes",IF('Product Tracker'!AC497="",0,'Product Tracker'!AC497)-ROW()*0.0000001,-9999-ROW()*0.0000001)</f>
        <v/>
      </c>
      <c r="T497">
        <f>IF(OR('Product Tracker'!AY497="High",'Product Tracker'!BA497="High",AND('Product Tracker'!AB497&lt;&gt;"",'Product Tracker'!AB497&lt;=2)),IF('Product Tracker'!AC497="",0,'Product Tracker'!AC497)-ROW()*0.0000001,-9999-ROW()*0.0000001)</f>
        <v/>
      </c>
    </row>
    <row r="498">
      <c r="R498">
        <f>IF('Product Tracker'!AD498="Buy",IF('Product Tracker'!AC498="",0,'Product Tracker'!AC498)-ROW()*0.0000001,-9999-ROW()*0.0000001)</f>
        <v/>
      </c>
      <c r="S498">
        <f>IF('Product Tracker'!BL498="Yes",IF('Product Tracker'!AC498="",0,'Product Tracker'!AC498)-ROW()*0.0000001,-9999-ROW()*0.0000001)</f>
        <v/>
      </c>
      <c r="T498">
        <f>IF(OR('Product Tracker'!AY498="High",'Product Tracker'!BA498="High",AND('Product Tracker'!AB498&lt;&gt;"",'Product Tracker'!AB498&lt;=2)),IF('Product Tracker'!AC498="",0,'Product Tracker'!AC498)-ROW()*0.0000001,-9999-ROW()*0.0000001)</f>
        <v/>
      </c>
    </row>
    <row r="499">
      <c r="R499">
        <f>IF('Product Tracker'!AD499="Buy",IF('Product Tracker'!AC499="",0,'Product Tracker'!AC499)-ROW()*0.0000001,-9999-ROW()*0.0000001)</f>
        <v/>
      </c>
      <c r="S499">
        <f>IF('Product Tracker'!BL499="Yes",IF('Product Tracker'!AC499="",0,'Product Tracker'!AC499)-ROW()*0.0000001,-9999-ROW()*0.0000001)</f>
        <v/>
      </c>
      <c r="T499">
        <f>IF(OR('Product Tracker'!AY499="High",'Product Tracker'!BA499="High",AND('Product Tracker'!AB499&lt;&gt;"",'Product Tracker'!AB499&lt;=2)),IF('Product Tracker'!AC499="",0,'Product Tracker'!AC499)-ROW()*0.0000001,-9999-ROW()*0.0000001)</f>
        <v/>
      </c>
    </row>
    <row r="500">
      <c r="R500">
        <f>IF('Product Tracker'!AD500="Buy",IF('Product Tracker'!AC500="",0,'Product Tracker'!AC500)-ROW()*0.0000001,-9999-ROW()*0.0000001)</f>
        <v/>
      </c>
      <c r="S500">
        <f>IF('Product Tracker'!BL500="Yes",IF('Product Tracker'!AC500="",0,'Product Tracker'!AC500)-ROW()*0.0000001,-9999-ROW()*0.0000001)</f>
        <v/>
      </c>
      <c r="T500">
        <f>IF(OR('Product Tracker'!AY500="High",'Product Tracker'!BA500="High",AND('Product Tracker'!AB500&lt;&gt;"",'Product Tracker'!AB500&lt;=2)),IF('Product Tracker'!AC500="",0,'Product Tracker'!AC500)-ROW()*0.0000001,-9999-ROW()*0.0000001)</f>
        <v/>
      </c>
    </row>
  </sheetData>
  <mergeCells count="163">
    <mergeCell ref="K49:L49"/>
    <mergeCell ref="F29:G29"/>
    <mergeCell ref="K24:L24"/>
    <mergeCell ref="F25:G25"/>
    <mergeCell ref="K33:L33"/>
    <mergeCell ref="I26:J26"/>
    <mergeCell ref="G15:I15"/>
    <mergeCell ref="K26:L26"/>
    <mergeCell ref="B36:E36"/>
    <mergeCell ref="B45:E45"/>
    <mergeCell ref="K35:L35"/>
    <mergeCell ref="I25:J25"/>
    <mergeCell ref="B47:E47"/>
    <mergeCell ref="A7:C8"/>
    <mergeCell ref="B22:E22"/>
    <mergeCell ref="I58:J58"/>
    <mergeCell ref="K58:L58"/>
    <mergeCell ref="A16:C17"/>
    <mergeCell ref="K52:L52"/>
    <mergeCell ref="J11:L12"/>
    <mergeCell ref="B21:E21"/>
    <mergeCell ref="F23:G23"/>
    <mergeCell ref="B39:E39"/>
    <mergeCell ref="I52:J52"/>
    <mergeCell ref="F56:G56"/>
    <mergeCell ref="D7:F8"/>
    <mergeCell ref="D16:F17"/>
    <mergeCell ref="F43:G43"/>
    <mergeCell ref="I44:J44"/>
    <mergeCell ref="B23:E23"/>
    <mergeCell ref="K53:L53"/>
    <mergeCell ref="A6:C6"/>
    <mergeCell ref="K28:L28"/>
    <mergeCell ref="B38:E38"/>
    <mergeCell ref="K37:L37"/>
    <mergeCell ref="F57:G57"/>
    <mergeCell ref="J15:L15"/>
    <mergeCell ref="B40:E40"/>
    <mergeCell ref="B49:E49"/>
    <mergeCell ref="G6:I6"/>
    <mergeCell ref="F54:G54"/>
    <mergeCell ref="I46:J46"/>
    <mergeCell ref="F34:G34"/>
    <mergeCell ref="B33:E33"/>
    <mergeCell ref="A3:L3"/>
    <mergeCell ref="K55:L55"/>
    <mergeCell ref="K21:L21"/>
    <mergeCell ref="B32:E32"/>
    <mergeCell ref="B26:E26"/>
    <mergeCell ref="I57:J57"/>
    <mergeCell ref="B35:E35"/>
    <mergeCell ref="I54:J54"/>
    <mergeCell ref="I32:J32"/>
    <mergeCell ref="A5:L5"/>
    <mergeCell ref="K32:L32"/>
    <mergeCell ref="F33:G33"/>
    <mergeCell ref="A14:L14"/>
    <mergeCell ref="F45:G45"/>
    <mergeCell ref="B25:E25"/>
    <mergeCell ref="I56:J56"/>
    <mergeCell ref="G7:I8"/>
    <mergeCell ref="K56:L56"/>
    <mergeCell ref="D11:F12"/>
    <mergeCell ref="I43:J43"/>
    <mergeCell ref="B27:E27"/>
    <mergeCell ref="K43:L43"/>
    <mergeCell ref="F47:G47"/>
    <mergeCell ref="I24:J24"/>
    <mergeCell ref="I33:J33"/>
    <mergeCell ref="K27:L27"/>
    <mergeCell ref="A31:L31"/>
    <mergeCell ref="F46:G46"/>
    <mergeCell ref="F28:G28"/>
    <mergeCell ref="A15:C15"/>
    <mergeCell ref="F39:G39"/>
    <mergeCell ref="I35:J35"/>
    <mergeCell ref="F48:G48"/>
    <mergeCell ref="B53:E53"/>
    <mergeCell ref="B29:E29"/>
    <mergeCell ref="B37:E37"/>
    <mergeCell ref="J6:L6"/>
    <mergeCell ref="K25:L25"/>
    <mergeCell ref="G10:I10"/>
    <mergeCell ref="A18:C18"/>
    <mergeCell ref="I45:J45"/>
    <mergeCell ref="B55:E55"/>
    <mergeCell ref="B24:E24"/>
    <mergeCell ref="K45:L45"/>
    <mergeCell ref="K54:L54"/>
    <mergeCell ref="F21:G21"/>
    <mergeCell ref="A2:L2"/>
    <mergeCell ref="G11:I12"/>
    <mergeCell ref="K29:L29"/>
    <mergeCell ref="A42:L42"/>
    <mergeCell ref="I47:J47"/>
    <mergeCell ref="A11:C12"/>
    <mergeCell ref="F53:G53"/>
    <mergeCell ref="K47:L47"/>
    <mergeCell ref="B54:E54"/>
    <mergeCell ref="K44:L44"/>
    <mergeCell ref="F36:G36"/>
    <mergeCell ref="I37:J37"/>
    <mergeCell ref="K46:L46"/>
    <mergeCell ref="K40:L40"/>
    <mergeCell ref="A20:L20"/>
    <mergeCell ref="I21:J21"/>
    <mergeCell ref="B56:E56"/>
    <mergeCell ref="B43:E43"/>
    <mergeCell ref="B58:E58"/>
    <mergeCell ref="B52:E52"/>
    <mergeCell ref="F22:G22"/>
    <mergeCell ref="I23:J23"/>
    <mergeCell ref="K23:L23"/>
    <mergeCell ref="B57:E57"/>
    <mergeCell ref="J10:L10"/>
    <mergeCell ref="A51:L51"/>
    <mergeCell ref="B44:E44"/>
    <mergeCell ref="F49:G49"/>
    <mergeCell ref="K57:L57"/>
    <mergeCell ref="B34:E34"/>
    <mergeCell ref="B28:E28"/>
    <mergeCell ref="D6:F6"/>
    <mergeCell ref="I34:J34"/>
    <mergeCell ref="G16:I17"/>
    <mergeCell ref="K34:L34"/>
    <mergeCell ref="I49:J49"/>
    <mergeCell ref="I27:J27"/>
    <mergeCell ref="I36:J36"/>
    <mergeCell ref="K36:L36"/>
    <mergeCell ref="F40:G40"/>
    <mergeCell ref="F55:G55"/>
    <mergeCell ref="F24:G24"/>
    <mergeCell ref="D18:L18"/>
    <mergeCell ref="I22:J22"/>
    <mergeCell ref="I28:J28"/>
    <mergeCell ref="F32:G32"/>
    <mergeCell ref="K22:L22"/>
    <mergeCell ref="F26:G26"/>
    <mergeCell ref="D15:F15"/>
    <mergeCell ref="B46:E46"/>
    <mergeCell ref="F35:G35"/>
    <mergeCell ref="I53:J53"/>
    <mergeCell ref="A10:C10"/>
    <mergeCell ref="F38:G38"/>
    <mergeCell ref="I55:J55"/>
    <mergeCell ref="B48:E48"/>
    <mergeCell ref="I39:J39"/>
    <mergeCell ref="K39:L39"/>
    <mergeCell ref="F27:G27"/>
    <mergeCell ref="I48:J48"/>
    <mergeCell ref="F58:G58"/>
    <mergeCell ref="K48:L48"/>
    <mergeCell ref="F52:G52"/>
    <mergeCell ref="D10:F10"/>
    <mergeCell ref="F37:G37"/>
    <mergeCell ref="J7:L8"/>
    <mergeCell ref="I29:J29"/>
    <mergeCell ref="J16:L17"/>
    <mergeCell ref="I38:J38"/>
    <mergeCell ref="K38:L38"/>
    <mergeCell ref="A1:L1"/>
    <mergeCell ref="I40:J40"/>
    <mergeCell ref="F44:G44"/>
  </mergeCells>
  <conditionalFormatting sqref="D16">
    <cfRule type="cellIs" priority="1" operator="lessThan" dxfId="9">
      <formula>0</formula>
    </cfRule>
  </conditionalFormatting>
  <conditionalFormatting sqref="D18">
    <cfRule type="dataBar" priority="2">
      <dataBar>
        <cfvo type="num" val="0"/>
        <cfvo type="num" val="1"/>
        <color rgb="00C6A15B"/>
      </dataBar>
    </cfRule>
    <cfRule type="cellIs" priority="3" operator="greaterThanOrEqual" dxfId="10">
      <formula>1</formula>
    </cfRule>
    <cfRule type="cellIs" priority="4" operator="greaterThanOrEqual" dxfId="11">
      <formula>0.8</formula>
    </cfRule>
  </conditionalFormatting>
  <conditionalFormatting sqref="H22:H29">
    <cfRule type="cellIs" priority="5" operator="greaterThanOrEqual" dxfId="12">
      <formula>80</formula>
    </cfRule>
    <cfRule type="cellIs" priority="6" operator="between" dxfId="5">
      <formula>65</formula>
      <formula>79.999</formula>
    </cfRule>
    <cfRule type="cellIs" priority="7" operator="lessThan" dxfId="4">
      <formula>65</formula>
    </cfRule>
  </conditionalFormatting>
  <conditionalFormatting sqref="I22:J29">
    <cfRule type="cellIs" priority="8" operator="equal" dxfId="0">
      <formula>"Buy"</formula>
    </cfRule>
    <cfRule type="cellIs" priority="9" operator="equal" dxfId="1">
      <formula>"Maybe"</formula>
    </cfRule>
    <cfRule type="cellIs" priority="10" operator="equal" dxfId="2">
      <formula>"Price Review"</formula>
    </cfRule>
    <cfRule type="cellIs" priority="11" operator="equal" dxfId="3">
      <formula>"Reject"</formula>
    </cfRule>
  </conditionalFormatting>
  <conditionalFormatting sqref="H33:H40">
    <cfRule type="cellIs" priority="12" operator="greaterThanOrEqual" dxfId="12">
      <formula>80</formula>
    </cfRule>
    <cfRule type="cellIs" priority="13" operator="between" dxfId="5">
      <formula>65</formula>
      <formula>79.999</formula>
    </cfRule>
    <cfRule type="cellIs" priority="14" operator="lessThan" dxfId="4">
      <formula>65</formula>
    </cfRule>
  </conditionalFormatting>
  <conditionalFormatting sqref="I33:J40">
    <cfRule type="cellIs" priority="15" operator="equal" dxfId="0">
      <formula>"Buy"</formula>
    </cfRule>
    <cfRule type="cellIs" priority="16" operator="equal" dxfId="1">
      <formula>"Maybe"</formula>
    </cfRule>
    <cfRule type="cellIs" priority="17" operator="equal" dxfId="2">
      <formula>"Price Review"</formula>
    </cfRule>
    <cfRule type="cellIs" priority="18" operator="equal" dxfId="3">
      <formula>"Reject"</formula>
    </cfRule>
  </conditionalFormatting>
  <conditionalFormatting sqref="H44:H49">
    <cfRule type="cellIs" priority="19" operator="greaterThanOrEqual" dxfId="12">
      <formula>80</formula>
    </cfRule>
    <cfRule type="cellIs" priority="20" operator="between" dxfId="5">
      <formula>65</formula>
      <formula>79.999</formula>
    </cfRule>
    <cfRule type="cellIs" priority="21" operator="lessThan" dxfId="4">
      <formula>65</formula>
    </cfRule>
  </conditionalFormatting>
  <conditionalFormatting sqref="I44:J49">
    <cfRule type="cellIs" priority="22" operator="equal" dxfId="0">
      <formula>"Buy"</formula>
    </cfRule>
    <cfRule type="cellIs" priority="23" operator="equal" dxfId="1">
      <formula>"Maybe"</formula>
    </cfRule>
    <cfRule type="cellIs" priority="24" operator="equal" dxfId="2">
      <formula>"Price Review"</formula>
    </cfRule>
    <cfRule type="cellIs" priority="25" operator="equal" dxfId="3">
      <formula>"Reject"</formula>
    </cfRule>
  </conditionalFormatting>
  <conditionalFormatting sqref="H53:H58">
    <cfRule type="cellIs" priority="26" operator="greaterThanOrEqual" dxfId="12">
      <formula>80</formula>
    </cfRule>
    <cfRule type="cellIs" priority="27" operator="between" dxfId="5">
      <formula>65</formula>
      <formula>79.999</formula>
    </cfRule>
    <cfRule type="cellIs" priority="28" operator="lessThan" dxfId="4">
      <formula>65</formula>
    </cfRule>
  </conditionalFormatting>
  <conditionalFormatting sqref="I53:J58">
    <cfRule type="cellIs" priority="29" operator="equal" dxfId="0">
      <formula>"Buy"</formula>
    </cfRule>
    <cfRule type="cellIs" priority="30" operator="equal" dxfId="1">
      <formula>"Maybe"</formula>
    </cfRule>
    <cfRule type="cellIs" priority="31" operator="equal" dxfId="2">
      <formula>"Price Review"</formula>
    </cfRule>
    <cfRule type="cellIs" priority="32" operator="equal" dxfId="3">
      <formula>"Reject"</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6B4F4F"/>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1" t="inlineStr">
        <is>
          <t>AAYNA Product Scout Lite — Claude Scoring Prompt</t>
        </is>
      </c>
    </row>
    <row r="2" ht="40" customHeight="1">
      <c r="A2" s="64" t="inlineStr">
        <is>
          <t>Copy everything in the box below into Claude (or another AI assistant), paste in the product photo/link/description where indicated, then copy Claude's reply back into the matching score columns on the Product Tracker tab.</t>
        </is>
      </c>
    </row>
    <row r="4" ht="520" customHeight="1">
      <c r="A4" s="65" t="inlineStr">
        <is>
          <t>You are helping AAYNA, a Bangladesh-based women's accessories brand, evaluate a sourcing candidate product.
AAYNA's brand identity: feminine, trendy, affordable, clean and modern, with a warm, social-media-friendly feel. Visual aesthetic: dusty rose, cream white, antique gold, and espresso charcoal. Most products sell under BDT 700.
Here is the product: [paste product name, description, photos/link, and supplier price here]
Score this product from 1 (worst) to 5 (best) on each of these 10 criteria, with a one-line reason for each score:
1. Feminine Score - how feminine/delicate does it look?
2. Trend Score - how on-trend is it right now (TikTok/Instagram/competitors)?
3. AAYNA Aesthetic Fit Score - how well does it match our dusty rose / cream / antique gold look?
4. Easy to Style Score - how easily can a customer style this with everyday outfits?
5. Lightweight Score - how light/comfortable is it to wear or carry?
6. Reels/Photo Potential Score - how good would this look in a Reel, photo, or unboxing video?
7. Giftability Score - how good is this as a gift?
8. Price Fit Score - how comfortably can we sell this under BDT 700 and still profit?
9. Demand Score - how likely is our target customer to actually want and buy this?
10. Quality/Risk Score - how low is the risk of poor quality, damage in transit, or returns?
Then give:
- A Recommended Decision: Buy, Maybe, Price Review, or Reject
- A one-sentence Reason for that decision
- A short Content/Reel Idea for how we'd promote this product
Format your answer exactly like this so it's easy to paste into the sheet:
Feminine: _ - reason
Trend: _ - reason
Aesthetic Fit: _ - reason
Easy to Style: _ - reason
Lightweight: _ - reason
Reels/Photo: _ - reason
Giftability: _ - reason
Price Fit: _ - reason
Demand: _ - reason
Quality/Risk: _ - reason
Recommended Decision: _
Reason: _
Content/Reel Idea: _</t>
        </is>
      </c>
    </row>
    <row r="6" ht="40" customHeight="1">
      <c r="A6" s="64" t="inlineStr">
        <is>
          <t>Tip: if you ever change the 10 scoring criteria, their order, or the price ceiling in the Settings tab, update this prompt to match so Claude's answers keep lining up with the Product Tracker columns.</t>
        </is>
      </c>
    </row>
  </sheetData>
  <pageMargins left="0.75" right="0.75" top="1" bottom="1" header="0.5" footer="0.5"/>
</worksheet>
</file>

<file path=xl/worksheets/sheet4.xml><?xml version="1.0" encoding="utf-8"?>
<worksheet xmlns="http://schemas.openxmlformats.org/spreadsheetml/2006/main">
  <sheetPr>
    <tabColor rgb="00B89B5E"/>
    <outlinePr summaryBelow="1" summaryRight="1"/>
    <pageSetUpPr/>
  </sheetPr>
  <dimension ref="A1:D26"/>
  <sheetViews>
    <sheetView workbookViewId="0">
      <selection activeCell="A1" sqref="A1"/>
    </sheetView>
  </sheetViews>
  <sheetFormatPr baseColWidth="8" defaultRowHeight="15"/>
  <cols>
    <col width="36" customWidth="1" min="1" max="1"/>
    <col width="12" customWidth="1" min="2" max="2"/>
    <col width="50" customWidth="1" min="3" max="3"/>
  </cols>
  <sheetData>
    <row r="1">
      <c r="A1" s="1" t="inlineStr">
        <is>
          <t>AAYNA Product Scout Lite — Settings</t>
        </is>
      </c>
    </row>
    <row r="2">
      <c r="A2" s="66" t="inlineStr">
        <is>
          <t>Tune these numbers once. Every formula in the Product Tracker tab reads from here.</t>
        </is>
      </c>
    </row>
    <row r="4">
      <c r="A4" s="67" t="inlineStr">
        <is>
          <t>Setting</t>
        </is>
      </c>
      <c r="B4" s="67" t="inlineStr">
        <is>
          <t>Value</t>
        </is>
      </c>
      <c r="C4" s="67" t="inlineStr">
        <is>
          <t>Notes</t>
        </is>
      </c>
    </row>
    <row r="5">
      <c r="A5" s="68" t="inlineStr">
        <is>
          <t>USD to BDT exchange rate</t>
        </is>
      </c>
      <c r="B5" t="n">
        <v>122</v>
      </c>
      <c r="C5" s="66" t="inlineStr">
        <is>
          <t>Update when BDT/USD rate changes</t>
        </is>
      </c>
    </row>
    <row r="6">
      <c r="A6" s="68" t="inlineStr">
        <is>
          <t>RMB (CNY) to BDT exchange rate</t>
        </is>
      </c>
      <c r="B6" t="n">
        <v>17</v>
      </c>
      <c r="C6" s="66" t="inlineStr">
        <is>
          <t>Update when BDT/CNY rate changes</t>
        </is>
      </c>
    </row>
    <row r="7">
      <c r="A7" s="68" t="inlineStr">
        <is>
          <t>Default customs/duty %</t>
        </is>
      </c>
      <c r="B7" t="n">
        <v>0.07000000000000001</v>
      </c>
      <c r="C7" s="66" t="inlineStr">
        <is>
          <t>As decimal, e.g. 0.07 = 7%</t>
        </is>
      </c>
    </row>
    <row r="8">
      <c r="A8" s="68" t="inlineStr">
        <is>
          <t>Default misc fee per unit (BDT)</t>
        </is>
      </c>
      <c r="B8" t="n">
        <v>15</v>
      </c>
      <c r="C8" s="66" t="inlineStr">
        <is>
          <t>Packaging, handling, platform fees per piece</t>
        </is>
      </c>
    </row>
    <row r="9">
      <c r="A9" s="68" t="inlineStr">
        <is>
          <t>Default markup % over landed cost</t>
        </is>
      </c>
      <c r="B9" t="n">
        <v>1</v>
      </c>
      <c r="C9" s="66" t="inlineStr">
        <is>
          <t>1.0 = 100% markup (sell at 2x landed cost)</t>
        </is>
      </c>
    </row>
    <row r="10">
      <c r="A10" s="68" t="inlineStr">
        <is>
          <t>Target max selling price (BDT)</t>
        </is>
      </c>
      <c r="B10" t="n">
        <v>700</v>
      </c>
      <c r="C10" s="66" t="inlineStr">
        <is>
          <t>AAYNA's 'mostly under' price ceiling</t>
        </is>
      </c>
    </row>
    <row r="11">
      <c r="A11" s="68" t="inlineStr">
        <is>
          <t>Hard reject price ceiling (BDT)</t>
        </is>
      </c>
      <c r="B11" t="n">
        <v>1000</v>
      </c>
      <c r="C11" s="66" t="inlineStr">
        <is>
          <t>Above the target price but at/under this = 'Price Review' (negotiable). Above this = automatic 'Reject'.</t>
        </is>
      </c>
    </row>
    <row r="12">
      <c r="A12" s="68" t="inlineStr">
        <is>
          <t>Weight: Feminine Score</t>
        </is>
      </c>
      <c r="B12" t="n">
        <v>0.1</v>
      </c>
      <c r="C12" s="66" t="inlineStr">
        <is>
          <t>All 10 weights below must add up to 1.00</t>
        </is>
      </c>
    </row>
    <row r="13">
      <c r="A13" s="68" t="inlineStr">
        <is>
          <t>Weight: Trend Score</t>
        </is>
      </c>
      <c r="B13" t="n">
        <v>0.1</v>
      </c>
      <c r="C13" s="66" t="inlineStr"/>
    </row>
    <row r="14">
      <c r="A14" s="68" t="inlineStr">
        <is>
          <t>Weight: AAYNA Aesthetic Fit Score</t>
        </is>
      </c>
      <c r="B14" t="n">
        <v>0.15</v>
      </c>
      <c r="C14" s="66" t="inlineStr"/>
    </row>
    <row r="15">
      <c r="A15" s="68" t="inlineStr">
        <is>
          <t>Weight: Easy to Style Score</t>
        </is>
      </c>
      <c r="B15" t="n">
        <v>0.08</v>
      </c>
      <c r="C15" s="66" t="inlineStr"/>
    </row>
    <row r="16">
      <c r="A16" s="68" t="inlineStr">
        <is>
          <t>Weight: Lightweight Score</t>
        </is>
      </c>
      <c r="B16" t="n">
        <v>0.07000000000000001</v>
      </c>
      <c r="C16" s="66" t="inlineStr"/>
    </row>
    <row r="17">
      <c r="A17" s="68" t="inlineStr">
        <is>
          <t>Weight: Reels/Photo Potential Score</t>
        </is>
      </c>
      <c r="B17" t="n">
        <v>0.1</v>
      </c>
      <c r="C17" s="66" t="inlineStr"/>
    </row>
    <row r="18">
      <c r="A18" s="68" t="inlineStr">
        <is>
          <t>Weight: Giftability Score</t>
        </is>
      </c>
      <c r="B18" t="n">
        <v>0.08</v>
      </c>
      <c r="C18" s="66" t="inlineStr"/>
    </row>
    <row r="19">
      <c r="A19" s="68" t="inlineStr">
        <is>
          <t>Weight: Price Fit Score</t>
        </is>
      </c>
      <c r="B19" t="n">
        <v>0.12</v>
      </c>
      <c r="C19" s="66" t="inlineStr"/>
    </row>
    <row r="20">
      <c r="A20" s="68" t="inlineStr">
        <is>
          <t>Weight: Demand Score</t>
        </is>
      </c>
      <c r="B20" t="n">
        <v>0.12</v>
      </c>
      <c r="C20" s="66" t="inlineStr"/>
    </row>
    <row r="21">
      <c r="A21" s="68" t="inlineStr">
        <is>
          <t>Weight: Quality/Risk Score</t>
        </is>
      </c>
      <c r="B21" t="n">
        <v>0.08</v>
      </c>
      <c r="C21" s="66" t="inlineStr"/>
    </row>
    <row r="22">
      <c r="A22" s="68" t="inlineStr">
        <is>
          <t>Buy threshold (score &gt;=)</t>
        </is>
      </c>
      <c r="B22" t="n">
        <v>75</v>
      </c>
      <c r="C22" s="66" t="inlineStr">
        <is>
          <t>Total Product Score is out of 100</t>
        </is>
      </c>
    </row>
    <row r="23">
      <c r="A23" s="68" t="inlineStr">
        <is>
          <t>Maybe threshold (score &gt;=)</t>
        </is>
      </c>
      <c r="B23" t="n">
        <v>50</v>
      </c>
      <c r="C23" s="66" t="inlineStr">
        <is>
          <t>Below this = Reject</t>
        </is>
      </c>
    </row>
    <row r="24">
      <c r="A24" s="68" t="inlineStr">
        <is>
          <t>Low profit margin warning threshold</t>
        </is>
      </c>
      <c r="B24" t="n">
        <v>0.3</v>
      </c>
      <c r="C24" s="66" t="inlineStr">
        <is>
          <t>Auto Flag shows 'Low profit' below this margin, e.g. 0.30 = 30%</t>
        </is>
      </c>
    </row>
    <row r="25">
      <c r="A25" s="68" t="inlineStr">
        <is>
          <t>MOQ warning threshold (units)</t>
        </is>
      </c>
      <c r="B25" t="n">
        <v>50</v>
      </c>
      <c r="C25" s="66" t="inlineStr">
        <is>
          <t>Auto Flag shows 'MOQ too high' above this quantity</t>
        </is>
      </c>
    </row>
    <row r="26">
      <c r="A26" s="68" t="inlineStr">
        <is>
          <t>Monthly Inventory Budget (BDT)</t>
        </is>
      </c>
      <c r="B26" t="n">
        <v>30000</v>
      </c>
      <c r="C26" s="66" t="inlineStr">
        <is>
          <t>Total budget for approved purchases this month — tracked on the Dashboard</t>
        </is>
      </c>
    </row>
  </sheetData>
  <mergeCells count="2">
    <mergeCell ref="A1:C1"/>
    <mergeCell ref="A2:D2"/>
  </mergeCells>
  <pageMargins left="0.75" right="0.75" top="1" bottom="1" header="0.5" footer="0.5"/>
</worksheet>
</file>

<file path=xl/worksheets/sheet5.xml><?xml version="1.0" encoding="utf-8"?>
<worksheet xmlns="http://schemas.openxmlformats.org/spreadsheetml/2006/main">
  <sheetPr>
    <tabColor rgb="00B89B5E"/>
    <outlinePr summaryBelow="1" summaryRight="1"/>
    <pageSetUpPr/>
  </sheetPr>
  <dimension ref="A1:N1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2" customWidth="1" min="14" max="14"/>
  </cols>
  <sheetData>
    <row r="1">
      <c r="A1" s="67" t="inlineStr">
        <is>
          <t>Source Platform</t>
        </is>
      </c>
      <c r="B1" s="67" t="inlineStr">
        <is>
          <t>Category</t>
        </is>
      </c>
      <c r="C1" s="67" t="inlineStr">
        <is>
          <t>Source Currency</t>
        </is>
      </c>
      <c r="D1" s="67" t="inlineStr">
        <is>
          <t>Decision</t>
        </is>
      </c>
      <c r="E1" s="67" t="inlineStr">
        <is>
          <t>Approval Status</t>
        </is>
      </c>
      <c r="F1" s="67" t="inlineStr">
        <is>
          <t>Score (1-5)</t>
        </is>
      </c>
      <c r="G1" s="67" t="inlineStr">
        <is>
          <t>Yes/No</t>
        </is>
      </c>
      <c r="H1" s="67" t="inlineStr">
        <is>
          <t>Risk Level</t>
        </is>
      </c>
      <c r="I1" s="67" t="inlineStr">
        <is>
          <t>Packaging Difficulty</t>
        </is>
      </c>
      <c r="J1" s="67" t="inlineStr">
        <is>
          <t>Sourcing Status</t>
        </is>
      </c>
      <c r="K1" s="67" t="inlineStr">
        <is>
          <t>QC Status</t>
        </is>
      </c>
      <c r="L1" s="67" t="inlineStr">
        <is>
          <t>AI Tool</t>
        </is>
      </c>
      <c r="M1" s="67" t="inlineStr">
        <is>
          <t>Category</t>
        </is>
      </c>
      <c r="N1" s="67" t="inlineStr">
        <is>
          <t>SKU Prefix</t>
        </is>
      </c>
    </row>
    <row r="2">
      <c r="A2" t="inlineStr">
        <is>
          <t>SkyBuyBD</t>
        </is>
      </c>
      <c r="B2" t="inlineStr">
        <is>
          <t>Earrings</t>
        </is>
      </c>
      <c r="C2" t="inlineStr">
        <is>
          <t>BDT</t>
        </is>
      </c>
      <c r="D2" t="inlineStr">
        <is>
          <t>Buy</t>
        </is>
      </c>
      <c r="E2" t="inlineStr">
        <is>
          <t>Pending</t>
        </is>
      </c>
      <c r="F2" t="n">
        <v>1</v>
      </c>
      <c r="G2" t="inlineStr">
        <is>
          <t>Yes</t>
        </is>
      </c>
      <c r="H2" t="inlineStr">
        <is>
          <t>Low</t>
        </is>
      </c>
      <c r="I2" t="inlineStr">
        <is>
          <t>Easy</t>
        </is>
      </c>
      <c r="J2" t="inlineStr">
        <is>
          <t>Not Started</t>
        </is>
      </c>
      <c r="K2" t="inlineStr">
        <is>
          <t>Not Arrived</t>
        </is>
      </c>
      <c r="L2" t="inlineStr">
        <is>
          <t>Claude</t>
        </is>
      </c>
      <c r="M2" t="inlineStr">
        <is>
          <t>Earrings</t>
        </is>
      </c>
      <c r="N2" t="inlineStr">
        <is>
          <t>EAR</t>
        </is>
      </c>
    </row>
    <row r="3">
      <c r="A3" t="inlineStr">
        <is>
          <t>AliExpress</t>
        </is>
      </c>
      <c r="B3" t="inlineStr">
        <is>
          <t>Necklace</t>
        </is>
      </c>
      <c r="C3" t="inlineStr">
        <is>
          <t>USD</t>
        </is>
      </c>
      <c r="D3" t="inlineStr">
        <is>
          <t>Maybe</t>
        </is>
      </c>
      <c r="E3" t="inlineStr">
        <is>
          <t>Approved</t>
        </is>
      </c>
      <c r="F3" t="n">
        <v>2</v>
      </c>
      <c r="G3" t="inlineStr">
        <is>
          <t>No</t>
        </is>
      </c>
      <c r="H3" t="inlineStr">
        <is>
          <t>Medium</t>
        </is>
      </c>
      <c r="I3" t="inlineStr">
        <is>
          <t>Medium</t>
        </is>
      </c>
      <c r="J3" t="inlineStr">
        <is>
          <t>Sourcing</t>
        </is>
      </c>
      <c r="K3" t="inlineStr">
        <is>
          <t>QC Pending</t>
        </is>
      </c>
      <c r="L3" t="inlineStr">
        <is>
          <t>ChatGPT</t>
        </is>
      </c>
      <c r="M3" t="inlineStr">
        <is>
          <t>Necklace</t>
        </is>
      </c>
      <c r="N3" t="inlineStr">
        <is>
          <t>NEC</t>
        </is>
      </c>
    </row>
    <row r="4">
      <c r="A4" t="inlineStr">
        <is>
          <t>Yiwugo</t>
        </is>
      </c>
      <c r="B4" t="inlineStr">
        <is>
          <t>Bracelet</t>
        </is>
      </c>
      <c r="C4" t="inlineStr">
        <is>
          <t>RMB</t>
        </is>
      </c>
      <c r="D4" t="inlineStr">
        <is>
          <t>Price Review</t>
        </is>
      </c>
      <c r="E4" t="inlineStr">
        <is>
          <t>Rejected</t>
        </is>
      </c>
      <c r="F4" t="n">
        <v>3</v>
      </c>
      <c r="H4" t="inlineStr">
        <is>
          <t>High</t>
        </is>
      </c>
      <c r="I4" t="inlineStr">
        <is>
          <t>Hard</t>
        </is>
      </c>
      <c r="J4" t="inlineStr">
        <is>
          <t>Sample Ordered</t>
        </is>
      </c>
      <c r="K4" t="inlineStr">
        <is>
          <t>QC Passed</t>
        </is>
      </c>
      <c r="L4" t="inlineStr">
        <is>
          <t>Gemini</t>
        </is>
      </c>
      <c r="M4" t="inlineStr">
        <is>
          <t>Bracelet</t>
        </is>
      </c>
      <c r="N4" t="inlineStr">
        <is>
          <t>BRC</t>
        </is>
      </c>
    </row>
    <row r="5">
      <c r="A5" t="inlineStr">
        <is>
          <t>1688</t>
        </is>
      </c>
      <c r="B5" t="inlineStr">
        <is>
          <t>Ring</t>
        </is>
      </c>
      <c r="D5" t="inlineStr">
        <is>
          <t>Reject</t>
        </is>
      </c>
      <c r="E5" t="inlineStr">
        <is>
          <t>On Hold</t>
        </is>
      </c>
      <c r="F5" t="n">
        <v>4</v>
      </c>
      <c r="J5" t="inlineStr">
        <is>
          <t>Sample Received</t>
        </is>
      </c>
      <c r="K5" t="inlineStr">
        <is>
          <t>Minor Defect</t>
        </is>
      </c>
      <c r="L5" t="inlineStr">
        <is>
          <t>Other</t>
        </is>
      </c>
      <c r="M5" t="inlineStr">
        <is>
          <t>Ring</t>
        </is>
      </c>
      <c r="N5" t="inlineStr">
        <is>
          <t>RNG</t>
        </is>
      </c>
    </row>
    <row r="6">
      <c r="A6" t="inlineStr">
        <is>
          <t>Local Wholesale</t>
        </is>
      </c>
      <c r="B6" t="inlineStr">
        <is>
          <t>Hair Accessory</t>
        </is>
      </c>
      <c r="F6" t="n">
        <v>5</v>
      </c>
      <c r="J6" t="inlineStr">
        <is>
          <t>Approved - Not Ordered</t>
        </is>
      </c>
      <c r="K6" t="inlineStr">
        <is>
          <t>QC Failed</t>
        </is>
      </c>
      <c r="M6" t="inlineStr">
        <is>
          <t>Hair Accessory</t>
        </is>
      </c>
      <c r="N6" t="inlineStr">
        <is>
          <t>HAR</t>
        </is>
      </c>
    </row>
    <row r="7">
      <c r="A7" t="inlineStr">
        <is>
          <t>Other</t>
        </is>
      </c>
      <c r="B7" t="inlineStr">
        <is>
          <t>Bag</t>
        </is>
      </c>
      <c r="J7" t="inlineStr">
        <is>
          <t>Ordered</t>
        </is>
      </c>
      <c r="K7" t="inlineStr">
        <is>
          <t>Discount Sell</t>
        </is>
      </c>
      <c r="M7" t="inlineStr">
        <is>
          <t>Bag</t>
        </is>
      </c>
      <c r="N7" t="inlineStr">
        <is>
          <t>BAG</t>
        </is>
      </c>
    </row>
    <row r="8">
      <c r="B8" t="inlineStr">
        <is>
          <t>Belt</t>
        </is>
      </c>
      <c r="J8" t="inlineStr">
        <is>
          <t>In Transit</t>
        </is>
      </c>
      <c r="K8" t="inlineStr">
        <is>
          <t>Return/Reject</t>
        </is>
      </c>
      <c r="M8" t="inlineStr">
        <is>
          <t>Belt</t>
        </is>
      </c>
      <c r="N8" t="inlineStr">
        <is>
          <t>BLT</t>
        </is>
      </c>
    </row>
    <row r="9">
      <c r="B9" t="inlineStr">
        <is>
          <t>Sunglasses</t>
        </is>
      </c>
      <c r="J9" t="inlineStr">
        <is>
          <t>Arrived</t>
        </is>
      </c>
      <c r="M9" t="inlineStr">
        <is>
          <t>Sunglasses</t>
        </is>
      </c>
      <c r="N9" t="inlineStr">
        <is>
          <t>SUN</t>
        </is>
      </c>
    </row>
    <row r="10">
      <c r="B10" t="inlineStr">
        <is>
          <t>Watch</t>
        </is>
      </c>
      <c r="J10" t="inlineStr">
        <is>
          <t>Live on Website</t>
        </is>
      </c>
      <c r="M10" t="inlineStr">
        <is>
          <t>Watch</t>
        </is>
      </c>
      <c r="N10" t="inlineStr">
        <is>
          <t>WCH</t>
        </is>
      </c>
    </row>
    <row r="11">
      <c r="B11" t="inlineStr">
        <is>
          <t>Scarf</t>
        </is>
      </c>
      <c r="M11" t="inlineStr">
        <is>
          <t>Scarf</t>
        </is>
      </c>
      <c r="N11" t="inlineStr">
        <is>
          <t>SCF</t>
        </is>
      </c>
    </row>
    <row r="12">
      <c r="B12" t="inlineStr">
        <is>
          <t>Hijab Accessory</t>
        </is>
      </c>
      <c r="M12" t="inlineStr">
        <is>
          <t>Hijab Accessory</t>
        </is>
      </c>
      <c r="N12" t="inlineStr">
        <is>
          <t>HIJ</t>
        </is>
      </c>
    </row>
    <row r="13">
      <c r="B13" t="inlineStr">
        <is>
          <t>Gift Set</t>
        </is>
      </c>
      <c r="M13" t="inlineStr">
        <is>
          <t>Gift Set</t>
        </is>
      </c>
      <c r="N13" t="inlineStr">
        <is>
          <t>GFT</t>
        </is>
      </c>
    </row>
    <row r="14">
      <c r="B14" t="inlineStr">
        <is>
          <t>Other</t>
        </is>
      </c>
      <c r="M14" t="inlineStr">
        <is>
          <t>Other</t>
        </is>
      </c>
      <c r="N14" t="inlineStr">
        <is>
          <t>OTH</t>
        </is>
      </c>
    </row>
  </sheetData>
  <pageMargins left="0.75" right="0.75" top="1" bottom="1" header="0.5" footer="0.5"/>
</worksheet>
</file>

<file path=xl/worksheets/sheet6.xml><?xml version="1.0" encoding="utf-8"?>
<worksheet xmlns="http://schemas.openxmlformats.org/spreadsheetml/2006/main">
  <sheetPr>
    <tabColor rgb="003B2F2A"/>
    <outlinePr summaryBelow="1" summaryRight="1"/>
    <pageSetUpPr/>
  </sheetPr>
  <dimension ref="A1:B25"/>
  <sheetViews>
    <sheetView workbookViewId="0">
      <selection activeCell="A1" sqref="A1"/>
    </sheetView>
  </sheetViews>
  <sheetFormatPr baseColWidth="8" defaultRowHeight="15"/>
  <cols>
    <col width="34" customWidth="1" min="1" max="1"/>
    <col width="90" customWidth="1" min="2" max="2"/>
  </cols>
  <sheetData>
    <row r="1">
      <c r="A1" s="1" t="inlineStr">
        <is>
          <t>AAYNA Product Scout Lite — How To Use</t>
        </is>
      </c>
    </row>
    <row r="2" ht="100" customHeight="1">
      <c r="A2" s="68" t="inlineStr">
        <is>
          <t>Overview</t>
        </is>
      </c>
      <c r="B2" s="69" t="inlineStr">
        <is>
          <t>This sheet helps the 3 of us score and decide on products from SkyBuyBD, AliExpress, or other China sourcing platforms — fast, consistently, and without spreadsheets fights.
Workflow: Whoever finds a product adds a new row and fills in the WHITE input columns only. The colored formula columns calculate themselves. Then each partner fills in the 10 score columns (or pastes in Claude's scores from the Claude Scoring Prompt tab), and the sheet tells you Buy / Maybe / Price Review / Reject automatically.</t>
        </is>
      </c>
    </row>
    <row r="4" ht="75" customHeight="1">
      <c r="A4" s="70" t="inlineStr">
        <is>
          <t>Step 1 — Add the product</t>
        </is>
      </c>
      <c r="B4" s="69" t="inlineStr">
        <is>
          <t>SKU fills in automatically. Enter Date Added, Product Name, Image/Link, Category, Source Platform, Source URL, Supplier Name.</t>
        </is>
      </c>
    </row>
    <row r="5" ht="75" customHeight="1">
      <c r="A5" s="70" t="inlineStr">
        <is>
          <t>Step 2 — Enter cost info</t>
        </is>
      </c>
      <c r="B5" s="69" t="inlineStr">
        <is>
          <t>Enter Unit Cost in whatever currency the supplier quoted (USD/RMB/BDT), pick the currency, then enter Shipping Cost/Unit and Misc Fees if known. Customs % and Misc Fees auto-fill from Settings tab if left blank.</t>
        </is>
      </c>
    </row>
    <row r="6" ht="75" customHeight="1">
      <c r="A6" s="70" t="inlineStr">
        <is>
          <t>Step 3 — Let it calculate</t>
        </is>
      </c>
      <c r="B6" s="69" t="inlineStr">
        <is>
          <t>Unit Cost (BDT), Estimated Landed Cost, Suggested Selling Price, Expected Profit, and Profit Margin % fill in automatically.</t>
        </is>
      </c>
    </row>
    <row r="7" ht="75" customHeight="1">
      <c r="A7" s="70" t="inlineStr">
        <is>
          <t>Step 4 — Score it (1 = worst, 5 = best)</t>
        </is>
      </c>
      <c r="B7" s="69" t="inlineStr">
        <is>
          <t>Feminine: how feminine/delicate does it look? Trend: how hot is this right now (TikTok/IG/competitors)? AAYNA Aesthetic Fit: how well does it match our dusty rose / cream / antique gold look? Easy to Style: how easily can a customer style this with everyday outfits? Lightweight: how light/comfortable is it to wear or carry? Reels/Photo Potential: how good would this look in a Reel, photo, or unboxing video? Giftability: how good is this as a gift? Price Fit: how comfortably can we sell this under BDT 700 and still profit? Demand: how likely is our target customer to actually want and buy this? Quality/Risk: how low is the risk of poor quality, damage in transit, or returns? Tip: use the Claude Scoring Prompt tab to get an AI first opinion on all 10 scores at once.</t>
        </is>
      </c>
    </row>
    <row r="8" ht="75" customHeight="1">
      <c r="A8" s="70" t="inlineStr">
        <is>
          <t>Step 5 — Read the verdict</t>
        </is>
      </c>
      <c r="B8" s="69" t="inlineStr">
        <is>
          <t>Total Product Score (0-100) calculates automatically using the weights set in the Settings tab. Decision applies these hard rules on top of the score: if Suggested Selling Price is over BDT 700, Decision becomes 'Price Review' (and 'Reject' if it's far over, above the Hard Reject Price Ceiling in Settings); if Quality/Risk or AAYNA Aesthetic Fit score is 1 or 2, Decision can never be 'Buy' (it caps at 'Maybe') even if the total score is high. Buy = green, Maybe = yellow, Price Review = orange, Reject = red.</t>
        </is>
      </c>
    </row>
    <row r="9" ht="75" customHeight="1">
      <c r="A9" s="70" t="inlineStr">
        <is>
          <t>Step 6 — Decide together</t>
        </is>
      </c>
      <c r="B9" s="69" t="inlineStr">
        <is>
          <t>Add a short Reason so the other partners know WHY. Add a Content/Reel Idea so marketing has a head start. Set Approval Status once all partners agree, note who Approved and the date.</t>
        </is>
      </c>
    </row>
    <row r="10" ht="75" customHeight="1">
      <c r="A10" s="70" t="inlineStr">
        <is>
          <t>Step 7 — Sourcing &amp; operations columns</t>
        </is>
      </c>
      <c r="B10" s="69" t="inlineStr">
        <is>
          <t>Once a product looks promising, fill in the sourcing/operations columns (after the scoring columns): Supplier Rating, Product Rating, Sold Count/Order Count, Review Count, and Real Review Photos? help you judge if a supplier is trustworthy. MOQ, Recommended Test Quantity, and Final Approved Quantity track how many units to order; Total Purchase Cost calculates itself (Estimated Landed Cost x Final Approved Quantity) once both are filled in. Weight/Size, Fragility Level, Packaging Difficulty, and Courier Risk flag shipping problems before you commit. Duplicate Found on BD Market?, Competitor Price, and Market Saturation Level help you judge if it's already oversaturated locally.</t>
        </is>
      </c>
    </row>
    <row r="11" ht="75" customHeight="1">
      <c r="A11" s="70" t="inlineStr">
        <is>
          <t>Auto Flag / Warning</t>
        </is>
      </c>
      <c r="B11" s="69" t="inlineStr">
        <is>
          <t>Calculates itself and shows the single biggest problem with a product, in priority order: 'Price too high' (over the price ceiling), 'Quality risk' (Quality/Risk score 1-2), 'Aesthetic mismatch' (Aesthetic Fit score 1-2), 'Too fragile' (Fragility Level = High), 'Low profit' (margin below the Settings threshold), 'MOQ too high' (above the Settings threshold), 'Needs partner review' (still Maybe/Price Review), or 'Good candidate' (a clean Buy with no problems). Use it as a quick at-a-glance warning, not a replacement for reading the Reason column.</t>
        </is>
      </c>
    </row>
    <row r="12" ht="75" customHeight="1">
      <c r="A12" s="70" t="inlineStr">
        <is>
          <t>Website-readiness checklist</t>
        </is>
      </c>
      <c r="B12" s="69" t="inlineStr">
        <is>
          <t>Product Name Finalized?, SKU Finalized?, Photos Ready?, Description Ready?, and Price Approved? are simple Yes/No checkboxes for whoever preps the listing. Ready for Website Upload? calculates itself: it only shows 'Yes' once ALL FIVE of those checklist columns say 'Yes'.</t>
        </is>
      </c>
    </row>
    <row r="13" ht="75" customHeight="1">
      <c r="A13" s="70" t="inlineStr">
        <is>
          <t>Sourcing Status</t>
        </is>
      </c>
      <c r="B13" s="69" t="inlineStr">
        <is>
          <t>Track where a product physically is in the pipeline: Not Started, Sourcing, Sample Ordered, Sample Received, Approved - Not Ordered, Ordered, In Transit, Arrived, or Live on Website. This is separate from Decision/Approval Status — a product can be Approved but still waiting on an order, or Ordered while the website checklist is still in progress.</t>
        </is>
      </c>
    </row>
    <row r="14" ht="75" customHeight="1">
      <c r="A14" s="70" t="inlineStr">
        <is>
          <t>How SKUs are generated</t>
        </is>
      </c>
      <c r="B14" s="69" t="inlineStr">
        <is>
          <t>SKU fills in automatically as AYN-&lt;category code&gt;-&lt;number&gt;, e.g. AYN-EAR-0001 for the first earrings row. The 3-letter code comes from a fixed lookup table (Earrings=EAR, Necklace=NEC, Ring=RNG, Bracelet=BRC, Hair Accessory=HAR, Gift Set=GFT, and one more for every other category) on the Dropdown Lists tab, not from the category spelling, so it never changes even if two categories start with the same letters.</t>
        </is>
      </c>
    </row>
    <row r="15" ht="75" customHeight="1">
      <c r="A15" s="70" t="inlineStr">
        <is>
          <t>Staying inside the monthly budget</t>
        </is>
      </c>
      <c r="B15" s="69" t="inlineStr">
        <is>
          <t>Set Monthly Inventory Budget on the Settings tab once. The Dashboard's Monthly Budget section then tracks Approved Purchase Cost (sum of Total Purchase Cost for every Approved product), Remaining Budget (budget minus that cost), Budget Used %, Approved Quantity, and Number of Approved Products — so you always know how much buying room is left before approving the next product.</t>
        </is>
      </c>
    </row>
    <row r="16" ht="75" customHeight="1">
      <c r="A16" s="70" t="inlineStr">
        <is>
          <t>Actual cost &amp; profit (after ordering)</t>
        </is>
      </c>
      <c r="B16" s="69" t="inlineStr">
        <is>
          <t>SkyBuy/China sourcing costs can shift after shipping, fees, or exchange rate changes, so once an order actually ships, fill in Actual Product Cost and Actual Shipping Cost (both in BDT) and Actual Selling Price. Actual Landed Cost, Actual Profit, and Actual Profit Margin calculate themselves from those three, separately from the original Estimated Landed Cost/Suggested Selling Price — so you can see the real numbers without losing the original estimate.</t>
        </is>
      </c>
    </row>
    <row r="17" ht="75" customHeight="1">
      <c r="A17" s="70" t="inlineStr">
        <is>
          <t>Quality check after arrival</t>
        </is>
      </c>
      <c r="B17" s="69" t="inlineStr">
        <is>
          <t>Once a shipment arrives, fill in Arrival Date, Quantity Received, Defect Count, and QC Notes, then set QC Status: Not Arrived, QC Pending, QC Passed, Minor Defect, QC Failed, Discount Sell, or Return/Reject (color-coded green/yellow/orange/red). Final Stock Accepted calculates itself as Quantity Received minus Defect Count, so you know exactly how many good pieces you actually have to sell.</t>
        </is>
      </c>
    </row>
    <row r="18" ht="75" customHeight="1">
      <c r="A18" s="70" t="inlineStr">
        <is>
          <t>AI scoring trace</t>
        </is>
      </c>
      <c r="B18" s="69" t="inlineStr">
        <is>
          <t>Since Claude, ChatGPT, and Gemini can score the same product differently, record AI Tool Used, AI Score Date, Scored By, and Manual Score Adjusted? (Yes if a partner changed any AI-given score by hand) for every product you score with AI help. Over time this lets you compare which AI tool tends to line up best with the decisions the team actually makes.</t>
        </is>
      </c>
    </row>
    <row r="19" ht="75" customHeight="1">
      <c r="A19" s="70" t="inlineStr">
        <is>
          <t>Adjusting the formulas</t>
        </is>
      </c>
      <c r="B19" s="69" t="inlineStr">
        <is>
          <t>Don't like the default markup, exchange rate, price ceilings, scoring weights, low profit margin warning, MOQ warning threshold, or monthly budget? Change them ONCE in the Settings tab — every row updates automatically. No need to touch the Product Tracker formulas.</t>
        </is>
      </c>
    </row>
    <row r="20" ht="75" customHeight="1">
      <c r="A20" s="70" t="inlineStr">
        <is>
          <t>The Dashboard tab</t>
        </is>
      </c>
      <c r="B20" s="69" t="inlineStr">
        <is>
          <t>A live, read-only overview: how many products are Buy/Maybe/Price Review/Reject; total estimated purchase cost for approved products, products ready for website upload, high-risk products, products with high reel/photo potential, products approved but not ordered yet, and products ordered but not arrived yet; Monthly Budget tracking (Approved Purchase Cost, Remaining Budget, Budget Used %, Approved Quantity, Number of Approved Products); the Top 10 highest scoring products, the best products under BDT 700, the best products for reels/photos, the best giftable products, and everything still waiting on partner review. Nothing on this tab needs to be filled in by hand — it reads straight from the Product Tracker tab.</t>
        </is>
      </c>
    </row>
    <row r="21" ht="75" customHeight="1">
      <c r="A21" s="70" t="inlineStr">
        <is>
          <t>The Claude Scoring Prompt tab</t>
        </is>
      </c>
      <c r="B21" s="69" t="inlineStr">
        <is>
          <t>A ready-to-copy prompt for getting an AI first opinion on a product's 10 scores, a recommended decision, and a content/reel idea, formatted so the reply is easy to paste back into the right columns.</t>
        </is>
      </c>
    </row>
    <row r="22" ht="75" customHeight="1">
      <c r="A22" s="70" t="inlineStr">
        <is>
          <t>Color key</t>
        </is>
      </c>
      <c r="B22" s="69" t="inlineStr">
        <is>
          <t>Green = Buy / Approved. Yellow = Maybe / Pending. Orange = Price Review (price is over our 700 BDT target but might still be worth negotiating). Red = Reject / Rejected, or a Quality/Risk or Aesthetic Fit score of 1-2.</t>
        </is>
      </c>
    </row>
    <row r="23" ht="75" customHeight="1">
      <c r="A23" s="70" t="inlineStr">
        <is>
          <t>Tips for 3-partner teams</t>
        </is>
      </c>
      <c r="B23" s="69" t="inlineStr">
        <is>
          <t>Assign one score block per partner if you want speed (e.g. Partner A scores Feminine + Trend + Aesthetic Fit, Partner B scores Easy to Style + Lightweight + Reels/Photo, Partner C scores Giftability + Price Fit + Demand + Quality/Risk) — or all 3 score independently and average manually before finalizing. Keep the Reason column honest; it's your shared memory.</t>
        </is>
      </c>
    </row>
    <row r="24" ht="75" customHeight="1">
      <c r="A24" s="70" t="inlineStr">
        <is>
          <t>Where to enter new products</t>
        </is>
      </c>
      <c r="B24" s="69" t="inlineStr">
        <is>
          <t>Rows 3-7 are demo rows, one for each decision branch — leave them as examples or delete them once the team is comfortable. Start entering real products from row 8 onward; the Product Tracker has 498 ready-to-use rows (3-500). Never type over a colored, calculating column (SKU, costs, scores, Decision, Auto Flag/Warning, the readiness checklist, Actual Profit, or Final Stock Accepted) — only the white manual-input columns should be typed into.</t>
        </is>
      </c>
    </row>
    <row r="25" ht="75" customHeight="1">
      <c r="A25" s="70" t="inlineStr">
        <is>
          <t>Backups</t>
        </is>
      </c>
      <c r="B25" s="69" t="inlineStr">
        <is>
          <t>Keep one clean, untouched copy of this file somewhere safe before partners start editing, so there's always a working version to recover from if a formula ever gets accidentally overwritten.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2026-06-26T11:36:44Z</dcterms:created>
  <dcterms:modified xsi:type="dcterms:W3CDTF">2026-06-26T11:36:45Z</dcterms:modified>
</cp:coreProperties>
</file>