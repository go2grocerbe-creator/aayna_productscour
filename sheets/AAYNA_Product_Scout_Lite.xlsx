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Tracker" sheetId="1" state="visible" r:id="rId1"/>
    <sheet name="Settings" sheetId="2" state="visible" r:id="rId2"/>
    <sheet name="Dropdown Lists" sheetId="3" state="visible" r:id="rId3"/>
    <sheet name="Instructions" sheetId="4" state="visible" r:id="rId4"/>
  </sheets>
  <definedNames>
    <definedName name="USD_BDT">Settings!$B$5</definedName>
    <definedName name="RMB_BDT">Settings!$B$6</definedName>
    <definedName name="CUSTOMS_PCT">Settings!$B$7</definedName>
    <definedName name="MISC_FEE">Settings!$B$8</definedName>
    <definedName name="MARKUP_PCT">Settings!$B$9</definedName>
    <definedName name="MAX_PRICE">Settings!$B$10</definedName>
    <definedName name="W_TREND">Settings!$B$11</definedName>
    <definedName name="W_BRAND">Settings!$B$12</definedName>
    <definedName name="W_DEMAND">Settings!$B$13</definedName>
    <definedName name="W_COMPETITION">Settings!$B$14</definedName>
    <definedName name="W_PRICEFIT">Settings!$B$15</definedName>
    <definedName name="BUY_THRESHOLD">Settings!$B$16</definedName>
    <definedName name="MAYBE_THRESHOLD">Settings!$B$17</definedName>
    <definedName name="LIST_PLATFORM">'Dropdown Lists'!$A$2:$A$7</definedName>
    <definedName name="LIST_CATEGORY">'Dropdown Lists'!$B$2:$B$13</definedName>
    <definedName name="LIST_CURRENCY">'Dropdown Lists'!$C$2:$C$4</definedName>
    <definedName name="LIST_DECISION">'Dropdown Lists'!$D$2:$D$4</definedName>
    <definedName name="LIST_APPROVAL">'Dropdown Lists'!$E$2:$E$5</definedName>
    <definedName name="LIST_SCORE">'Dropdown Lists'!$F$2:$F$6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 &quot;BDT&quot;"/>
  </numFmts>
  <fonts count="7">
    <font>
      <name val="Calibri"/>
      <family val="2"/>
      <color theme="1"/>
      <sz val="11"/>
      <scheme val="minor"/>
    </font>
    <font>
      <b val="1"/>
      <color rgb="003B2F2A"/>
      <sz val="14"/>
    </font>
    <font>
      <i val="1"/>
      <color rgb="006B5B53"/>
      <sz val="9"/>
    </font>
    <font>
      <b val="1"/>
      <color rgb="00FFFFFF"/>
      <sz val="12"/>
    </font>
    <font>
      <b val="1"/>
      <color rgb="003B2F2A"/>
    </font>
    <font>
      <i val="1"/>
      <color rgb="006B5B53"/>
      <sz val="10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C98B95"/>
      </patternFill>
    </fill>
    <fill>
      <patternFill patternType="solid">
        <fgColor rgb="00B89B5E"/>
      </patternFill>
    </fill>
    <fill>
      <patternFill patternType="solid">
        <fgColor rgb="008FA98E"/>
      </patternFill>
    </fill>
    <fill>
      <patternFill patternType="solid">
        <fgColor rgb="003B2F2A"/>
      </patternFill>
    </fill>
    <fill>
      <patternFill patternType="solid">
        <fgColor rgb="006B4F4F"/>
      </patternFill>
    </fill>
    <fill>
      <patternFill patternType="solid">
        <fgColor rgb="00FBF7F2"/>
      </patternFill>
    </fill>
  </fills>
  <borders count="2">
    <border>
      <left/>
      <right/>
      <top/>
      <bottom/>
      <diagonal/>
    </border>
    <border>
      <left style="thin">
        <color rgb="00D9CDC3"/>
      </left>
      <right style="thin">
        <color rgb="00D9CDC3"/>
      </right>
      <top style="thin">
        <color rgb="00D9CDC3"/>
      </top>
      <bottom style="thin">
        <color rgb="00D9CDC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1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164" fontId="0" fillId="7" borderId="1" applyAlignment="1" pivotButton="0" quotePrefix="0" xfId="0">
      <alignment vertical="center"/>
    </xf>
    <xf numFmtId="165" fontId="0" fillId="7" borderId="1" applyAlignment="1" pivotButton="0" quotePrefix="0" xfId="0">
      <alignment vertical="center"/>
    </xf>
    <xf numFmtId="9" fontId="0" fillId="7" borderId="1" applyAlignment="1" pivotButton="0" quotePrefix="0" xfId="0">
      <alignment vertical="center"/>
    </xf>
    <xf numFmtId="1" fontId="0" fillId="7" borderId="1" applyAlignment="1" pivotButton="0" quotePrefix="0" xfId="0">
      <alignment vertical="center"/>
    </xf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E7B34"/>
      </font>
      <fill>
        <patternFill patternType="solid">
          <fgColor rgb="00C6EFCE"/>
        </patternFill>
      </fill>
    </dxf>
    <dxf>
      <font>
        <b val="1"/>
        <color rgb="009C7A00"/>
      </font>
      <fill>
        <patternFill patternType="solid">
          <fgColor rgb="00FFF3C4"/>
        </patternFill>
      </fill>
    </dxf>
    <dxf>
      <font>
        <b val="1"/>
        <color rgb="00B23A32"/>
      </font>
      <fill>
        <patternFill patternType="solid">
          <fgColor rgb="00F8CFCB"/>
        </patternFill>
      </fill>
    </dxf>
    <dxf>
      <font>
        <b val="1"/>
        <color rgb="00B23A32"/>
      </font>
    </dxf>
    <dxf>
      <fill>
        <patternFill patternType="solid">
          <fgColor rgb="00C6EFCE"/>
        </patternFill>
      </fill>
    </dxf>
    <dxf>
      <fill>
        <patternFill patternType="solid">
          <fgColor rgb="00F8CFCB"/>
        </patternFill>
      </fill>
    </dxf>
    <dxf>
      <fill>
        <patternFill patternType="solid">
          <f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8B95"/>
    <outlinePr summaryBelow="1" summaryRight="1"/>
    <pageSetUpPr/>
  </sheetPr>
  <dimension ref="A1:AD4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22" customWidth="1" min="4" max="4"/>
    <col width="16" customWidth="1" min="5" max="5"/>
    <col width="14" customWidth="1" min="6" max="6"/>
    <col width="22" customWidth="1" min="7" max="7"/>
    <col width="18" customWidth="1" min="8" max="8"/>
    <col width="14" customWidth="1" min="9" max="9"/>
    <col width="12" customWidth="1" min="10" max="10"/>
    <col width="13" customWidth="1" min="11" max="11"/>
    <col width="14" customWidth="1" min="12" max="12"/>
    <col width="12" customWidth="1" min="13" max="13"/>
    <col width="13" customWidth="1" min="14" max="14"/>
    <col width="15" customWidth="1" min="15" max="15"/>
    <col width="16" customWidth="1" min="16" max="16"/>
    <col width="14" customWidth="1" min="17" max="17"/>
    <col width="12" customWidth="1" min="18" max="18"/>
    <col width="11" customWidth="1" min="19" max="19"/>
    <col width="11" customWidth="1" min="20" max="20"/>
    <col width="11" customWidth="1" min="21" max="21"/>
    <col width="12" customWidth="1" min="22" max="22"/>
    <col width="11" customWidth="1" min="23" max="23"/>
    <col width="13" customWidth="1" min="24" max="24"/>
    <col width="11" customWidth="1" min="25" max="25"/>
    <col width="28" customWidth="1" min="26" max="26"/>
    <col width="30" customWidth="1" min="27" max="27"/>
    <col width="13" customWidth="1" min="28" max="28"/>
    <col width="14" customWidth="1" min="29" max="29"/>
    <col width="13" customWidth="1" min="30" max="30"/>
  </cols>
  <sheetData>
    <row r="1">
      <c r="A1" s="1" t="inlineStr">
        <is>
          <t>AAYNA Product Scout Lite — Product Tracker</t>
        </is>
      </c>
      <c r="I1" s="2" t="inlineStr">
        <is>
          <t>Reflect your everyday style — sourcing decisions, made together.</t>
        </is>
      </c>
    </row>
    <row r="2" ht="38" customHeight="1">
      <c r="A2" s="3" t="inlineStr">
        <is>
          <t>SKU</t>
        </is>
      </c>
      <c r="B2" s="3" t="inlineStr">
        <is>
          <t>Date Added</t>
        </is>
      </c>
      <c r="C2" s="3" t="inlineStr">
        <is>
          <t>Product Name</t>
        </is>
      </c>
      <c r="D2" s="3" t="inlineStr">
        <is>
          <t>Product Image/Link</t>
        </is>
      </c>
      <c r="E2" s="3" t="inlineStr">
        <is>
          <t>Category</t>
        </is>
      </c>
      <c r="F2" s="3" t="inlineStr">
        <is>
          <t>Source Platform</t>
        </is>
      </c>
      <c r="G2" s="3" t="inlineStr">
        <is>
          <t>Source URL</t>
        </is>
      </c>
      <c r="H2" s="3" t="inlineStr">
        <is>
          <t>Supplier Name</t>
        </is>
      </c>
      <c r="I2" s="4" t="inlineStr">
        <is>
          <t>Unit Cost (Source Currency)</t>
        </is>
      </c>
      <c r="J2" s="4" t="inlineStr">
        <is>
          <t>Source Currency</t>
        </is>
      </c>
      <c r="K2" s="4" t="inlineStr">
        <is>
          <t>Unit Cost (BDT)</t>
        </is>
      </c>
      <c r="L2" s="4" t="inlineStr">
        <is>
          <t>Shipping Cost/Unit (BDT)</t>
        </is>
      </c>
      <c r="M2" s="4" t="inlineStr">
        <is>
          <t>Customs/Duty %</t>
        </is>
      </c>
      <c r="N2" s="4" t="inlineStr">
        <is>
          <t>Misc Fees/Unit (BDT)</t>
        </is>
      </c>
      <c r="O2" s="4" t="inlineStr">
        <is>
          <t>Estimated Landed Cost (BDT)</t>
        </is>
      </c>
      <c r="P2" s="5" t="inlineStr">
        <is>
          <t>Suggested Selling Price (BDT)</t>
        </is>
      </c>
      <c r="Q2" s="5" t="inlineStr">
        <is>
          <t>Expected Profit/Unit (BDT)</t>
        </is>
      </c>
      <c r="R2" s="5" t="inlineStr">
        <is>
          <t>Profit Margin %</t>
        </is>
      </c>
      <c r="S2" s="6" t="inlineStr">
        <is>
          <t>Trend Score (1-5)</t>
        </is>
      </c>
      <c r="T2" s="6" t="inlineStr">
        <is>
          <t>Brand Fit Score (1-5)</t>
        </is>
      </c>
      <c r="U2" s="6" t="inlineStr">
        <is>
          <t>Demand Score (1-5)</t>
        </is>
      </c>
      <c r="V2" s="6" t="inlineStr">
        <is>
          <t>Competition Score (1-5)</t>
        </is>
      </c>
      <c r="W2" s="6" t="inlineStr">
        <is>
          <t>Price Fit Score (1-5)</t>
        </is>
      </c>
      <c r="X2" s="6" t="inlineStr">
        <is>
          <t>Total Product Score (/100)</t>
        </is>
      </c>
      <c r="Y2" s="6" t="inlineStr">
        <is>
          <t>Decision</t>
        </is>
      </c>
      <c r="Z2" s="6" t="inlineStr">
        <is>
          <t>Reason</t>
        </is>
      </c>
      <c r="AA2" s="7" t="inlineStr">
        <is>
          <t>SKU/Content/Reel Idea</t>
        </is>
      </c>
      <c r="AB2" s="7" t="inlineStr">
        <is>
          <t>Approval Status</t>
        </is>
      </c>
      <c r="AC2" s="7" t="inlineStr">
        <is>
          <t>Approved By</t>
        </is>
      </c>
      <c r="AD2" s="7" t="inlineStr">
        <is>
          <t>Date Decided</t>
        </is>
      </c>
    </row>
    <row r="3">
      <c r="A3" s="8">
        <f>IF(C3="","","AYN-"&amp;UPPER(LEFT(E3,3))&amp;"-"&amp;TEXT(ROW()-2,"000"))</f>
        <v/>
      </c>
      <c r="B3" s="9" t="inlineStr">
        <is>
          <t>2026-06-20</t>
        </is>
      </c>
      <c r="C3" s="8" t="inlineStr">
        <is>
          <t>Antique Gold Hoop Earrings</t>
        </is>
      </c>
      <c r="D3" s="8" t="inlineStr">
        <is>
          <t>drive.google.com/sample1</t>
        </is>
      </c>
      <c r="E3" s="8" t="inlineStr">
        <is>
          <t>Earrings</t>
        </is>
      </c>
      <c r="F3" s="8" t="inlineStr">
        <is>
          <t>AliExpress</t>
        </is>
      </c>
      <c r="G3" s="8" t="inlineStr">
        <is>
          <t>aliexpress.com/item/sample1</t>
        </is>
      </c>
      <c r="H3" s="8" t="inlineStr">
        <is>
          <t>Lin Wei Trading</t>
        </is>
      </c>
      <c r="I3" s="8" t="n">
        <v>1.8</v>
      </c>
      <c r="J3" s="8" t="inlineStr">
        <is>
          <t>USD</t>
        </is>
      </c>
      <c r="K3" s="10">
        <f>IF(I3="","",IF(J3="BDT",I3,IF(J3="USD",I3*USD_BDT,IF(J3="RMB",I3*RMB_BDT,""))))</f>
        <v/>
      </c>
      <c r="L3" s="10" t="n">
        <v>25</v>
      </c>
      <c r="M3" s="11" t="n"/>
      <c r="N3" s="10" t="n">
        <v>15</v>
      </c>
      <c r="O3" s="10">
        <f>IF(K3="","",K3+IFERROR(L3,0)+(K3*IF(M3="",CUSTOMS_PCT,M3))+IF(N3="",MISC_FEE,N3))</f>
        <v/>
      </c>
      <c r="P3" s="10">
        <f>IF(O3="","",ROUND(O3*(1+MARKUP_PCT),-1)-1)</f>
        <v/>
      </c>
      <c r="Q3" s="10">
        <f>IF(P3="","",P3-O3)</f>
        <v/>
      </c>
      <c r="R3" s="11">
        <f>IF(OR(P3="",P3=0),"",Q3/P3)</f>
        <v/>
      </c>
      <c r="S3" s="8" t="n">
        <v>4</v>
      </c>
      <c r="T3" s="8" t="n">
        <v>5</v>
      </c>
      <c r="U3" s="8" t="n">
        <v>4</v>
      </c>
      <c r="V3" s="8" t="n">
        <v>3</v>
      </c>
      <c r="W3" s="8" t="n">
        <v>4</v>
      </c>
      <c r="X3" s="12">
        <f>IF(COUNT(S3:W3)&lt;5,"",(S3*W_TREND+T3*W_BRAND+U3*W_DEMAND+V3*W_COMPETITION+W3*W_PRICEFIT)/5*100)</f>
        <v/>
      </c>
      <c r="Y3" s="8">
        <f>IF(X3="","",IF(X3&gt;=BUY_THRESHOLD,"Buy",IF(X3&gt;=MAYBE_THRESHOLD,"Maybe","Reject")))</f>
        <v/>
      </c>
      <c r="Z3" s="8" t="n"/>
      <c r="AA3" s="8" t="inlineStr">
        <is>
          <t>Strong match for AAYNA's gold/feminine aesthetic; trending on TikTok.</t>
        </is>
      </c>
      <c r="AB3" s="8" t="inlineStr">
        <is>
          <t>Approved</t>
        </is>
      </c>
      <c r="AC3" s="8" t="inlineStr">
        <is>
          <t>Reel: 'Get Ready With Me' earring swap, 3 looks in 15 sec.</t>
        </is>
      </c>
      <c r="AD3" s="9" t="inlineStr">
        <is>
          <t>2026-06-21</t>
        </is>
      </c>
    </row>
    <row r="4">
      <c r="A4" s="13">
        <f>IF(C4="","","AYN-"&amp;UPPER(LEFT(E4,3))&amp;"-"&amp;TEXT(ROW()-2,"000"))</f>
        <v/>
      </c>
      <c r="B4" s="14" t="inlineStr">
        <is>
          <t>2026-06-21</t>
        </is>
      </c>
      <c r="C4" s="13" t="inlineStr">
        <is>
          <t>Dusty Rose Pearl Hair Clip Set</t>
        </is>
      </c>
      <c r="D4" s="13" t="inlineStr">
        <is>
          <t>drive.google.com/sample2</t>
        </is>
      </c>
      <c r="E4" s="13" t="inlineStr">
        <is>
          <t>Hair Accessory</t>
        </is>
      </c>
      <c r="F4" s="13" t="inlineStr">
        <is>
          <t>SkyBuyBD</t>
        </is>
      </c>
      <c r="G4" s="13" t="inlineStr">
        <is>
          <t>skybuybd.com/item/sample2</t>
        </is>
      </c>
      <c r="H4" s="13" t="inlineStr">
        <is>
          <t>Skybuy Supplier 22</t>
        </is>
      </c>
      <c r="I4" s="13" t="n">
        <v>90</v>
      </c>
      <c r="J4" s="13" t="inlineStr">
        <is>
          <t>BDT</t>
        </is>
      </c>
      <c r="K4" s="15">
        <f>IF(I4="","",IF(J4="BDT",I4,IF(J4="USD",I4*USD_BDT,IF(J4="RMB",I4*RMB_BDT,""))))</f>
        <v/>
      </c>
      <c r="L4" s="15" t="n">
        <v>10</v>
      </c>
      <c r="M4" s="16" t="n">
        <v>0.05</v>
      </c>
      <c r="N4" s="15" t="n">
        <v>12</v>
      </c>
      <c r="O4" s="15">
        <f>IF(K4="","",K4+IFERROR(L4,0)+(K4*IF(M4="",CUSTOMS_PCT,M4))+IF(N4="",MISC_FEE,N4))</f>
        <v/>
      </c>
      <c r="P4" s="15">
        <f>IF(O4="","",ROUND(O4*(1+MARKUP_PCT),-1)-1)</f>
        <v/>
      </c>
      <c r="Q4" s="15">
        <f>IF(P4="","",P4-O4)</f>
        <v/>
      </c>
      <c r="R4" s="16">
        <f>IF(OR(P4="",P4=0),"",Q4/P4)</f>
        <v/>
      </c>
      <c r="S4" s="13" t="n">
        <v>3</v>
      </c>
      <c r="T4" s="13" t="n">
        <v>4</v>
      </c>
      <c r="U4" s="13" t="n">
        <v>3</v>
      </c>
      <c r="V4" s="13" t="n">
        <v>2</v>
      </c>
      <c r="W4" s="13" t="n">
        <v>5</v>
      </c>
      <c r="X4" s="17">
        <f>IF(COUNT(S4:W4)&lt;5,"",(S4*W_TREND+T4*W_BRAND+U4*W_DEMAND+V4*W_COMPETITION+W4*W_PRICEFIT)/5*100)</f>
        <v/>
      </c>
      <c r="Y4" s="13">
        <f>IF(X4="","",IF(X4&gt;=BUY_THRESHOLD,"Buy",IF(X4&gt;=MAYBE_THRESHOLD,"Maybe","Reject")))</f>
        <v/>
      </c>
      <c r="Z4" s="13" t="n"/>
      <c r="AA4" s="13" t="inlineStr">
        <is>
          <t>Good margin but lots of similar clips already in market; watch competition.</t>
        </is>
      </c>
      <c r="AB4" s="13" t="inlineStr">
        <is>
          <t>Pending</t>
        </is>
      </c>
      <c r="AC4" s="13" t="inlineStr">
        <is>
          <t>Carousel post: 5 hairstyles using one clip set.</t>
        </is>
      </c>
      <c r="AD4" s="14" t="inlineStr"/>
    </row>
    <row r="5">
      <c r="A5" s="8">
        <f>IF(C5="","","AYN-"&amp;UPPER(LEFT(E5,3))&amp;"-"&amp;TEXT(ROW()-2,"000"))</f>
        <v/>
      </c>
      <c r="B5" s="9" t="n"/>
      <c r="C5" s="8" t="n"/>
      <c r="D5" s="8" t="n"/>
      <c r="E5" s="8" t="n"/>
      <c r="F5" s="8" t="n"/>
      <c r="G5" s="8" t="n"/>
      <c r="H5" s="8" t="n"/>
      <c r="I5" s="8" t="n"/>
      <c r="J5" s="8" t="n"/>
      <c r="K5" s="10">
        <f>IF(I5="","",IF(J5="BDT",I5,IF(J5="USD",I5*USD_BDT,IF(J5="RMB",I5*RMB_BDT,""))))</f>
        <v/>
      </c>
      <c r="L5" s="10" t="n"/>
      <c r="M5" s="11" t="n"/>
      <c r="N5" s="10" t="n"/>
      <c r="O5" s="10">
        <f>IF(K5="","",K5+IFERROR(L5,0)+(K5*IF(M5="",CUSTOMS_PCT,M5))+IF(N5="",MISC_FEE,N5))</f>
        <v/>
      </c>
      <c r="P5" s="10">
        <f>IF(O5="","",ROUND(O5*(1+MARKUP_PCT),-1)-1)</f>
        <v/>
      </c>
      <c r="Q5" s="10">
        <f>IF(P5="","",P5-O5)</f>
        <v/>
      </c>
      <c r="R5" s="11">
        <f>IF(OR(P5="",P5=0),"",Q5/P5)</f>
        <v/>
      </c>
      <c r="S5" s="8" t="n"/>
      <c r="T5" s="8" t="n"/>
      <c r="U5" s="8" t="n"/>
      <c r="V5" s="8" t="n"/>
      <c r="W5" s="8" t="n"/>
      <c r="X5" s="12">
        <f>IF(COUNT(S5:W5)&lt;5,"",(S5*W_TREND+T5*W_BRAND+U5*W_DEMAND+V5*W_COMPETITION+W5*W_PRICEFIT)/5*100)</f>
        <v/>
      </c>
      <c r="Y5" s="8">
        <f>IF(X5="","",IF(X5&gt;=BUY_THRESHOLD,"Buy",IF(X5&gt;=MAYBE_THRESHOLD,"Maybe","Reject")))</f>
        <v/>
      </c>
      <c r="Z5" s="8" t="n"/>
      <c r="AA5" s="8" t="n"/>
      <c r="AB5" s="8" t="n"/>
      <c r="AC5" s="8" t="n"/>
      <c r="AD5" s="9" t="n"/>
    </row>
    <row r="6">
      <c r="A6" s="13">
        <f>IF(C6="","","AYN-"&amp;UPPER(LEFT(E6,3))&amp;"-"&amp;TEXT(ROW()-2,"000"))</f>
        <v/>
      </c>
      <c r="B6" s="14" t="n"/>
      <c r="C6" s="13" t="n"/>
      <c r="D6" s="13" t="n"/>
      <c r="E6" s="13" t="n"/>
      <c r="F6" s="13" t="n"/>
      <c r="G6" s="13" t="n"/>
      <c r="H6" s="13" t="n"/>
      <c r="I6" s="13" t="n"/>
      <c r="J6" s="13" t="n"/>
      <c r="K6" s="15">
        <f>IF(I6="","",IF(J6="BDT",I6,IF(J6="USD",I6*USD_BDT,IF(J6="RMB",I6*RMB_BDT,""))))</f>
        <v/>
      </c>
      <c r="L6" s="15" t="n"/>
      <c r="M6" s="16" t="n"/>
      <c r="N6" s="15" t="n"/>
      <c r="O6" s="15">
        <f>IF(K6="","",K6+IFERROR(L6,0)+(K6*IF(M6="",CUSTOMS_PCT,M6))+IF(N6="",MISC_FEE,N6))</f>
        <v/>
      </c>
      <c r="P6" s="15">
        <f>IF(O6="","",ROUND(O6*(1+MARKUP_PCT),-1)-1)</f>
        <v/>
      </c>
      <c r="Q6" s="15">
        <f>IF(P6="","",P6-O6)</f>
        <v/>
      </c>
      <c r="R6" s="16">
        <f>IF(OR(P6="",P6=0),"",Q6/P6)</f>
        <v/>
      </c>
      <c r="S6" s="13" t="n"/>
      <c r="T6" s="13" t="n"/>
      <c r="U6" s="13" t="n"/>
      <c r="V6" s="13" t="n"/>
      <c r="W6" s="13" t="n"/>
      <c r="X6" s="17">
        <f>IF(COUNT(S6:W6)&lt;5,"",(S6*W_TREND+T6*W_BRAND+U6*W_DEMAND+V6*W_COMPETITION+W6*W_PRICEFIT)/5*100)</f>
        <v/>
      </c>
      <c r="Y6" s="13">
        <f>IF(X6="","",IF(X6&gt;=BUY_THRESHOLD,"Buy",IF(X6&gt;=MAYBE_THRESHOLD,"Maybe","Reject")))</f>
        <v/>
      </c>
      <c r="Z6" s="13" t="n"/>
      <c r="AA6" s="13" t="n"/>
      <c r="AB6" s="13" t="n"/>
      <c r="AC6" s="13" t="n"/>
      <c r="AD6" s="14" t="n"/>
    </row>
    <row r="7">
      <c r="A7" s="8">
        <f>IF(C7="","","AYN-"&amp;UPPER(LEFT(E7,3))&amp;"-"&amp;TEXT(ROW()-2,"000"))</f>
        <v/>
      </c>
      <c r="B7" s="9" t="n"/>
      <c r="C7" s="8" t="n"/>
      <c r="D7" s="8" t="n"/>
      <c r="E7" s="8" t="n"/>
      <c r="F7" s="8" t="n"/>
      <c r="G7" s="8" t="n"/>
      <c r="H7" s="8" t="n"/>
      <c r="I7" s="8" t="n"/>
      <c r="J7" s="8" t="n"/>
      <c r="K7" s="10">
        <f>IF(I7="","",IF(J7="BDT",I7,IF(J7="USD",I7*USD_BDT,IF(J7="RMB",I7*RMB_BDT,""))))</f>
        <v/>
      </c>
      <c r="L7" s="10" t="n"/>
      <c r="M7" s="11" t="n"/>
      <c r="N7" s="10" t="n"/>
      <c r="O7" s="10">
        <f>IF(K7="","",K7+IFERROR(L7,0)+(K7*IF(M7="",CUSTOMS_PCT,M7))+IF(N7="",MISC_FEE,N7))</f>
        <v/>
      </c>
      <c r="P7" s="10">
        <f>IF(O7="","",ROUND(O7*(1+MARKUP_PCT),-1)-1)</f>
        <v/>
      </c>
      <c r="Q7" s="10">
        <f>IF(P7="","",P7-O7)</f>
        <v/>
      </c>
      <c r="R7" s="11">
        <f>IF(OR(P7="",P7=0),"",Q7/P7)</f>
        <v/>
      </c>
      <c r="S7" s="8" t="n"/>
      <c r="T7" s="8" t="n"/>
      <c r="U7" s="8" t="n"/>
      <c r="V7" s="8" t="n"/>
      <c r="W7" s="8" t="n"/>
      <c r="X7" s="12">
        <f>IF(COUNT(S7:W7)&lt;5,"",(S7*W_TREND+T7*W_BRAND+U7*W_DEMAND+V7*W_COMPETITION+W7*W_PRICEFIT)/5*100)</f>
        <v/>
      </c>
      <c r="Y7" s="8">
        <f>IF(X7="","",IF(X7&gt;=BUY_THRESHOLD,"Buy",IF(X7&gt;=MAYBE_THRESHOLD,"Maybe","Reject")))</f>
        <v/>
      </c>
      <c r="Z7" s="8" t="n"/>
      <c r="AA7" s="8" t="n"/>
      <c r="AB7" s="8" t="n"/>
      <c r="AC7" s="8" t="n"/>
      <c r="AD7" s="9" t="n"/>
    </row>
    <row r="8">
      <c r="A8" s="13">
        <f>IF(C8="","","AYN-"&amp;UPPER(LEFT(E8,3))&amp;"-"&amp;TEXT(ROW()-2,"000"))</f>
        <v/>
      </c>
      <c r="B8" s="14" t="n"/>
      <c r="C8" s="13" t="n"/>
      <c r="D8" s="13" t="n"/>
      <c r="E8" s="13" t="n"/>
      <c r="F8" s="13" t="n"/>
      <c r="G8" s="13" t="n"/>
      <c r="H8" s="13" t="n"/>
      <c r="I8" s="13" t="n"/>
      <c r="J8" s="13" t="n"/>
      <c r="K8" s="15">
        <f>IF(I8="","",IF(J8="BDT",I8,IF(J8="USD",I8*USD_BDT,IF(J8="RMB",I8*RMB_BDT,""))))</f>
        <v/>
      </c>
      <c r="L8" s="15" t="n"/>
      <c r="M8" s="16" t="n"/>
      <c r="N8" s="15" t="n"/>
      <c r="O8" s="15">
        <f>IF(K8="","",K8+IFERROR(L8,0)+(K8*IF(M8="",CUSTOMS_PCT,M8))+IF(N8="",MISC_FEE,N8))</f>
        <v/>
      </c>
      <c r="P8" s="15">
        <f>IF(O8="","",ROUND(O8*(1+MARKUP_PCT),-1)-1)</f>
        <v/>
      </c>
      <c r="Q8" s="15">
        <f>IF(P8="","",P8-O8)</f>
        <v/>
      </c>
      <c r="R8" s="16">
        <f>IF(OR(P8="",P8=0),"",Q8/P8)</f>
        <v/>
      </c>
      <c r="S8" s="13" t="n"/>
      <c r="T8" s="13" t="n"/>
      <c r="U8" s="13" t="n"/>
      <c r="V8" s="13" t="n"/>
      <c r="W8" s="13" t="n"/>
      <c r="X8" s="17">
        <f>IF(COUNT(S8:W8)&lt;5,"",(S8*W_TREND+T8*W_BRAND+U8*W_DEMAND+V8*W_COMPETITION+W8*W_PRICEFIT)/5*100)</f>
        <v/>
      </c>
      <c r="Y8" s="13">
        <f>IF(X8="","",IF(X8&gt;=BUY_THRESHOLD,"Buy",IF(X8&gt;=MAYBE_THRESHOLD,"Maybe","Reject")))</f>
        <v/>
      </c>
      <c r="Z8" s="13" t="n"/>
      <c r="AA8" s="13" t="n"/>
      <c r="AB8" s="13" t="n"/>
      <c r="AC8" s="13" t="n"/>
      <c r="AD8" s="14" t="n"/>
    </row>
    <row r="9">
      <c r="A9" s="8">
        <f>IF(C9="","","AYN-"&amp;UPPER(LEFT(E9,3))&amp;"-"&amp;TEXT(ROW()-2,"000"))</f>
        <v/>
      </c>
      <c r="B9" s="9" t="n"/>
      <c r="C9" s="8" t="n"/>
      <c r="D9" s="8" t="n"/>
      <c r="E9" s="8" t="n"/>
      <c r="F9" s="8" t="n"/>
      <c r="G9" s="8" t="n"/>
      <c r="H9" s="8" t="n"/>
      <c r="I9" s="8" t="n"/>
      <c r="J9" s="8" t="n"/>
      <c r="K9" s="10">
        <f>IF(I9="","",IF(J9="BDT",I9,IF(J9="USD",I9*USD_BDT,IF(J9="RMB",I9*RMB_BDT,""))))</f>
        <v/>
      </c>
      <c r="L9" s="10" t="n"/>
      <c r="M9" s="11" t="n"/>
      <c r="N9" s="10" t="n"/>
      <c r="O9" s="10">
        <f>IF(K9="","",K9+IFERROR(L9,0)+(K9*IF(M9="",CUSTOMS_PCT,M9))+IF(N9="",MISC_FEE,N9))</f>
        <v/>
      </c>
      <c r="P9" s="10">
        <f>IF(O9="","",ROUND(O9*(1+MARKUP_PCT),-1)-1)</f>
        <v/>
      </c>
      <c r="Q9" s="10">
        <f>IF(P9="","",P9-O9)</f>
        <v/>
      </c>
      <c r="R9" s="11">
        <f>IF(OR(P9="",P9=0),"",Q9/P9)</f>
        <v/>
      </c>
      <c r="S9" s="8" t="n"/>
      <c r="T9" s="8" t="n"/>
      <c r="U9" s="8" t="n"/>
      <c r="V9" s="8" t="n"/>
      <c r="W9" s="8" t="n"/>
      <c r="X9" s="12">
        <f>IF(COUNT(S9:W9)&lt;5,"",(S9*W_TREND+T9*W_BRAND+U9*W_DEMAND+V9*W_COMPETITION+W9*W_PRICEFIT)/5*100)</f>
        <v/>
      </c>
      <c r="Y9" s="8">
        <f>IF(X9="","",IF(X9&gt;=BUY_THRESHOLD,"Buy",IF(X9&gt;=MAYBE_THRESHOLD,"Maybe","Reject")))</f>
        <v/>
      </c>
      <c r="Z9" s="8" t="n"/>
      <c r="AA9" s="8" t="n"/>
      <c r="AB9" s="8" t="n"/>
      <c r="AC9" s="8" t="n"/>
      <c r="AD9" s="9" t="n"/>
    </row>
    <row r="10">
      <c r="A10" s="13">
        <f>IF(C10="","","AYN-"&amp;UPPER(LEFT(E10,3))&amp;"-"&amp;TEXT(ROW()-2,"000"))</f>
        <v/>
      </c>
      <c r="B10" s="14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5">
        <f>IF(I10="","",IF(J10="BDT",I10,IF(J10="USD",I10*USD_BDT,IF(J10="RMB",I10*RMB_BDT,""))))</f>
        <v/>
      </c>
      <c r="L10" s="15" t="n"/>
      <c r="M10" s="16" t="n"/>
      <c r="N10" s="15" t="n"/>
      <c r="O10" s="15">
        <f>IF(K10="","",K10+IFERROR(L10,0)+(K10*IF(M10="",CUSTOMS_PCT,M10))+IF(N10="",MISC_FEE,N10))</f>
        <v/>
      </c>
      <c r="P10" s="15">
        <f>IF(O10="","",ROUND(O10*(1+MARKUP_PCT),-1)-1)</f>
        <v/>
      </c>
      <c r="Q10" s="15">
        <f>IF(P10="","",P10-O10)</f>
        <v/>
      </c>
      <c r="R10" s="16">
        <f>IF(OR(P10="",P10=0),"",Q10/P10)</f>
        <v/>
      </c>
      <c r="S10" s="13" t="n"/>
      <c r="T10" s="13" t="n"/>
      <c r="U10" s="13" t="n"/>
      <c r="V10" s="13" t="n"/>
      <c r="W10" s="13" t="n"/>
      <c r="X10" s="17">
        <f>IF(COUNT(S10:W10)&lt;5,"",(S10*W_TREND+T10*W_BRAND+U10*W_DEMAND+V10*W_COMPETITION+W10*W_PRICEFIT)/5*100)</f>
        <v/>
      </c>
      <c r="Y10" s="13">
        <f>IF(X10="","",IF(X10&gt;=BUY_THRESHOLD,"Buy",IF(X10&gt;=MAYBE_THRESHOLD,"Maybe","Reject")))</f>
        <v/>
      </c>
      <c r="Z10" s="13" t="n"/>
      <c r="AA10" s="13" t="n"/>
      <c r="AB10" s="13" t="n"/>
      <c r="AC10" s="13" t="n"/>
      <c r="AD10" s="14" t="n"/>
    </row>
    <row r="11">
      <c r="A11" s="8">
        <f>IF(C11="","","AYN-"&amp;UPPER(LEFT(E11,3))&amp;"-"&amp;TEXT(ROW()-2,"000"))</f>
        <v/>
      </c>
      <c r="B11" s="9" t="n"/>
      <c r="C11" s="8" t="n"/>
      <c r="D11" s="8" t="n"/>
      <c r="E11" s="8" t="n"/>
      <c r="F11" s="8" t="n"/>
      <c r="G11" s="8" t="n"/>
      <c r="H11" s="8" t="n"/>
      <c r="I11" s="8" t="n"/>
      <c r="J11" s="8" t="n"/>
      <c r="K11" s="10">
        <f>IF(I11="","",IF(J11="BDT",I11,IF(J11="USD",I11*USD_BDT,IF(J11="RMB",I11*RMB_BDT,""))))</f>
        <v/>
      </c>
      <c r="L11" s="10" t="n"/>
      <c r="M11" s="11" t="n"/>
      <c r="N11" s="10" t="n"/>
      <c r="O11" s="10">
        <f>IF(K11="","",K11+IFERROR(L11,0)+(K11*IF(M11="",CUSTOMS_PCT,M11))+IF(N11="",MISC_FEE,N11))</f>
        <v/>
      </c>
      <c r="P11" s="10">
        <f>IF(O11="","",ROUND(O11*(1+MARKUP_PCT),-1)-1)</f>
        <v/>
      </c>
      <c r="Q11" s="10">
        <f>IF(P11="","",P11-O11)</f>
        <v/>
      </c>
      <c r="R11" s="11">
        <f>IF(OR(P11="",P11=0),"",Q11/P11)</f>
        <v/>
      </c>
      <c r="S11" s="8" t="n"/>
      <c r="T11" s="8" t="n"/>
      <c r="U11" s="8" t="n"/>
      <c r="V11" s="8" t="n"/>
      <c r="W11" s="8" t="n"/>
      <c r="X11" s="12">
        <f>IF(COUNT(S11:W11)&lt;5,"",(S11*W_TREND+T11*W_BRAND+U11*W_DEMAND+V11*W_COMPETITION+W11*W_PRICEFIT)/5*100)</f>
        <v/>
      </c>
      <c r="Y11" s="8">
        <f>IF(X11="","",IF(X11&gt;=BUY_THRESHOLD,"Buy",IF(X11&gt;=MAYBE_THRESHOLD,"Maybe","Reject")))</f>
        <v/>
      </c>
      <c r="Z11" s="8" t="n"/>
      <c r="AA11" s="8" t="n"/>
      <c r="AB11" s="8" t="n"/>
      <c r="AC11" s="8" t="n"/>
      <c r="AD11" s="9" t="n"/>
    </row>
    <row r="12">
      <c r="A12" s="13">
        <f>IF(C12="","","AYN-"&amp;UPPER(LEFT(E12,3))&amp;"-"&amp;TEXT(ROW()-2,"000"))</f>
        <v/>
      </c>
      <c r="B12" s="14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5">
        <f>IF(I12="","",IF(J12="BDT",I12,IF(J12="USD",I12*USD_BDT,IF(J12="RMB",I12*RMB_BDT,""))))</f>
        <v/>
      </c>
      <c r="L12" s="15" t="n"/>
      <c r="M12" s="16" t="n"/>
      <c r="N12" s="15" t="n"/>
      <c r="O12" s="15">
        <f>IF(K12="","",K12+IFERROR(L12,0)+(K12*IF(M12="",CUSTOMS_PCT,M12))+IF(N12="",MISC_FEE,N12))</f>
        <v/>
      </c>
      <c r="P12" s="15">
        <f>IF(O12="","",ROUND(O12*(1+MARKUP_PCT),-1)-1)</f>
        <v/>
      </c>
      <c r="Q12" s="15">
        <f>IF(P12="","",P12-O12)</f>
        <v/>
      </c>
      <c r="R12" s="16">
        <f>IF(OR(P12="",P12=0),"",Q12/P12)</f>
        <v/>
      </c>
      <c r="S12" s="13" t="n"/>
      <c r="T12" s="13" t="n"/>
      <c r="U12" s="13" t="n"/>
      <c r="V12" s="13" t="n"/>
      <c r="W12" s="13" t="n"/>
      <c r="X12" s="17">
        <f>IF(COUNT(S12:W12)&lt;5,"",(S12*W_TREND+T12*W_BRAND+U12*W_DEMAND+V12*W_COMPETITION+W12*W_PRICEFIT)/5*100)</f>
        <v/>
      </c>
      <c r="Y12" s="13">
        <f>IF(X12="","",IF(X12&gt;=BUY_THRESHOLD,"Buy",IF(X12&gt;=MAYBE_THRESHOLD,"Maybe","Reject")))</f>
        <v/>
      </c>
      <c r="Z12" s="13" t="n"/>
      <c r="AA12" s="13" t="n"/>
      <c r="AB12" s="13" t="n"/>
      <c r="AC12" s="13" t="n"/>
      <c r="AD12" s="14" t="n"/>
    </row>
    <row r="13">
      <c r="A13" s="8">
        <f>IF(C13="","","AYN-"&amp;UPPER(LEFT(E13,3))&amp;"-"&amp;TEXT(ROW()-2,"000"))</f>
        <v/>
      </c>
      <c r="B13" s="9" t="n"/>
      <c r="C13" s="8" t="n"/>
      <c r="D13" s="8" t="n"/>
      <c r="E13" s="8" t="n"/>
      <c r="F13" s="8" t="n"/>
      <c r="G13" s="8" t="n"/>
      <c r="H13" s="8" t="n"/>
      <c r="I13" s="8" t="n"/>
      <c r="J13" s="8" t="n"/>
      <c r="K13" s="10">
        <f>IF(I13="","",IF(J13="BDT",I13,IF(J13="USD",I13*USD_BDT,IF(J13="RMB",I13*RMB_BDT,""))))</f>
        <v/>
      </c>
      <c r="L13" s="10" t="n"/>
      <c r="M13" s="11" t="n"/>
      <c r="N13" s="10" t="n"/>
      <c r="O13" s="10">
        <f>IF(K13="","",K13+IFERROR(L13,0)+(K13*IF(M13="",CUSTOMS_PCT,M13))+IF(N13="",MISC_FEE,N13))</f>
        <v/>
      </c>
      <c r="P13" s="10">
        <f>IF(O13="","",ROUND(O13*(1+MARKUP_PCT),-1)-1)</f>
        <v/>
      </c>
      <c r="Q13" s="10">
        <f>IF(P13="","",P13-O13)</f>
        <v/>
      </c>
      <c r="R13" s="11">
        <f>IF(OR(P13="",P13=0),"",Q13/P13)</f>
        <v/>
      </c>
      <c r="S13" s="8" t="n"/>
      <c r="T13" s="8" t="n"/>
      <c r="U13" s="8" t="n"/>
      <c r="V13" s="8" t="n"/>
      <c r="W13" s="8" t="n"/>
      <c r="X13" s="12">
        <f>IF(COUNT(S13:W13)&lt;5,"",(S13*W_TREND+T13*W_BRAND+U13*W_DEMAND+V13*W_COMPETITION+W13*W_PRICEFIT)/5*100)</f>
        <v/>
      </c>
      <c r="Y13" s="8">
        <f>IF(X13="","",IF(X13&gt;=BUY_THRESHOLD,"Buy",IF(X13&gt;=MAYBE_THRESHOLD,"Maybe","Reject")))</f>
        <v/>
      </c>
      <c r="Z13" s="8" t="n"/>
      <c r="AA13" s="8" t="n"/>
      <c r="AB13" s="8" t="n"/>
      <c r="AC13" s="8" t="n"/>
      <c r="AD13" s="9" t="n"/>
    </row>
    <row r="14">
      <c r="A14" s="13">
        <f>IF(C14="","","AYN-"&amp;UPPER(LEFT(E14,3))&amp;"-"&amp;TEXT(ROW()-2,"000"))</f>
        <v/>
      </c>
      <c r="B14" s="14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5">
        <f>IF(I14="","",IF(J14="BDT",I14,IF(J14="USD",I14*USD_BDT,IF(J14="RMB",I14*RMB_BDT,""))))</f>
        <v/>
      </c>
      <c r="L14" s="15" t="n"/>
      <c r="M14" s="16" t="n"/>
      <c r="N14" s="15" t="n"/>
      <c r="O14" s="15">
        <f>IF(K14="","",K14+IFERROR(L14,0)+(K14*IF(M14="",CUSTOMS_PCT,M14))+IF(N14="",MISC_FEE,N14))</f>
        <v/>
      </c>
      <c r="P14" s="15">
        <f>IF(O14="","",ROUND(O14*(1+MARKUP_PCT),-1)-1)</f>
        <v/>
      </c>
      <c r="Q14" s="15">
        <f>IF(P14="","",P14-O14)</f>
        <v/>
      </c>
      <c r="R14" s="16">
        <f>IF(OR(P14="",P14=0),"",Q14/P14)</f>
        <v/>
      </c>
      <c r="S14" s="13" t="n"/>
      <c r="T14" s="13" t="n"/>
      <c r="U14" s="13" t="n"/>
      <c r="V14" s="13" t="n"/>
      <c r="W14" s="13" t="n"/>
      <c r="X14" s="17">
        <f>IF(COUNT(S14:W14)&lt;5,"",(S14*W_TREND+T14*W_BRAND+U14*W_DEMAND+V14*W_COMPETITION+W14*W_PRICEFIT)/5*100)</f>
        <v/>
      </c>
      <c r="Y14" s="13">
        <f>IF(X14="","",IF(X14&gt;=BUY_THRESHOLD,"Buy",IF(X14&gt;=MAYBE_THRESHOLD,"Maybe","Reject")))</f>
        <v/>
      </c>
      <c r="Z14" s="13" t="n"/>
      <c r="AA14" s="13" t="n"/>
      <c r="AB14" s="13" t="n"/>
      <c r="AC14" s="13" t="n"/>
      <c r="AD14" s="14" t="n"/>
    </row>
    <row r="15">
      <c r="A15" s="8">
        <f>IF(C15="","","AYN-"&amp;UPPER(LEFT(E15,3))&amp;"-"&amp;TEXT(ROW()-2,"000"))</f>
        <v/>
      </c>
      <c r="B15" s="9" t="n"/>
      <c r="C15" s="8" t="n"/>
      <c r="D15" s="8" t="n"/>
      <c r="E15" s="8" t="n"/>
      <c r="F15" s="8" t="n"/>
      <c r="G15" s="8" t="n"/>
      <c r="H15" s="8" t="n"/>
      <c r="I15" s="8" t="n"/>
      <c r="J15" s="8" t="n"/>
      <c r="K15" s="10">
        <f>IF(I15="","",IF(J15="BDT",I15,IF(J15="USD",I15*USD_BDT,IF(J15="RMB",I15*RMB_BDT,""))))</f>
        <v/>
      </c>
      <c r="L15" s="10" t="n"/>
      <c r="M15" s="11" t="n"/>
      <c r="N15" s="10" t="n"/>
      <c r="O15" s="10">
        <f>IF(K15="","",K15+IFERROR(L15,0)+(K15*IF(M15="",CUSTOMS_PCT,M15))+IF(N15="",MISC_FEE,N15))</f>
        <v/>
      </c>
      <c r="P15" s="10">
        <f>IF(O15="","",ROUND(O15*(1+MARKUP_PCT),-1)-1)</f>
        <v/>
      </c>
      <c r="Q15" s="10">
        <f>IF(P15="","",P15-O15)</f>
        <v/>
      </c>
      <c r="R15" s="11">
        <f>IF(OR(P15="",P15=0),"",Q15/P15)</f>
        <v/>
      </c>
      <c r="S15" s="8" t="n"/>
      <c r="T15" s="8" t="n"/>
      <c r="U15" s="8" t="n"/>
      <c r="V15" s="8" t="n"/>
      <c r="W15" s="8" t="n"/>
      <c r="X15" s="12">
        <f>IF(COUNT(S15:W15)&lt;5,"",(S15*W_TREND+T15*W_BRAND+U15*W_DEMAND+V15*W_COMPETITION+W15*W_PRICEFIT)/5*100)</f>
        <v/>
      </c>
      <c r="Y15" s="8">
        <f>IF(X15="","",IF(X15&gt;=BUY_THRESHOLD,"Buy",IF(X15&gt;=MAYBE_THRESHOLD,"Maybe","Reject")))</f>
        <v/>
      </c>
      <c r="Z15" s="8" t="n"/>
      <c r="AA15" s="8" t="n"/>
      <c r="AB15" s="8" t="n"/>
      <c r="AC15" s="8" t="n"/>
      <c r="AD15" s="9" t="n"/>
    </row>
    <row r="16">
      <c r="A16" s="13">
        <f>IF(C16="","","AYN-"&amp;UPPER(LEFT(E16,3))&amp;"-"&amp;TEXT(ROW()-2,"000"))</f>
        <v/>
      </c>
      <c r="B16" s="14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5">
        <f>IF(I16="","",IF(J16="BDT",I16,IF(J16="USD",I16*USD_BDT,IF(J16="RMB",I16*RMB_BDT,""))))</f>
        <v/>
      </c>
      <c r="L16" s="15" t="n"/>
      <c r="M16" s="16" t="n"/>
      <c r="N16" s="15" t="n"/>
      <c r="O16" s="15">
        <f>IF(K16="","",K16+IFERROR(L16,0)+(K16*IF(M16="",CUSTOMS_PCT,M16))+IF(N16="",MISC_FEE,N16))</f>
        <v/>
      </c>
      <c r="P16" s="15">
        <f>IF(O16="","",ROUND(O16*(1+MARKUP_PCT),-1)-1)</f>
        <v/>
      </c>
      <c r="Q16" s="15">
        <f>IF(P16="","",P16-O16)</f>
        <v/>
      </c>
      <c r="R16" s="16">
        <f>IF(OR(P16="",P16=0),"",Q16/P16)</f>
        <v/>
      </c>
      <c r="S16" s="13" t="n"/>
      <c r="T16" s="13" t="n"/>
      <c r="U16" s="13" t="n"/>
      <c r="V16" s="13" t="n"/>
      <c r="W16" s="13" t="n"/>
      <c r="X16" s="17">
        <f>IF(COUNT(S16:W16)&lt;5,"",(S16*W_TREND+T16*W_BRAND+U16*W_DEMAND+V16*W_COMPETITION+W16*W_PRICEFIT)/5*100)</f>
        <v/>
      </c>
      <c r="Y16" s="13">
        <f>IF(X16="","",IF(X16&gt;=BUY_THRESHOLD,"Buy",IF(X16&gt;=MAYBE_THRESHOLD,"Maybe","Reject")))</f>
        <v/>
      </c>
      <c r="Z16" s="13" t="n"/>
      <c r="AA16" s="13" t="n"/>
      <c r="AB16" s="13" t="n"/>
      <c r="AC16" s="13" t="n"/>
      <c r="AD16" s="14" t="n"/>
    </row>
    <row r="17">
      <c r="A17" s="8">
        <f>IF(C17="","","AYN-"&amp;UPPER(LEFT(E17,3))&amp;"-"&amp;TEXT(ROW()-2,"000"))</f>
        <v/>
      </c>
      <c r="B17" s="9" t="n"/>
      <c r="C17" s="8" t="n"/>
      <c r="D17" s="8" t="n"/>
      <c r="E17" s="8" t="n"/>
      <c r="F17" s="8" t="n"/>
      <c r="G17" s="8" t="n"/>
      <c r="H17" s="8" t="n"/>
      <c r="I17" s="8" t="n"/>
      <c r="J17" s="8" t="n"/>
      <c r="K17" s="10">
        <f>IF(I17="","",IF(J17="BDT",I17,IF(J17="USD",I17*USD_BDT,IF(J17="RMB",I17*RMB_BDT,""))))</f>
        <v/>
      </c>
      <c r="L17" s="10" t="n"/>
      <c r="M17" s="11" t="n"/>
      <c r="N17" s="10" t="n"/>
      <c r="O17" s="10">
        <f>IF(K17="","",K17+IFERROR(L17,0)+(K17*IF(M17="",CUSTOMS_PCT,M17))+IF(N17="",MISC_FEE,N17))</f>
        <v/>
      </c>
      <c r="P17" s="10">
        <f>IF(O17="","",ROUND(O17*(1+MARKUP_PCT),-1)-1)</f>
        <v/>
      </c>
      <c r="Q17" s="10">
        <f>IF(P17="","",P17-O17)</f>
        <v/>
      </c>
      <c r="R17" s="11">
        <f>IF(OR(P17="",P17=0),"",Q17/P17)</f>
        <v/>
      </c>
      <c r="S17" s="8" t="n"/>
      <c r="T17" s="8" t="n"/>
      <c r="U17" s="8" t="n"/>
      <c r="V17" s="8" t="n"/>
      <c r="W17" s="8" t="n"/>
      <c r="X17" s="12">
        <f>IF(COUNT(S17:W17)&lt;5,"",(S17*W_TREND+T17*W_BRAND+U17*W_DEMAND+V17*W_COMPETITION+W17*W_PRICEFIT)/5*100)</f>
        <v/>
      </c>
      <c r="Y17" s="8">
        <f>IF(X17="","",IF(X17&gt;=BUY_THRESHOLD,"Buy",IF(X17&gt;=MAYBE_THRESHOLD,"Maybe","Reject")))</f>
        <v/>
      </c>
      <c r="Z17" s="8" t="n"/>
      <c r="AA17" s="8" t="n"/>
      <c r="AB17" s="8" t="n"/>
      <c r="AC17" s="8" t="n"/>
      <c r="AD17" s="9" t="n"/>
    </row>
    <row r="18">
      <c r="A18" s="13">
        <f>IF(C18="","","AYN-"&amp;UPPER(LEFT(E18,3))&amp;"-"&amp;TEXT(ROW()-2,"000"))</f>
        <v/>
      </c>
      <c r="B18" s="14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5">
        <f>IF(I18="","",IF(J18="BDT",I18,IF(J18="USD",I18*USD_BDT,IF(J18="RMB",I18*RMB_BDT,""))))</f>
        <v/>
      </c>
      <c r="L18" s="15" t="n"/>
      <c r="M18" s="16" t="n"/>
      <c r="N18" s="15" t="n"/>
      <c r="O18" s="15">
        <f>IF(K18="","",K18+IFERROR(L18,0)+(K18*IF(M18="",CUSTOMS_PCT,M18))+IF(N18="",MISC_FEE,N18))</f>
        <v/>
      </c>
      <c r="P18" s="15">
        <f>IF(O18="","",ROUND(O18*(1+MARKUP_PCT),-1)-1)</f>
        <v/>
      </c>
      <c r="Q18" s="15">
        <f>IF(P18="","",P18-O18)</f>
        <v/>
      </c>
      <c r="R18" s="16">
        <f>IF(OR(P18="",P18=0),"",Q18/P18)</f>
        <v/>
      </c>
      <c r="S18" s="13" t="n"/>
      <c r="T18" s="13" t="n"/>
      <c r="U18" s="13" t="n"/>
      <c r="V18" s="13" t="n"/>
      <c r="W18" s="13" t="n"/>
      <c r="X18" s="17">
        <f>IF(COUNT(S18:W18)&lt;5,"",(S18*W_TREND+T18*W_BRAND+U18*W_DEMAND+V18*W_COMPETITION+W18*W_PRICEFIT)/5*100)</f>
        <v/>
      </c>
      <c r="Y18" s="13">
        <f>IF(X18="","",IF(X18&gt;=BUY_THRESHOLD,"Buy",IF(X18&gt;=MAYBE_THRESHOLD,"Maybe","Reject")))</f>
        <v/>
      </c>
      <c r="Z18" s="13" t="n"/>
      <c r="AA18" s="13" t="n"/>
      <c r="AB18" s="13" t="n"/>
      <c r="AC18" s="13" t="n"/>
      <c r="AD18" s="14" t="n"/>
    </row>
    <row r="19">
      <c r="A19" s="8">
        <f>IF(C19="","","AYN-"&amp;UPPER(LEFT(E19,3))&amp;"-"&amp;TEXT(ROW()-2,"000"))</f>
        <v/>
      </c>
      <c r="B19" s="9" t="n"/>
      <c r="C19" s="8" t="n"/>
      <c r="D19" s="8" t="n"/>
      <c r="E19" s="8" t="n"/>
      <c r="F19" s="8" t="n"/>
      <c r="G19" s="8" t="n"/>
      <c r="H19" s="8" t="n"/>
      <c r="I19" s="8" t="n"/>
      <c r="J19" s="8" t="n"/>
      <c r="K19" s="10">
        <f>IF(I19="","",IF(J19="BDT",I19,IF(J19="USD",I19*USD_BDT,IF(J19="RMB",I19*RMB_BDT,""))))</f>
        <v/>
      </c>
      <c r="L19" s="10" t="n"/>
      <c r="M19" s="11" t="n"/>
      <c r="N19" s="10" t="n"/>
      <c r="O19" s="10">
        <f>IF(K19="","",K19+IFERROR(L19,0)+(K19*IF(M19="",CUSTOMS_PCT,M19))+IF(N19="",MISC_FEE,N19))</f>
        <v/>
      </c>
      <c r="P19" s="10">
        <f>IF(O19="","",ROUND(O19*(1+MARKUP_PCT),-1)-1)</f>
        <v/>
      </c>
      <c r="Q19" s="10">
        <f>IF(P19="","",P19-O19)</f>
        <v/>
      </c>
      <c r="R19" s="11">
        <f>IF(OR(P19="",P19=0),"",Q19/P19)</f>
        <v/>
      </c>
      <c r="S19" s="8" t="n"/>
      <c r="T19" s="8" t="n"/>
      <c r="U19" s="8" t="n"/>
      <c r="V19" s="8" t="n"/>
      <c r="W19" s="8" t="n"/>
      <c r="X19" s="12">
        <f>IF(COUNT(S19:W19)&lt;5,"",(S19*W_TREND+T19*W_BRAND+U19*W_DEMAND+V19*W_COMPETITION+W19*W_PRICEFIT)/5*100)</f>
        <v/>
      </c>
      <c r="Y19" s="8">
        <f>IF(X19="","",IF(X19&gt;=BUY_THRESHOLD,"Buy",IF(X19&gt;=MAYBE_THRESHOLD,"Maybe","Reject")))</f>
        <v/>
      </c>
      <c r="Z19" s="8" t="n"/>
      <c r="AA19" s="8" t="n"/>
      <c r="AB19" s="8" t="n"/>
      <c r="AC19" s="8" t="n"/>
      <c r="AD19" s="9" t="n"/>
    </row>
    <row r="20">
      <c r="A20" s="13">
        <f>IF(C20="","","AYN-"&amp;UPPER(LEFT(E20,3))&amp;"-"&amp;TEXT(ROW()-2,"000"))</f>
        <v/>
      </c>
      <c r="B20" s="14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5">
        <f>IF(I20="","",IF(J20="BDT",I20,IF(J20="USD",I20*USD_BDT,IF(J20="RMB",I20*RMB_BDT,""))))</f>
        <v/>
      </c>
      <c r="L20" s="15" t="n"/>
      <c r="M20" s="16" t="n"/>
      <c r="N20" s="15" t="n"/>
      <c r="O20" s="15">
        <f>IF(K20="","",K20+IFERROR(L20,0)+(K20*IF(M20="",CUSTOMS_PCT,M20))+IF(N20="",MISC_FEE,N20))</f>
        <v/>
      </c>
      <c r="P20" s="15">
        <f>IF(O20="","",ROUND(O20*(1+MARKUP_PCT),-1)-1)</f>
        <v/>
      </c>
      <c r="Q20" s="15">
        <f>IF(P20="","",P20-O20)</f>
        <v/>
      </c>
      <c r="R20" s="16">
        <f>IF(OR(P20="",P20=0),"",Q20/P20)</f>
        <v/>
      </c>
      <c r="S20" s="13" t="n"/>
      <c r="T20" s="13" t="n"/>
      <c r="U20" s="13" t="n"/>
      <c r="V20" s="13" t="n"/>
      <c r="W20" s="13" t="n"/>
      <c r="X20" s="17">
        <f>IF(COUNT(S20:W20)&lt;5,"",(S20*W_TREND+T20*W_BRAND+U20*W_DEMAND+V20*W_COMPETITION+W20*W_PRICEFIT)/5*100)</f>
        <v/>
      </c>
      <c r="Y20" s="13">
        <f>IF(X20="","",IF(X20&gt;=BUY_THRESHOLD,"Buy",IF(X20&gt;=MAYBE_THRESHOLD,"Maybe","Reject")))</f>
        <v/>
      </c>
      <c r="Z20" s="13" t="n"/>
      <c r="AA20" s="13" t="n"/>
      <c r="AB20" s="13" t="n"/>
      <c r="AC20" s="13" t="n"/>
      <c r="AD20" s="14" t="n"/>
    </row>
    <row r="21">
      <c r="A21" s="8">
        <f>IF(C21="","","AYN-"&amp;UPPER(LEFT(E21,3))&amp;"-"&amp;TEXT(ROW()-2,"000"))</f>
        <v/>
      </c>
      <c r="B21" s="9" t="n"/>
      <c r="C21" s="8" t="n"/>
      <c r="D21" s="8" t="n"/>
      <c r="E21" s="8" t="n"/>
      <c r="F21" s="8" t="n"/>
      <c r="G21" s="8" t="n"/>
      <c r="H21" s="8" t="n"/>
      <c r="I21" s="8" t="n"/>
      <c r="J21" s="8" t="n"/>
      <c r="K21" s="10">
        <f>IF(I21="","",IF(J21="BDT",I21,IF(J21="USD",I21*USD_BDT,IF(J21="RMB",I21*RMB_BDT,""))))</f>
        <v/>
      </c>
      <c r="L21" s="10" t="n"/>
      <c r="M21" s="11" t="n"/>
      <c r="N21" s="10" t="n"/>
      <c r="O21" s="10">
        <f>IF(K21="","",K21+IFERROR(L21,0)+(K21*IF(M21="",CUSTOMS_PCT,M21))+IF(N21="",MISC_FEE,N21))</f>
        <v/>
      </c>
      <c r="P21" s="10">
        <f>IF(O21="","",ROUND(O21*(1+MARKUP_PCT),-1)-1)</f>
        <v/>
      </c>
      <c r="Q21" s="10">
        <f>IF(P21="","",P21-O21)</f>
        <v/>
      </c>
      <c r="R21" s="11">
        <f>IF(OR(P21="",P21=0),"",Q21/P21)</f>
        <v/>
      </c>
      <c r="S21" s="8" t="n"/>
      <c r="T21" s="8" t="n"/>
      <c r="U21" s="8" t="n"/>
      <c r="V21" s="8" t="n"/>
      <c r="W21" s="8" t="n"/>
      <c r="X21" s="12">
        <f>IF(COUNT(S21:W21)&lt;5,"",(S21*W_TREND+T21*W_BRAND+U21*W_DEMAND+V21*W_COMPETITION+W21*W_PRICEFIT)/5*100)</f>
        <v/>
      </c>
      <c r="Y21" s="8">
        <f>IF(X21="","",IF(X21&gt;=BUY_THRESHOLD,"Buy",IF(X21&gt;=MAYBE_THRESHOLD,"Maybe","Reject")))</f>
        <v/>
      </c>
      <c r="Z21" s="8" t="n"/>
      <c r="AA21" s="8" t="n"/>
      <c r="AB21" s="8" t="n"/>
      <c r="AC21" s="8" t="n"/>
      <c r="AD21" s="9" t="n"/>
    </row>
    <row r="22">
      <c r="A22" s="13">
        <f>IF(C22="","","AYN-"&amp;UPPER(LEFT(E22,3))&amp;"-"&amp;TEXT(ROW()-2,"000"))</f>
        <v/>
      </c>
      <c r="B22" s="14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5">
        <f>IF(I22="","",IF(J22="BDT",I22,IF(J22="USD",I22*USD_BDT,IF(J22="RMB",I22*RMB_BDT,""))))</f>
        <v/>
      </c>
      <c r="L22" s="15" t="n"/>
      <c r="M22" s="16" t="n"/>
      <c r="N22" s="15" t="n"/>
      <c r="O22" s="15">
        <f>IF(K22="","",K22+IFERROR(L22,0)+(K22*IF(M22="",CUSTOMS_PCT,M22))+IF(N22="",MISC_FEE,N22))</f>
        <v/>
      </c>
      <c r="P22" s="15">
        <f>IF(O22="","",ROUND(O22*(1+MARKUP_PCT),-1)-1)</f>
        <v/>
      </c>
      <c r="Q22" s="15">
        <f>IF(P22="","",P22-O22)</f>
        <v/>
      </c>
      <c r="R22" s="16">
        <f>IF(OR(P22="",P22=0),"",Q22/P22)</f>
        <v/>
      </c>
      <c r="S22" s="13" t="n"/>
      <c r="T22" s="13" t="n"/>
      <c r="U22" s="13" t="n"/>
      <c r="V22" s="13" t="n"/>
      <c r="W22" s="13" t="n"/>
      <c r="X22" s="17">
        <f>IF(COUNT(S22:W22)&lt;5,"",(S22*W_TREND+T22*W_BRAND+U22*W_DEMAND+V22*W_COMPETITION+W22*W_PRICEFIT)/5*100)</f>
        <v/>
      </c>
      <c r="Y22" s="13">
        <f>IF(X22="","",IF(X22&gt;=BUY_THRESHOLD,"Buy",IF(X22&gt;=MAYBE_THRESHOLD,"Maybe","Reject")))</f>
        <v/>
      </c>
      <c r="Z22" s="13" t="n"/>
      <c r="AA22" s="13" t="n"/>
      <c r="AB22" s="13" t="n"/>
      <c r="AC22" s="13" t="n"/>
      <c r="AD22" s="14" t="n"/>
    </row>
    <row r="23">
      <c r="A23" s="8">
        <f>IF(C23="","","AYN-"&amp;UPPER(LEFT(E23,3))&amp;"-"&amp;TEXT(ROW()-2,"000"))</f>
        <v/>
      </c>
      <c r="B23" s="9" t="n"/>
      <c r="C23" s="8" t="n"/>
      <c r="D23" s="8" t="n"/>
      <c r="E23" s="8" t="n"/>
      <c r="F23" s="8" t="n"/>
      <c r="G23" s="8" t="n"/>
      <c r="H23" s="8" t="n"/>
      <c r="I23" s="8" t="n"/>
      <c r="J23" s="8" t="n"/>
      <c r="K23" s="10">
        <f>IF(I23="","",IF(J23="BDT",I23,IF(J23="USD",I23*USD_BDT,IF(J23="RMB",I23*RMB_BDT,""))))</f>
        <v/>
      </c>
      <c r="L23" s="10" t="n"/>
      <c r="M23" s="11" t="n"/>
      <c r="N23" s="10" t="n"/>
      <c r="O23" s="10">
        <f>IF(K23="","",K23+IFERROR(L23,0)+(K23*IF(M23="",CUSTOMS_PCT,M23))+IF(N23="",MISC_FEE,N23))</f>
        <v/>
      </c>
      <c r="P23" s="10">
        <f>IF(O23="","",ROUND(O23*(1+MARKUP_PCT),-1)-1)</f>
        <v/>
      </c>
      <c r="Q23" s="10">
        <f>IF(P23="","",P23-O23)</f>
        <v/>
      </c>
      <c r="R23" s="11">
        <f>IF(OR(P23="",P23=0),"",Q23/P23)</f>
        <v/>
      </c>
      <c r="S23" s="8" t="n"/>
      <c r="T23" s="8" t="n"/>
      <c r="U23" s="8" t="n"/>
      <c r="V23" s="8" t="n"/>
      <c r="W23" s="8" t="n"/>
      <c r="X23" s="12">
        <f>IF(COUNT(S23:W23)&lt;5,"",(S23*W_TREND+T23*W_BRAND+U23*W_DEMAND+V23*W_COMPETITION+W23*W_PRICEFIT)/5*100)</f>
        <v/>
      </c>
      <c r="Y23" s="8">
        <f>IF(X23="","",IF(X23&gt;=BUY_THRESHOLD,"Buy",IF(X23&gt;=MAYBE_THRESHOLD,"Maybe","Reject")))</f>
        <v/>
      </c>
      <c r="Z23" s="8" t="n"/>
      <c r="AA23" s="8" t="n"/>
      <c r="AB23" s="8" t="n"/>
      <c r="AC23" s="8" t="n"/>
      <c r="AD23" s="9" t="n"/>
    </row>
    <row r="24">
      <c r="A24" s="13">
        <f>IF(C24="","","AYN-"&amp;UPPER(LEFT(E24,3))&amp;"-"&amp;TEXT(ROW()-2,"000"))</f>
        <v/>
      </c>
      <c r="B24" s="14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5">
        <f>IF(I24="","",IF(J24="BDT",I24,IF(J24="USD",I24*USD_BDT,IF(J24="RMB",I24*RMB_BDT,""))))</f>
        <v/>
      </c>
      <c r="L24" s="15" t="n"/>
      <c r="M24" s="16" t="n"/>
      <c r="N24" s="15" t="n"/>
      <c r="O24" s="15">
        <f>IF(K24="","",K24+IFERROR(L24,0)+(K24*IF(M24="",CUSTOMS_PCT,M24))+IF(N24="",MISC_FEE,N24))</f>
        <v/>
      </c>
      <c r="P24" s="15">
        <f>IF(O24="","",ROUND(O24*(1+MARKUP_PCT),-1)-1)</f>
        <v/>
      </c>
      <c r="Q24" s="15">
        <f>IF(P24="","",P24-O24)</f>
        <v/>
      </c>
      <c r="R24" s="16">
        <f>IF(OR(P24="",P24=0),"",Q24/P24)</f>
        <v/>
      </c>
      <c r="S24" s="13" t="n"/>
      <c r="T24" s="13" t="n"/>
      <c r="U24" s="13" t="n"/>
      <c r="V24" s="13" t="n"/>
      <c r="W24" s="13" t="n"/>
      <c r="X24" s="17">
        <f>IF(COUNT(S24:W24)&lt;5,"",(S24*W_TREND+T24*W_BRAND+U24*W_DEMAND+V24*W_COMPETITION+W24*W_PRICEFIT)/5*100)</f>
        <v/>
      </c>
      <c r="Y24" s="13">
        <f>IF(X24="","",IF(X24&gt;=BUY_THRESHOLD,"Buy",IF(X24&gt;=MAYBE_THRESHOLD,"Maybe","Reject")))</f>
        <v/>
      </c>
      <c r="Z24" s="13" t="n"/>
      <c r="AA24" s="13" t="n"/>
      <c r="AB24" s="13" t="n"/>
      <c r="AC24" s="13" t="n"/>
      <c r="AD24" s="14" t="n"/>
    </row>
    <row r="25">
      <c r="A25" s="8">
        <f>IF(C25="","","AYN-"&amp;UPPER(LEFT(E25,3))&amp;"-"&amp;TEXT(ROW()-2,"000"))</f>
        <v/>
      </c>
      <c r="B25" s="9" t="n"/>
      <c r="C25" s="8" t="n"/>
      <c r="D25" s="8" t="n"/>
      <c r="E25" s="8" t="n"/>
      <c r="F25" s="8" t="n"/>
      <c r="G25" s="8" t="n"/>
      <c r="H25" s="8" t="n"/>
      <c r="I25" s="8" t="n"/>
      <c r="J25" s="8" t="n"/>
      <c r="K25" s="10">
        <f>IF(I25="","",IF(J25="BDT",I25,IF(J25="USD",I25*USD_BDT,IF(J25="RMB",I25*RMB_BDT,""))))</f>
        <v/>
      </c>
      <c r="L25" s="10" t="n"/>
      <c r="M25" s="11" t="n"/>
      <c r="N25" s="10" t="n"/>
      <c r="O25" s="10">
        <f>IF(K25="","",K25+IFERROR(L25,0)+(K25*IF(M25="",CUSTOMS_PCT,M25))+IF(N25="",MISC_FEE,N25))</f>
        <v/>
      </c>
      <c r="P25" s="10">
        <f>IF(O25="","",ROUND(O25*(1+MARKUP_PCT),-1)-1)</f>
        <v/>
      </c>
      <c r="Q25" s="10">
        <f>IF(P25="","",P25-O25)</f>
        <v/>
      </c>
      <c r="R25" s="11">
        <f>IF(OR(P25="",P25=0),"",Q25/P25)</f>
        <v/>
      </c>
      <c r="S25" s="8" t="n"/>
      <c r="T25" s="8" t="n"/>
      <c r="U25" s="8" t="n"/>
      <c r="V25" s="8" t="n"/>
      <c r="W25" s="8" t="n"/>
      <c r="X25" s="12">
        <f>IF(COUNT(S25:W25)&lt;5,"",(S25*W_TREND+T25*W_BRAND+U25*W_DEMAND+V25*W_COMPETITION+W25*W_PRICEFIT)/5*100)</f>
        <v/>
      </c>
      <c r="Y25" s="8">
        <f>IF(X25="","",IF(X25&gt;=BUY_THRESHOLD,"Buy",IF(X25&gt;=MAYBE_THRESHOLD,"Maybe","Reject")))</f>
        <v/>
      </c>
      <c r="Z25" s="8" t="n"/>
      <c r="AA25" s="8" t="n"/>
      <c r="AB25" s="8" t="n"/>
      <c r="AC25" s="8" t="n"/>
      <c r="AD25" s="9" t="n"/>
    </row>
    <row r="26">
      <c r="A26" s="13">
        <f>IF(C26="","","AYN-"&amp;UPPER(LEFT(E26,3))&amp;"-"&amp;TEXT(ROW()-2,"000"))</f>
        <v/>
      </c>
      <c r="B26" s="14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5">
        <f>IF(I26="","",IF(J26="BDT",I26,IF(J26="USD",I26*USD_BDT,IF(J26="RMB",I26*RMB_BDT,""))))</f>
        <v/>
      </c>
      <c r="L26" s="15" t="n"/>
      <c r="M26" s="16" t="n"/>
      <c r="N26" s="15" t="n"/>
      <c r="O26" s="15">
        <f>IF(K26="","",K26+IFERROR(L26,0)+(K26*IF(M26="",CUSTOMS_PCT,M26))+IF(N26="",MISC_FEE,N26))</f>
        <v/>
      </c>
      <c r="P26" s="15">
        <f>IF(O26="","",ROUND(O26*(1+MARKUP_PCT),-1)-1)</f>
        <v/>
      </c>
      <c r="Q26" s="15">
        <f>IF(P26="","",P26-O26)</f>
        <v/>
      </c>
      <c r="R26" s="16">
        <f>IF(OR(P26="",P26=0),"",Q26/P26)</f>
        <v/>
      </c>
      <c r="S26" s="13" t="n"/>
      <c r="T26" s="13" t="n"/>
      <c r="U26" s="13" t="n"/>
      <c r="V26" s="13" t="n"/>
      <c r="W26" s="13" t="n"/>
      <c r="X26" s="17">
        <f>IF(COUNT(S26:W26)&lt;5,"",(S26*W_TREND+T26*W_BRAND+U26*W_DEMAND+V26*W_COMPETITION+W26*W_PRICEFIT)/5*100)</f>
        <v/>
      </c>
      <c r="Y26" s="13">
        <f>IF(X26="","",IF(X26&gt;=BUY_THRESHOLD,"Buy",IF(X26&gt;=MAYBE_THRESHOLD,"Maybe","Reject")))</f>
        <v/>
      </c>
      <c r="Z26" s="13" t="n"/>
      <c r="AA26" s="13" t="n"/>
      <c r="AB26" s="13" t="n"/>
      <c r="AC26" s="13" t="n"/>
      <c r="AD26" s="14" t="n"/>
    </row>
    <row r="27">
      <c r="A27" s="8">
        <f>IF(C27="","","AYN-"&amp;UPPER(LEFT(E27,3))&amp;"-"&amp;TEXT(ROW()-2,"000"))</f>
        <v/>
      </c>
      <c r="B27" s="9" t="n"/>
      <c r="C27" s="8" t="n"/>
      <c r="D27" s="8" t="n"/>
      <c r="E27" s="8" t="n"/>
      <c r="F27" s="8" t="n"/>
      <c r="G27" s="8" t="n"/>
      <c r="H27" s="8" t="n"/>
      <c r="I27" s="8" t="n"/>
      <c r="J27" s="8" t="n"/>
      <c r="K27" s="10">
        <f>IF(I27="","",IF(J27="BDT",I27,IF(J27="USD",I27*USD_BDT,IF(J27="RMB",I27*RMB_BDT,""))))</f>
        <v/>
      </c>
      <c r="L27" s="10" t="n"/>
      <c r="M27" s="11" t="n"/>
      <c r="N27" s="10" t="n"/>
      <c r="O27" s="10">
        <f>IF(K27="","",K27+IFERROR(L27,0)+(K27*IF(M27="",CUSTOMS_PCT,M27))+IF(N27="",MISC_FEE,N27))</f>
        <v/>
      </c>
      <c r="P27" s="10">
        <f>IF(O27="","",ROUND(O27*(1+MARKUP_PCT),-1)-1)</f>
        <v/>
      </c>
      <c r="Q27" s="10">
        <f>IF(P27="","",P27-O27)</f>
        <v/>
      </c>
      <c r="R27" s="11">
        <f>IF(OR(P27="",P27=0),"",Q27/P27)</f>
        <v/>
      </c>
      <c r="S27" s="8" t="n"/>
      <c r="T27" s="8" t="n"/>
      <c r="U27" s="8" t="n"/>
      <c r="V27" s="8" t="n"/>
      <c r="W27" s="8" t="n"/>
      <c r="X27" s="12">
        <f>IF(COUNT(S27:W27)&lt;5,"",(S27*W_TREND+T27*W_BRAND+U27*W_DEMAND+V27*W_COMPETITION+W27*W_PRICEFIT)/5*100)</f>
        <v/>
      </c>
      <c r="Y27" s="8">
        <f>IF(X27="","",IF(X27&gt;=BUY_THRESHOLD,"Buy",IF(X27&gt;=MAYBE_THRESHOLD,"Maybe","Reject")))</f>
        <v/>
      </c>
      <c r="Z27" s="8" t="n"/>
      <c r="AA27" s="8" t="n"/>
      <c r="AB27" s="8" t="n"/>
      <c r="AC27" s="8" t="n"/>
      <c r="AD27" s="9" t="n"/>
    </row>
    <row r="28">
      <c r="A28" s="13">
        <f>IF(C28="","","AYN-"&amp;UPPER(LEFT(E28,3))&amp;"-"&amp;TEXT(ROW()-2,"000"))</f>
        <v/>
      </c>
      <c r="B28" s="14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5">
        <f>IF(I28="","",IF(J28="BDT",I28,IF(J28="USD",I28*USD_BDT,IF(J28="RMB",I28*RMB_BDT,""))))</f>
        <v/>
      </c>
      <c r="L28" s="15" t="n"/>
      <c r="M28" s="16" t="n"/>
      <c r="N28" s="15" t="n"/>
      <c r="O28" s="15">
        <f>IF(K28="","",K28+IFERROR(L28,0)+(K28*IF(M28="",CUSTOMS_PCT,M28))+IF(N28="",MISC_FEE,N28))</f>
        <v/>
      </c>
      <c r="P28" s="15">
        <f>IF(O28="","",ROUND(O28*(1+MARKUP_PCT),-1)-1)</f>
        <v/>
      </c>
      <c r="Q28" s="15">
        <f>IF(P28="","",P28-O28)</f>
        <v/>
      </c>
      <c r="R28" s="16">
        <f>IF(OR(P28="",P28=0),"",Q28/P28)</f>
        <v/>
      </c>
      <c r="S28" s="13" t="n"/>
      <c r="T28" s="13" t="n"/>
      <c r="U28" s="13" t="n"/>
      <c r="V28" s="13" t="n"/>
      <c r="W28" s="13" t="n"/>
      <c r="X28" s="17">
        <f>IF(COUNT(S28:W28)&lt;5,"",(S28*W_TREND+T28*W_BRAND+U28*W_DEMAND+V28*W_COMPETITION+W28*W_PRICEFIT)/5*100)</f>
        <v/>
      </c>
      <c r="Y28" s="13">
        <f>IF(X28="","",IF(X28&gt;=BUY_THRESHOLD,"Buy",IF(X28&gt;=MAYBE_THRESHOLD,"Maybe","Reject")))</f>
        <v/>
      </c>
      <c r="Z28" s="13" t="n"/>
      <c r="AA28" s="13" t="n"/>
      <c r="AB28" s="13" t="n"/>
      <c r="AC28" s="13" t="n"/>
      <c r="AD28" s="14" t="n"/>
    </row>
    <row r="29">
      <c r="A29" s="8">
        <f>IF(C29="","","AYN-"&amp;UPPER(LEFT(E29,3))&amp;"-"&amp;TEXT(ROW()-2,"000"))</f>
        <v/>
      </c>
      <c r="B29" s="9" t="n"/>
      <c r="C29" s="8" t="n"/>
      <c r="D29" s="8" t="n"/>
      <c r="E29" s="8" t="n"/>
      <c r="F29" s="8" t="n"/>
      <c r="G29" s="8" t="n"/>
      <c r="H29" s="8" t="n"/>
      <c r="I29" s="8" t="n"/>
      <c r="J29" s="8" t="n"/>
      <c r="K29" s="10">
        <f>IF(I29="","",IF(J29="BDT",I29,IF(J29="USD",I29*USD_BDT,IF(J29="RMB",I29*RMB_BDT,""))))</f>
        <v/>
      </c>
      <c r="L29" s="10" t="n"/>
      <c r="M29" s="11" t="n"/>
      <c r="N29" s="10" t="n"/>
      <c r="O29" s="10">
        <f>IF(K29="","",K29+IFERROR(L29,0)+(K29*IF(M29="",CUSTOMS_PCT,M29))+IF(N29="",MISC_FEE,N29))</f>
        <v/>
      </c>
      <c r="P29" s="10">
        <f>IF(O29="","",ROUND(O29*(1+MARKUP_PCT),-1)-1)</f>
        <v/>
      </c>
      <c r="Q29" s="10">
        <f>IF(P29="","",P29-O29)</f>
        <v/>
      </c>
      <c r="R29" s="11">
        <f>IF(OR(P29="",P29=0),"",Q29/P29)</f>
        <v/>
      </c>
      <c r="S29" s="8" t="n"/>
      <c r="T29" s="8" t="n"/>
      <c r="U29" s="8" t="n"/>
      <c r="V29" s="8" t="n"/>
      <c r="W29" s="8" t="n"/>
      <c r="X29" s="12">
        <f>IF(COUNT(S29:W29)&lt;5,"",(S29*W_TREND+T29*W_BRAND+U29*W_DEMAND+V29*W_COMPETITION+W29*W_PRICEFIT)/5*100)</f>
        <v/>
      </c>
      <c r="Y29" s="8">
        <f>IF(X29="","",IF(X29&gt;=BUY_THRESHOLD,"Buy",IF(X29&gt;=MAYBE_THRESHOLD,"Maybe","Reject")))</f>
        <v/>
      </c>
      <c r="Z29" s="8" t="n"/>
      <c r="AA29" s="8" t="n"/>
      <c r="AB29" s="8" t="n"/>
      <c r="AC29" s="8" t="n"/>
      <c r="AD29" s="9" t="n"/>
    </row>
    <row r="30">
      <c r="A30" s="13">
        <f>IF(C30="","","AYN-"&amp;UPPER(LEFT(E30,3))&amp;"-"&amp;TEXT(ROW()-2,"000"))</f>
        <v/>
      </c>
      <c r="B30" s="14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5">
        <f>IF(I30="","",IF(J30="BDT",I30,IF(J30="USD",I30*USD_BDT,IF(J30="RMB",I30*RMB_BDT,""))))</f>
        <v/>
      </c>
      <c r="L30" s="15" t="n"/>
      <c r="M30" s="16" t="n"/>
      <c r="N30" s="15" t="n"/>
      <c r="O30" s="15">
        <f>IF(K30="","",K30+IFERROR(L30,0)+(K30*IF(M30="",CUSTOMS_PCT,M30))+IF(N30="",MISC_FEE,N30))</f>
        <v/>
      </c>
      <c r="P30" s="15">
        <f>IF(O30="","",ROUND(O30*(1+MARKUP_PCT),-1)-1)</f>
        <v/>
      </c>
      <c r="Q30" s="15">
        <f>IF(P30="","",P30-O30)</f>
        <v/>
      </c>
      <c r="R30" s="16">
        <f>IF(OR(P30="",P30=0),"",Q30/P30)</f>
        <v/>
      </c>
      <c r="S30" s="13" t="n"/>
      <c r="T30" s="13" t="n"/>
      <c r="U30" s="13" t="n"/>
      <c r="V30" s="13" t="n"/>
      <c r="W30" s="13" t="n"/>
      <c r="X30" s="17">
        <f>IF(COUNT(S30:W30)&lt;5,"",(S30*W_TREND+T30*W_BRAND+U30*W_DEMAND+V30*W_COMPETITION+W30*W_PRICEFIT)/5*100)</f>
        <v/>
      </c>
      <c r="Y30" s="13">
        <f>IF(X30="","",IF(X30&gt;=BUY_THRESHOLD,"Buy",IF(X30&gt;=MAYBE_THRESHOLD,"Maybe","Reject")))</f>
        <v/>
      </c>
      <c r="Z30" s="13" t="n"/>
      <c r="AA30" s="13" t="n"/>
      <c r="AB30" s="13" t="n"/>
      <c r="AC30" s="13" t="n"/>
      <c r="AD30" s="14" t="n"/>
    </row>
    <row r="31">
      <c r="A31" s="8">
        <f>IF(C31="","","AYN-"&amp;UPPER(LEFT(E31,3))&amp;"-"&amp;TEXT(ROW()-2,"000"))</f>
        <v/>
      </c>
      <c r="B31" s="9" t="n"/>
      <c r="C31" s="8" t="n"/>
      <c r="D31" s="8" t="n"/>
      <c r="E31" s="8" t="n"/>
      <c r="F31" s="8" t="n"/>
      <c r="G31" s="8" t="n"/>
      <c r="H31" s="8" t="n"/>
      <c r="I31" s="8" t="n"/>
      <c r="J31" s="8" t="n"/>
      <c r="K31" s="10">
        <f>IF(I31="","",IF(J31="BDT",I31,IF(J31="USD",I31*USD_BDT,IF(J31="RMB",I31*RMB_BDT,""))))</f>
        <v/>
      </c>
      <c r="L31" s="10" t="n"/>
      <c r="M31" s="11" t="n"/>
      <c r="N31" s="10" t="n"/>
      <c r="O31" s="10">
        <f>IF(K31="","",K31+IFERROR(L31,0)+(K31*IF(M31="",CUSTOMS_PCT,M31))+IF(N31="",MISC_FEE,N31))</f>
        <v/>
      </c>
      <c r="P31" s="10">
        <f>IF(O31="","",ROUND(O31*(1+MARKUP_PCT),-1)-1)</f>
        <v/>
      </c>
      <c r="Q31" s="10">
        <f>IF(P31="","",P31-O31)</f>
        <v/>
      </c>
      <c r="R31" s="11">
        <f>IF(OR(P31="",P31=0),"",Q31/P31)</f>
        <v/>
      </c>
      <c r="S31" s="8" t="n"/>
      <c r="T31" s="8" t="n"/>
      <c r="U31" s="8" t="n"/>
      <c r="V31" s="8" t="n"/>
      <c r="W31" s="8" t="n"/>
      <c r="X31" s="12">
        <f>IF(COUNT(S31:W31)&lt;5,"",(S31*W_TREND+T31*W_BRAND+U31*W_DEMAND+V31*W_COMPETITION+W31*W_PRICEFIT)/5*100)</f>
        <v/>
      </c>
      <c r="Y31" s="8">
        <f>IF(X31="","",IF(X31&gt;=BUY_THRESHOLD,"Buy",IF(X31&gt;=MAYBE_THRESHOLD,"Maybe","Reject")))</f>
        <v/>
      </c>
      <c r="Z31" s="8" t="n"/>
      <c r="AA31" s="8" t="n"/>
      <c r="AB31" s="8" t="n"/>
      <c r="AC31" s="8" t="n"/>
      <c r="AD31" s="9" t="n"/>
    </row>
    <row r="32">
      <c r="A32" s="13">
        <f>IF(C32="","","AYN-"&amp;UPPER(LEFT(E32,3))&amp;"-"&amp;TEXT(ROW()-2,"000"))</f>
        <v/>
      </c>
      <c r="B32" s="14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5">
        <f>IF(I32="","",IF(J32="BDT",I32,IF(J32="USD",I32*USD_BDT,IF(J32="RMB",I32*RMB_BDT,""))))</f>
        <v/>
      </c>
      <c r="L32" s="15" t="n"/>
      <c r="M32" s="16" t="n"/>
      <c r="N32" s="15" t="n"/>
      <c r="O32" s="15">
        <f>IF(K32="","",K32+IFERROR(L32,0)+(K32*IF(M32="",CUSTOMS_PCT,M32))+IF(N32="",MISC_FEE,N32))</f>
        <v/>
      </c>
      <c r="P32" s="15">
        <f>IF(O32="","",ROUND(O32*(1+MARKUP_PCT),-1)-1)</f>
        <v/>
      </c>
      <c r="Q32" s="15">
        <f>IF(P32="","",P32-O32)</f>
        <v/>
      </c>
      <c r="R32" s="16">
        <f>IF(OR(P32="",P32=0),"",Q32/P32)</f>
        <v/>
      </c>
      <c r="S32" s="13" t="n"/>
      <c r="T32" s="13" t="n"/>
      <c r="U32" s="13" t="n"/>
      <c r="V32" s="13" t="n"/>
      <c r="W32" s="13" t="n"/>
      <c r="X32" s="17">
        <f>IF(COUNT(S32:W32)&lt;5,"",(S32*W_TREND+T32*W_BRAND+U32*W_DEMAND+V32*W_COMPETITION+W32*W_PRICEFIT)/5*100)</f>
        <v/>
      </c>
      <c r="Y32" s="13">
        <f>IF(X32="","",IF(X32&gt;=BUY_THRESHOLD,"Buy",IF(X32&gt;=MAYBE_THRESHOLD,"Maybe","Reject")))</f>
        <v/>
      </c>
      <c r="Z32" s="13" t="n"/>
      <c r="AA32" s="13" t="n"/>
      <c r="AB32" s="13" t="n"/>
      <c r="AC32" s="13" t="n"/>
      <c r="AD32" s="14" t="n"/>
    </row>
    <row r="33">
      <c r="A33" s="8">
        <f>IF(C33="","","AYN-"&amp;UPPER(LEFT(E33,3))&amp;"-"&amp;TEXT(ROW()-2,"000"))</f>
        <v/>
      </c>
      <c r="B33" s="9" t="n"/>
      <c r="C33" s="8" t="n"/>
      <c r="D33" s="8" t="n"/>
      <c r="E33" s="8" t="n"/>
      <c r="F33" s="8" t="n"/>
      <c r="G33" s="8" t="n"/>
      <c r="H33" s="8" t="n"/>
      <c r="I33" s="8" t="n"/>
      <c r="J33" s="8" t="n"/>
      <c r="K33" s="10">
        <f>IF(I33="","",IF(J33="BDT",I33,IF(J33="USD",I33*USD_BDT,IF(J33="RMB",I33*RMB_BDT,""))))</f>
        <v/>
      </c>
      <c r="L33" s="10" t="n"/>
      <c r="M33" s="11" t="n"/>
      <c r="N33" s="10" t="n"/>
      <c r="O33" s="10">
        <f>IF(K33="","",K33+IFERROR(L33,0)+(K33*IF(M33="",CUSTOMS_PCT,M33))+IF(N33="",MISC_FEE,N33))</f>
        <v/>
      </c>
      <c r="P33" s="10">
        <f>IF(O33="","",ROUND(O33*(1+MARKUP_PCT),-1)-1)</f>
        <v/>
      </c>
      <c r="Q33" s="10">
        <f>IF(P33="","",P33-O33)</f>
        <v/>
      </c>
      <c r="R33" s="11">
        <f>IF(OR(P33="",P33=0),"",Q33/P33)</f>
        <v/>
      </c>
      <c r="S33" s="8" t="n"/>
      <c r="T33" s="8" t="n"/>
      <c r="U33" s="8" t="n"/>
      <c r="V33" s="8" t="n"/>
      <c r="W33" s="8" t="n"/>
      <c r="X33" s="12">
        <f>IF(COUNT(S33:W33)&lt;5,"",(S33*W_TREND+T33*W_BRAND+U33*W_DEMAND+V33*W_COMPETITION+W33*W_PRICEFIT)/5*100)</f>
        <v/>
      </c>
      <c r="Y33" s="8">
        <f>IF(X33="","",IF(X33&gt;=BUY_THRESHOLD,"Buy",IF(X33&gt;=MAYBE_THRESHOLD,"Maybe","Reject")))</f>
        <v/>
      </c>
      <c r="Z33" s="8" t="n"/>
      <c r="AA33" s="8" t="n"/>
      <c r="AB33" s="8" t="n"/>
      <c r="AC33" s="8" t="n"/>
      <c r="AD33" s="9" t="n"/>
    </row>
    <row r="34">
      <c r="A34" s="13">
        <f>IF(C34="","","AYN-"&amp;UPPER(LEFT(E34,3))&amp;"-"&amp;TEXT(ROW()-2,"000"))</f>
        <v/>
      </c>
      <c r="B34" s="14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5">
        <f>IF(I34="","",IF(J34="BDT",I34,IF(J34="USD",I34*USD_BDT,IF(J34="RMB",I34*RMB_BDT,""))))</f>
        <v/>
      </c>
      <c r="L34" s="15" t="n"/>
      <c r="M34" s="16" t="n"/>
      <c r="N34" s="15" t="n"/>
      <c r="O34" s="15">
        <f>IF(K34="","",K34+IFERROR(L34,0)+(K34*IF(M34="",CUSTOMS_PCT,M34))+IF(N34="",MISC_FEE,N34))</f>
        <v/>
      </c>
      <c r="P34" s="15">
        <f>IF(O34="","",ROUND(O34*(1+MARKUP_PCT),-1)-1)</f>
        <v/>
      </c>
      <c r="Q34" s="15">
        <f>IF(P34="","",P34-O34)</f>
        <v/>
      </c>
      <c r="R34" s="16">
        <f>IF(OR(P34="",P34=0),"",Q34/P34)</f>
        <v/>
      </c>
      <c r="S34" s="13" t="n"/>
      <c r="T34" s="13" t="n"/>
      <c r="U34" s="13" t="n"/>
      <c r="V34" s="13" t="n"/>
      <c r="W34" s="13" t="n"/>
      <c r="X34" s="17">
        <f>IF(COUNT(S34:W34)&lt;5,"",(S34*W_TREND+T34*W_BRAND+U34*W_DEMAND+V34*W_COMPETITION+W34*W_PRICEFIT)/5*100)</f>
        <v/>
      </c>
      <c r="Y34" s="13">
        <f>IF(X34="","",IF(X34&gt;=BUY_THRESHOLD,"Buy",IF(X34&gt;=MAYBE_THRESHOLD,"Maybe","Reject")))</f>
        <v/>
      </c>
      <c r="Z34" s="13" t="n"/>
      <c r="AA34" s="13" t="n"/>
      <c r="AB34" s="13" t="n"/>
      <c r="AC34" s="13" t="n"/>
      <c r="AD34" s="14" t="n"/>
    </row>
    <row r="35">
      <c r="A35" s="8">
        <f>IF(C35="","","AYN-"&amp;UPPER(LEFT(E35,3))&amp;"-"&amp;TEXT(ROW()-2,"000"))</f>
        <v/>
      </c>
      <c r="B35" s="9" t="n"/>
      <c r="C35" s="8" t="n"/>
      <c r="D35" s="8" t="n"/>
      <c r="E35" s="8" t="n"/>
      <c r="F35" s="8" t="n"/>
      <c r="G35" s="8" t="n"/>
      <c r="H35" s="8" t="n"/>
      <c r="I35" s="8" t="n"/>
      <c r="J35" s="8" t="n"/>
      <c r="K35" s="10">
        <f>IF(I35="","",IF(J35="BDT",I35,IF(J35="USD",I35*USD_BDT,IF(J35="RMB",I35*RMB_BDT,""))))</f>
        <v/>
      </c>
      <c r="L35" s="10" t="n"/>
      <c r="M35" s="11" t="n"/>
      <c r="N35" s="10" t="n"/>
      <c r="O35" s="10">
        <f>IF(K35="","",K35+IFERROR(L35,0)+(K35*IF(M35="",CUSTOMS_PCT,M35))+IF(N35="",MISC_FEE,N35))</f>
        <v/>
      </c>
      <c r="P35" s="10">
        <f>IF(O35="","",ROUND(O35*(1+MARKUP_PCT),-1)-1)</f>
        <v/>
      </c>
      <c r="Q35" s="10">
        <f>IF(P35="","",P35-O35)</f>
        <v/>
      </c>
      <c r="R35" s="11">
        <f>IF(OR(P35="",P35=0),"",Q35/P35)</f>
        <v/>
      </c>
      <c r="S35" s="8" t="n"/>
      <c r="T35" s="8" t="n"/>
      <c r="U35" s="8" t="n"/>
      <c r="V35" s="8" t="n"/>
      <c r="W35" s="8" t="n"/>
      <c r="X35" s="12">
        <f>IF(COUNT(S35:W35)&lt;5,"",(S35*W_TREND+T35*W_BRAND+U35*W_DEMAND+V35*W_COMPETITION+W35*W_PRICEFIT)/5*100)</f>
        <v/>
      </c>
      <c r="Y35" s="8">
        <f>IF(X35="","",IF(X35&gt;=BUY_THRESHOLD,"Buy",IF(X35&gt;=MAYBE_THRESHOLD,"Maybe","Reject")))</f>
        <v/>
      </c>
      <c r="Z35" s="8" t="n"/>
      <c r="AA35" s="8" t="n"/>
      <c r="AB35" s="8" t="n"/>
      <c r="AC35" s="8" t="n"/>
      <c r="AD35" s="9" t="n"/>
    </row>
    <row r="36">
      <c r="A36" s="13">
        <f>IF(C36="","","AYN-"&amp;UPPER(LEFT(E36,3))&amp;"-"&amp;TEXT(ROW()-2,"000"))</f>
        <v/>
      </c>
      <c r="B36" s="14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5">
        <f>IF(I36="","",IF(J36="BDT",I36,IF(J36="USD",I36*USD_BDT,IF(J36="RMB",I36*RMB_BDT,""))))</f>
        <v/>
      </c>
      <c r="L36" s="15" t="n"/>
      <c r="M36" s="16" t="n"/>
      <c r="N36" s="15" t="n"/>
      <c r="O36" s="15">
        <f>IF(K36="","",K36+IFERROR(L36,0)+(K36*IF(M36="",CUSTOMS_PCT,M36))+IF(N36="",MISC_FEE,N36))</f>
        <v/>
      </c>
      <c r="P36" s="15">
        <f>IF(O36="","",ROUND(O36*(1+MARKUP_PCT),-1)-1)</f>
        <v/>
      </c>
      <c r="Q36" s="15">
        <f>IF(P36="","",P36-O36)</f>
        <v/>
      </c>
      <c r="R36" s="16">
        <f>IF(OR(P36="",P36=0),"",Q36/P36)</f>
        <v/>
      </c>
      <c r="S36" s="13" t="n"/>
      <c r="T36" s="13" t="n"/>
      <c r="U36" s="13" t="n"/>
      <c r="V36" s="13" t="n"/>
      <c r="W36" s="13" t="n"/>
      <c r="X36" s="17">
        <f>IF(COUNT(S36:W36)&lt;5,"",(S36*W_TREND+T36*W_BRAND+U36*W_DEMAND+V36*W_COMPETITION+W36*W_PRICEFIT)/5*100)</f>
        <v/>
      </c>
      <c r="Y36" s="13">
        <f>IF(X36="","",IF(X36&gt;=BUY_THRESHOLD,"Buy",IF(X36&gt;=MAYBE_THRESHOLD,"Maybe","Reject")))</f>
        <v/>
      </c>
      <c r="Z36" s="13" t="n"/>
      <c r="AA36" s="13" t="n"/>
      <c r="AB36" s="13" t="n"/>
      <c r="AC36" s="13" t="n"/>
      <c r="AD36" s="14" t="n"/>
    </row>
    <row r="37">
      <c r="A37" s="8">
        <f>IF(C37="","","AYN-"&amp;UPPER(LEFT(E37,3))&amp;"-"&amp;TEXT(ROW()-2,"000"))</f>
        <v/>
      </c>
      <c r="B37" s="9" t="n"/>
      <c r="C37" s="8" t="n"/>
      <c r="D37" s="8" t="n"/>
      <c r="E37" s="8" t="n"/>
      <c r="F37" s="8" t="n"/>
      <c r="G37" s="8" t="n"/>
      <c r="H37" s="8" t="n"/>
      <c r="I37" s="8" t="n"/>
      <c r="J37" s="8" t="n"/>
      <c r="K37" s="10">
        <f>IF(I37="","",IF(J37="BDT",I37,IF(J37="USD",I37*USD_BDT,IF(J37="RMB",I37*RMB_BDT,""))))</f>
        <v/>
      </c>
      <c r="L37" s="10" t="n"/>
      <c r="M37" s="11" t="n"/>
      <c r="N37" s="10" t="n"/>
      <c r="O37" s="10">
        <f>IF(K37="","",K37+IFERROR(L37,0)+(K37*IF(M37="",CUSTOMS_PCT,M37))+IF(N37="",MISC_FEE,N37))</f>
        <v/>
      </c>
      <c r="P37" s="10">
        <f>IF(O37="","",ROUND(O37*(1+MARKUP_PCT),-1)-1)</f>
        <v/>
      </c>
      <c r="Q37" s="10">
        <f>IF(P37="","",P37-O37)</f>
        <v/>
      </c>
      <c r="R37" s="11">
        <f>IF(OR(P37="",P37=0),"",Q37/P37)</f>
        <v/>
      </c>
      <c r="S37" s="8" t="n"/>
      <c r="T37" s="8" t="n"/>
      <c r="U37" s="8" t="n"/>
      <c r="V37" s="8" t="n"/>
      <c r="W37" s="8" t="n"/>
      <c r="X37" s="12">
        <f>IF(COUNT(S37:W37)&lt;5,"",(S37*W_TREND+T37*W_BRAND+U37*W_DEMAND+V37*W_COMPETITION+W37*W_PRICEFIT)/5*100)</f>
        <v/>
      </c>
      <c r="Y37" s="8">
        <f>IF(X37="","",IF(X37&gt;=BUY_THRESHOLD,"Buy",IF(X37&gt;=MAYBE_THRESHOLD,"Maybe","Reject")))</f>
        <v/>
      </c>
      <c r="Z37" s="8" t="n"/>
      <c r="AA37" s="8" t="n"/>
      <c r="AB37" s="8" t="n"/>
      <c r="AC37" s="8" t="n"/>
      <c r="AD37" s="9" t="n"/>
    </row>
    <row r="38">
      <c r="A38" s="13">
        <f>IF(C38="","","AYN-"&amp;UPPER(LEFT(E38,3))&amp;"-"&amp;TEXT(ROW()-2,"000"))</f>
        <v/>
      </c>
      <c r="B38" s="14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5">
        <f>IF(I38="","",IF(J38="BDT",I38,IF(J38="USD",I38*USD_BDT,IF(J38="RMB",I38*RMB_BDT,""))))</f>
        <v/>
      </c>
      <c r="L38" s="15" t="n"/>
      <c r="M38" s="16" t="n"/>
      <c r="N38" s="15" t="n"/>
      <c r="O38" s="15">
        <f>IF(K38="","",K38+IFERROR(L38,0)+(K38*IF(M38="",CUSTOMS_PCT,M38))+IF(N38="",MISC_FEE,N38))</f>
        <v/>
      </c>
      <c r="P38" s="15">
        <f>IF(O38="","",ROUND(O38*(1+MARKUP_PCT),-1)-1)</f>
        <v/>
      </c>
      <c r="Q38" s="15">
        <f>IF(P38="","",P38-O38)</f>
        <v/>
      </c>
      <c r="R38" s="16">
        <f>IF(OR(P38="",P38=0),"",Q38/P38)</f>
        <v/>
      </c>
      <c r="S38" s="13" t="n"/>
      <c r="T38" s="13" t="n"/>
      <c r="U38" s="13" t="n"/>
      <c r="V38" s="13" t="n"/>
      <c r="W38" s="13" t="n"/>
      <c r="X38" s="17">
        <f>IF(COUNT(S38:W38)&lt;5,"",(S38*W_TREND+T38*W_BRAND+U38*W_DEMAND+V38*W_COMPETITION+W38*W_PRICEFIT)/5*100)</f>
        <v/>
      </c>
      <c r="Y38" s="13">
        <f>IF(X38="","",IF(X38&gt;=BUY_THRESHOLD,"Buy",IF(X38&gt;=MAYBE_THRESHOLD,"Maybe","Reject")))</f>
        <v/>
      </c>
      <c r="Z38" s="13" t="n"/>
      <c r="AA38" s="13" t="n"/>
      <c r="AB38" s="13" t="n"/>
      <c r="AC38" s="13" t="n"/>
      <c r="AD38" s="14" t="n"/>
    </row>
    <row r="39">
      <c r="A39" s="8">
        <f>IF(C39="","","AYN-"&amp;UPPER(LEFT(E39,3))&amp;"-"&amp;TEXT(ROW()-2,"000"))</f>
        <v/>
      </c>
      <c r="B39" s="9" t="n"/>
      <c r="C39" s="8" t="n"/>
      <c r="D39" s="8" t="n"/>
      <c r="E39" s="8" t="n"/>
      <c r="F39" s="8" t="n"/>
      <c r="G39" s="8" t="n"/>
      <c r="H39" s="8" t="n"/>
      <c r="I39" s="8" t="n"/>
      <c r="J39" s="8" t="n"/>
      <c r="K39" s="10">
        <f>IF(I39="","",IF(J39="BDT",I39,IF(J39="USD",I39*USD_BDT,IF(J39="RMB",I39*RMB_BDT,""))))</f>
        <v/>
      </c>
      <c r="L39" s="10" t="n"/>
      <c r="M39" s="11" t="n"/>
      <c r="N39" s="10" t="n"/>
      <c r="O39" s="10">
        <f>IF(K39="","",K39+IFERROR(L39,0)+(K39*IF(M39="",CUSTOMS_PCT,M39))+IF(N39="",MISC_FEE,N39))</f>
        <v/>
      </c>
      <c r="P39" s="10">
        <f>IF(O39="","",ROUND(O39*(1+MARKUP_PCT),-1)-1)</f>
        <v/>
      </c>
      <c r="Q39" s="10">
        <f>IF(P39="","",P39-O39)</f>
        <v/>
      </c>
      <c r="R39" s="11">
        <f>IF(OR(P39="",P39=0),"",Q39/P39)</f>
        <v/>
      </c>
      <c r="S39" s="8" t="n"/>
      <c r="T39" s="8" t="n"/>
      <c r="U39" s="8" t="n"/>
      <c r="V39" s="8" t="n"/>
      <c r="W39" s="8" t="n"/>
      <c r="X39" s="12">
        <f>IF(COUNT(S39:W39)&lt;5,"",(S39*W_TREND+T39*W_BRAND+U39*W_DEMAND+V39*W_COMPETITION+W39*W_PRICEFIT)/5*100)</f>
        <v/>
      </c>
      <c r="Y39" s="8">
        <f>IF(X39="","",IF(X39&gt;=BUY_THRESHOLD,"Buy",IF(X39&gt;=MAYBE_THRESHOLD,"Maybe","Reject")))</f>
        <v/>
      </c>
      <c r="Z39" s="8" t="n"/>
      <c r="AA39" s="8" t="n"/>
      <c r="AB39" s="8" t="n"/>
      <c r="AC39" s="8" t="n"/>
      <c r="AD39" s="9" t="n"/>
    </row>
    <row r="40">
      <c r="A40" s="13">
        <f>IF(C40="","","AYN-"&amp;UPPER(LEFT(E40,3))&amp;"-"&amp;TEXT(ROW()-2,"000"))</f>
        <v/>
      </c>
      <c r="B40" s="14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5">
        <f>IF(I40="","",IF(J40="BDT",I40,IF(J40="USD",I40*USD_BDT,IF(J40="RMB",I40*RMB_BDT,""))))</f>
        <v/>
      </c>
      <c r="L40" s="15" t="n"/>
      <c r="M40" s="16" t="n"/>
      <c r="N40" s="15" t="n"/>
      <c r="O40" s="15">
        <f>IF(K40="","",K40+IFERROR(L40,0)+(K40*IF(M40="",CUSTOMS_PCT,M40))+IF(N40="",MISC_FEE,N40))</f>
        <v/>
      </c>
      <c r="P40" s="15">
        <f>IF(O40="","",ROUND(O40*(1+MARKUP_PCT),-1)-1)</f>
        <v/>
      </c>
      <c r="Q40" s="15">
        <f>IF(P40="","",P40-O40)</f>
        <v/>
      </c>
      <c r="R40" s="16">
        <f>IF(OR(P40="",P40=0),"",Q40/P40)</f>
        <v/>
      </c>
      <c r="S40" s="13" t="n"/>
      <c r="T40" s="13" t="n"/>
      <c r="U40" s="13" t="n"/>
      <c r="V40" s="13" t="n"/>
      <c r="W40" s="13" t="n"/>
      <c r="X40" s="17">
        <f>IF(COUNT(S40:W40)&lt;5,"",(S40*W_TREND+T40*W_BRAND+U40*W_DEMAND+V40*W_COMPETITION+W40*W_PRICEFIT)/5*100)</f>
        <v/>
      </c>
      <c r="Y40" s="13">
        <f>IF(X40="","",IF(X40&gt;=BUY_THRESHOLD,"Buy",IF(X40&gt;=MAYBE_THRESHOLD,"Maybe","Reject")))</f>
        <v/>
      </c>
      <c r="Z40" s="13" t="n"/>
      <c r="AA40" s="13" t="n"/>
      <c r="AB40" s="13" t="n"/>
      <c r="AC40" s="13" t="n"/>
      <c r="AD40" s="14" t="n"/>
    </row>
    <row r="41">
      <c r="A41" s="8">
        <f>IF(C41="","","AYN-"&amp;UPPER(LEFT(E41,3))&amp;"-"&amp;TEXT(ROW()-2,"000"))</f>
        <v/>
      </c>
      <c r="B41" s="9" t="n"/>
      <c r="C41" s="8" t="n"/>
      <c r="D41" s="8" t="n"/>
      <c r="E41" s="8" t="n"/>
      <c r="F41" s="8" t="n"/>
      <c r="G41" s="8" t="n"/>
      <c r="H41" s="8" t="n"/>
      <c r="I41" s="8" t="n"/>
      <c r="J41" s="8" t="n"/>
      <c r="K41" s="10">
        <f>IF(I41="","",IF(J41="BDT",I41,IF(J41="USD",I41*USD_BDT,IF(J41="RMB",I41*RMB_BDT,""))))</f>
        <v/>
      </c>
      <c r="L41" s="10" t="n"/>
      <c r="M41" s="11" t="n"/>
      <c r="N41" s="10" t="n"/>
      <c r="O41" s="10">
        <f>IF(K41="","",K41+IFERROR(L41,0)+(K41*IF(M41="",CUSTOMS_PCT,M41))+IF(N41="",MISC_FEE,N41))</f>
        <v/>
      </c>
      <c r="P41" s="10">
        <f>IF(O41="","",ROUND(O41*(1+MARKUP_PCT),-1)-1)</f>
        <v/>
      </c>
      <c r="Q41" s="10">
        <f>IF(P41="","",P41-O41)</f>
        <v/>
      </c>
      <c r="R41" s="11">
        <f>IF(OR(P41="",P41=0),"",Q41/P41)</f>
        <v/>
      </c>
      <c r="S41" s="8" t="n"/>
      <c r="T41" s="8" t="n"/>
      <c r="U41" s="8" t="n"/>
      <c r="V41" s="8" t="n"/>
      <c r="W41" s="8" t="n"/>
      <c r="X41" s="12">
        <f>IF(COUNT(S41:W41)&lt;5,"",(S41*W_TREND+T41*W_BRAND+U41*W_DEMAND+V41*W_COMPETITION+W41*W_PRICEFIT)/5*100)</f>
        <v/>
      </c>
      <c r="Y41" s="8">
        <f>IF(X41="","",IF(X41&gt;=BUY_THRESHOLD,"Buy",IF(X41&gt;=MAYBE_THRESHOLD,"Maybe","Reject")))</f>
        <v/>
      </c>
      <c r="Z41" s="8" t="n"/>
      <c r="AA41" s="8" t="n"/>
      <c r="AB41" s="8" t="n"/>
      <c r="AC41" s="8" t="n"/>
      <c r="AD41" s="9" t="n"/>
    </row>
    <row r="42">
      <c r="A42" s="13">
        <f>IF(C42="","","AYN-"&amp;UPPER(LEFT(E42,3))&amp;"-"&amp;TEXT(ROW()-2,"000"))</f>
        <v/>
      </c>
      <c r="B42" s="14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5">
        <f>IF(I42="","",IF(J42="BDT",I42,IF(J42="USD",I42*USD_BDT,IF(J42="RMB",I42*RMB_BDT,""))))</f>
        <v/>
      </c>
      <c r="L42" s="15" t="n"/>
      <c r="M42" s="16" t="n"/>
      <c r="N42" s="15" t="n"/>
      <c r="O42" s="15">
        <f>IF(K42="","",K42+IFERROR(L42,0)+(K42*IF(M42="",CUSTOMS_PCT,M42))+IF(N42="",MISC_FEE,N42))</f>
        <v/>
      </c>
      <c r="P42" s="15">
        <f>IF(O42="","",ROUND(O42*(1+MARKUP_PCT),-1)-1)</f>
        <v/>
      </c>
      <c r="Q42" s="15">
        <f>IF(P42="","",P42-O42)</f>
        <v/>
      </c>
      <c r="R42" s="16">
        <f>IF(OR(P42="",P42=0),"",Q42/P42)</f>
        <v/>
      </c>
      <c r="S42" s="13" t="n"/>
      <c r="T42" s="13" t="n"/>
      <c r="U42" s="13" t="n"/>
      <c r="V42" s="13" t="n"/>
      <c r="W42" s="13" t="n"/>
      <c r="X42" s="17">
        <f>IF(COUNT(S42:W42)&lt;5,"",(S42*W_TREND+T42*W_BRAND+U42*W_DEMAND+V42*W_COMPETITION+W42*W_PRICEFIT)/5*100)</f>
        <v/>
      </c>
      <c r="Y42" s="13">
        <f>IF(X42="","",IF(X42&gt;=BUY_THRESHOLD,"Buy",IF(X42&gt;=MAYBE_THRESHOLD,"Maybe","Reject")))</f>
        <v/>
      </c>
      <c r="Z42" s="13" t="n"/>
      <c r="AA42" s="13" t="n"/>
      <c r="AB42" s="13" t="n"/>
      <c r="AC42" s="13" t="n"/>
      <c r="AD42" s="14" t="n"/>
    </row>
  </sheetData>
  <mergeCells count="2">
    <mergeCell ref="I1:T1"/>
    <mergeCell ref="A1:H1"/>
  </mergeCells>
  <conditionalFormatting sqref="Y3:Y42">
    <cfRule type="cellIs" priority="1" operator="equal" dxfId="0">
      <formula>"Buy"</formula>
    </cfRule>
    <cfRule type="cellIs" priority="2" operator="equal" dxfId="1">
      <formula>"Maybe"</formula>
    </cfRule>
    <cfRule type="cellIs" priority="3" operator="equal" dxfId="2">
      <formula>"Reject"</formula>
    </cfRule>
  </conditionalFormatting>
  <conditionalFormatting sqref="P3:P42">
    <cfRule type="expression" priority="4" dxfId="3">
      <formula>P3&gt;MAX_PRICE</formula>
    </cfRule>
  </conditionalFormatting>
  <conditionalFormatting sqref="AB3:AB42">
    <cfRule type="cellIs" priority="5" operator="equal" dxfId="4">
      <formula>"Approved"</formula>
    </cfRule>
    <cfRule type="cellIs" priority="6" operator="equal" dxfId="5">
      <formula>"Rejected"</formula>
    </cfRule>
    <cfRule type="cellIs" priority="7" operator="equal" dxfId="6">
      <formula>"Pending"</formula>
    </cfRule>
  </conditionalFormatting>
  <dataValidations count="9">
    <dataValidation sqref="F3:F42" showDropDown="0" showInputMessage="0" showErrorMessage="0" allowBlank="1" errorTitle="Invalid entry" error="Please choose a value from the list." promptTitle="Choose from list" prompt="Where this product is sourced from" type="list">
      <formula1>LIST_PLATFORM</formula1>
    </dataValidation>
    <dataValidation sqref="E3:E42" showDropDown="0" showInputMessage="0" showErrorMessage="0" allowBlank="1" errorTitle="Invalid entry" error="Please choose a value from the list." promptTitle="Choose from list" prompt="Product category" type="list">
      <formula1>LIST_CATEGORY</formula1>
    </dataValidation>
    <dataValidation sqref="J3:J42" showDropDown="0" showInputMessage="0" showErrorMessage="0" allowBlank="1" errorTitle="Invalid entry" error="Please choose a value from the list." promptTitle="Choose from list" prompt="Currency the unit cost is quoted in" type="list">
      <formula1>LIST_CURRENCY</formula1>
    </dataValidation>
    <dataValidation sqref="AB3:AB42" showDropDown="0" showInputMessage="0" showErrorMessage="0" allowBlank="1" errorTitle="Invalid entry" error="Please choose a value from the list." promptTitle="Choose from list" prompt="Partner approval status" type="list">
      <formula1>LIST_APPROVAL</formula1>
    </dataValidation>
    <dataValidation sqref="S3:S42" showDropDown="0" showInputMessage="0" showErrorMessage="0" allowBlank="1" errorTitle="Invalid entry" error="Please choose a value from the list." promptTitle="Choose from list" prompt="Score 1 (worst) to 5 (best)" type="list">
      <formula1>LIST_SCORE</formula1>
    </dataValidation>
    <dataValidation sqref="T3:T42" showDropDown="0" showInputMessage="0" showErrorMessage="0" allowBlank="1" errorTitle="Invalid entry" error="Please choose a value from the list." promptTitle="Choose from list" prompt="Score 1 (worst) to 5 (best)" type="list">
      <formula1>LIST_SCORE</formula1>
    </dataValidation>
    <dataValidation sqref="U3:U42" showDropDown="0" showInputMessage="0" showErrorMessage="0" allowBlank="1" errorTitle="Invalid entry" error="Please choose a value from the list." promptTitle="Choose from list" prompt="Score 1 (worst) to 5 (best)" type="list">
      <formula1>LIST_SCORE</formula1>
    </dataValidation>
    <dataValidation sqref="V3:V42" showDropDown="0" showInputMessage="0" showErrorMessage="0" allowBlank="1" errorTitle="Invalid entry" error="Please choose a value from the list." promptTitle="Choose from list" prompt="Score 1 (worst) to 5 (best)" type="list">
      <formula1>LIST_SCORE</formula1>
    </dataValidation>
    <dataValidation sqref="W3:W42" showDropDown="0" showInputMessage="0" showErrorMessage="0" allowBlank="1" errorTitle="Invalid entry" error="Please choose a value from the list." promptTitle="Choose from list" prompt="Score 1 (worst) to 5 (best)" type="list">
      <formula1>LIST_SCORE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9B5E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46" customWidth="1" min="3" max="3"/>
  </cols>
  <sheetData>
    <row r="1">
      <c r="A1" s="1" t="inlineStr">
        <is>
          <t>AAYNA Product Scout Lite — Settings</t>
        </is>
      </c>
    </row>
    <row r="2">
      <c r="A2" s="18" t="inlineStr">
        <is>
          <t>Tune these numbers once. Every formula in the Product Tracker tab reads from here.</t>
        </is>
      </c>
    </row>
    <row r="4">
      <c r="A4" s="19" t="inlineStr">
        <is>
          <t>Setting</t>
        </is>
      </c>
      <c r="B4" s="19" t="inlineStr">
        <is>
          <t>Value</t>
        </is>
      </c>
      <c r="C4" s="19" t="inlineStr">
        <is>
          <t>Notes</t>
        </is>
      </c>
    </row>
    <row r="5">
      <c r="A5" s="20" t="inlineStr">
        <is>
          <t>USD to BDT exchange rate</t>
        </is>
      </c>
      <c r="B5" t="n">
        <v>122</v>
      </c>
      <c r="C5" s="18" t="inlineStr">
        <is>
          <t>Update when BDT/USD rate changes</t>
        </is>
      </c>
    </row>
    <row r="6">
      <c r="A6" s="20" t="inlineStr">
        <is>
          <t>RMB (CNY) to BDT exchange rate</t>
        </is>
      </c>
      <c r="B6" t="n">
        <v>17</v>
      </c>
      <c r="C6" s="18" t="inlineStr">
        <is>
          <t>Update when BDT/CNY rate changes</t>
        </is>
      </c>
    </row>
    <row r="7">
      <c r="A7" s="20" t="inlineStr">
        <is>
          <t>Default customs/duty %</t>
        </is>
      </c>
      <c r="B7" t="n">
        <v>0.07000000000000001</v>
      </c>
      <c r="C7" s="18" t="inlineStr">
        <is>
          <t>As decimal, e.g. 0.07 = 7%</t>
        </is>
      </c>
    </row>
    <row r="8">
      <c r="A8" s="20" t="inlineStr">
        <is>
          <t>Default misc fee per unit (BDT)</t>
        </is>
      </c>
      <c r="B8" t="n">
        <v>15</v>
      </c>
      <c r="C8" s="18" t="inlineStr">
        <is>
          <t>Packaging, handling, platform fees per piece</t>
        </is>
      </c>
    </row>
    <row r="9">
      <c r="A9" s="20" t="inlineStr">
        <is>
          <t>Default markup % over landed cost</t>
        </is>
      </c>
      <c r="B9" t="n">
        <v>1</v>
      </c>
      <c r="C9" s="18" t="inlineStr">
        <is>
          <t>1.0 = 100% markup (sell at 2x landed cost)</t>
        </is>
      </c>
    </row>
    <row r="10">
      <c r="A10" s="20" t="inlineStr">
        <is>
          <t>Target max selling price (BDT)</t>
        </is>
      </c>
      <c r="B10" t="n">
        <v>700</v>
      </c>
      <c r="C10" s="18" t="inlineStr">
        <is>
          <t>AAYNA's 'mostly under' price ceiling</t>
        </is>
      </c>
    </row>
    <row r="11">
      <c r="A11" s="20" t="inlineStr">
        <is>
          <t>Weight: Trend Score</t>
        </is>
      </c>
      <c r="B11" t="n">
        <v>0.2</v>
      </c>
      <c r="C11" s="18" t="inlineStr">
        <is>
          <t>Must add up to 1.00 across the 5 weights</t>
        </is>
      </c>
    </row>
    <row r="12">
      <c r="A12" s="20" t="inlineStr">
        <is>
          <t>Weight: Brand Fit Score</t>
        </is>
      </c>
      <c r="B12" t="n">
        <v>0.25</v>
      </c>
      <c r="C12" s="18" t="inlineStr"/>
    </row>
    <row r="13">
      <c r="A13" s="20" t="inlineStr">
        <is>
          <t>Weight: Demand Score</t>
        </is>
      </c>
      <c r="B13" t="n">
        <v>0.2</v>
      </c>
      <c r="C13" s="18" t="inlineStr"/>
    </row>
    <row r="14">
      <c r="A14" s="20" t="inlineStr">
        <is>
          <t>Weight: Competition Score</t>
        </is>
      </c>
      <c r="B14" t="n">
        <v>0.15</v>
      </c>
      <c r="C14" s="18" t="inlineStr"/>
    </row>
    <row r="15">
      <c r="A15" s="20" t="inlineStr">
        <is>
          <t>Weight: Price Fit Score</t>
        </is>
      </c>
      <c r="B15" t="n">
        <v>0.2</v>
      </c>
      <c r="C15" s="18" t="inlineStr"/>
    </row>
    <row r="16">
      <c r="A16" s="20" t="inlineStr">
        <is>
          <t>Buy threshold (score &gt;=)</t>
        </is>
      </c>
      <c r="B16" t="n">
        <v>75</v>
      </c>
      <c r="C16" s="18" t="inlineStr">
        <is>
          <t>Total Product Score is out of 100</t>
        </is>
      </c>
    </row>
    <row r="17">
      <c r="A17" s="20" t="inlineStr">
        <is>
          <t>Maybe threshold (score &gt;=)</t>
        </is>
      </c>
      <c r="B17" t="n">
        <v>50</v>
      </c>
      <c r="C17" s="18" t="inlineStr">
        <is>
          <t>Below this = Reject</t>
        </is>
      </c>
    </row>
  </sheetData>
  <mergeCells count="2">
    <mergeCell ref="A1:C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9B5E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9" t="inlineStr">
        <is>
          <t>Source Platform</t>
        </is>
      </c>
      <c r="B1" s="19" t="inlineStr">
        <is>
          <t>Category</t>
        </is>
      </c>
      <c r="C1" s="19" t="inlineStr">
        <is>
          <t>Source Currency</t>
        </is>
      </c>
      <c r="D1" s="19" t="inlineStr">
        <is>
          <t>Decision</t>
        </is>
      </c>
      <c r="E1" s="19" t="inlineStr">
        <is>
          <t>Approval Status</t>
        </is>
      </c>
      <c r="F1" s="19" t="inlineStr">
        <is>
          <t>Score (1-5)</t>
        </is>
      </c>
    </row>
    <row r="2">
      <c r="A2" t="inlineStr">
        <is>
          <t>SkyBuyBD</t>
        </is>
      </c>
      <c r="B2" t="inlineStr">
        <is>
          <t>Earrings</t>
        </is>
      </c>
      <c r="C2" t="inlineStr">
        <is>
          <t>BDT</t>
        </is>
      </c>
      <c r="D2" t="inlineStr">
        <is>
          <t>Buy</t>
        </is>
      </c>
      <c r="E2" t="inlineStr">
        <is>
          <t>Pending</t>
        </is>
      </c>
      <c r="F2" t="n">
        <v>1</v>
      </c>
    </row>
    <row r="3">
      <c r="A3" t="inlineStr">
        <is>
          <t>AliExpress</t>
        </is>
      </c>
      <c r="B3" t="inlineStr">
        <is>
          <t>Necklace</t>
        </is>
      </c>
      <c r="C3" t="inlineStr">
        <is>
          <t>USD</t>
        </is>
      </c>
      <c r="D3" t="inlineStr">
        <is>
          <t>Maybe</t>
        </is>
      </c>
      <c r="E3" t="inlineStr">
        <is>
          <t>Approved</t>
        </is>
      </c>
      <c r="F3" t="n">
        <v>2</v>
      </c>
    </row>
    <row r="4">
      <c r="A4" t="inlineStr">
        <is>
          <t>Yiwugo</t>
        </is>
      </c>
      <c r="B4" t="inlineStr">
        <is>
          <t>Bracelet</t>
        </is>
      </c>
      <c r="C4" t="inlineStr">
        <is>
          <t>RMB</t>
        </is>
      </c>
      <c r="D4" t="inlineStr">
        <is>
          <t>Reject</t>
        </is>
      </c>
      <c r="E4" t="inlineStr">
        <is>
          <t>Rejected</t>
        </is>
      </c>
      <c r="F4" t="n">
        <v>3</v>
      </c>
    </row>
    <row r="5">
      <c r="A5" t="inlineStr">
        <is>
          <t>1688</t>
        </is>
      </c>
      <c r="B5" t="inlineStr">
        <is>
          <t>Ring</t>
        </is>
      </c>
      <c r="E5" t="inlineStr">
        <is>
          <t>On Hold</t>
        </is>
      </c>
      <c r="F5" t="n">
        <v>4</v>
      </c>
    </row>
    <row r="6">
      <c r="A6" t="inlineStr">
        <is>
          <t>Local Wholesale</t>
        </is>
      </c>
      <c r="B6" t="inlineStr">
        <is>
          <t>Hair Accessory</t>
        </is>
      </c>
      <c r="F6" t="n">
        <v>5</v>
      </c>
    </row>
    <row r="7">
      <c r="A7" t="inlineStr">
        <is>
          <t>Other</t>
        </is>
      </c>
      <c r="B7" t="inlineStr">
        <is>
          <t>Bag</t>
        </is>
      </c>
    </row>
    <row r="8">
      <c r="B8" t="inlineStr">
        <is>
          <t>Belt</t>
        </is>
      </c>
    </row>
    <row r="9">
      <c r="B9" t="inlineStr">
        <is>
          <t>Sunglasses</t>
        </is>
      </c>
    </row>
    <row r="10">
      <c r="B10" t="inlineStr">
        <is>
          <t>Watch</t>
        </is>
      </c>
    </row>
    <row r="11">
      <c r="B11" t="inlineStr">
        <is>
          <t>Scarf</t>
        </is>
      </c>
    </row>
    <row r="12">
      <c r="B12" t="inlineStr">
        <is>
          <t>Hijab Accessory</t>
        </is>
      </c>
    </row>
    <row r="13">
      <c r="B13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2F2A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AAYNA Product Scout Lite — How To Use</t>
        </is>
      </c>
    </row>
    <row r="2" ht="90" customHeight="1">
      <c r="A2" s="20" t="inlineStr">
        <is>
          <t>Overview</t>
        </is>
      </c>
      <c r="B2" s="21" t="inlineStr">
        <is>
          <t>This sheet helps the 3 of us score and decide on products from SkyBuyBD, AliExpress, or other China sourcing platforms — fast, consistently, and without spreadsheets fights.
Workflow: Whoever finds a product adds a new row and fills in the WHITE input columns only. The colored formula columns calculate themselves. Then each partner fills their Score columns, and the sheet tells you Buy / Maybe / Reject automatically.</t>
        </is>
      </c>
    </row>
    <row r="4" ht="60" customHeight="1">
      <c r="A4" s="22" t="inlineStr">
        <is>
          <t>Step 1 — Add the product</t>
        </is>
      </c>
      <c r="B4" s="21" t="inlineStr">
        <is>
          <t>Fill SKU is automatic. Enter Date Added, Product Name, Image/Link, Category, Source Platform, Source URL, Supplier Name.</t>
        </is>
      </c>
    </row>
    <row r="5" ht="60" customHeight="1">
      <c r="A5" s="22" t="inlineStr">
        <is>
          <t>Step 2 — Enter cost info</t>
        </is>
      </c>
      <c r="B5" s="21" t="inlineStr">
        <is>
          <t>Enter Unit Cost in whatever currency the supplier quoted (USD/RMB/BDT), pick the currency, then enter Shipping Cost/Unit and Misc Fees if known. Customs % and Misc Fees auto-fill from Settings tab if left blank.</t>
        </is>
      </c>
    </row>
    <row r="6" ht="60" customHeight="1">
      <c r="A6" s="22" t="inlineStr">
        <is>
          <t>Step 3 — Let it calculate</t>
        </is>
      </c>
      <c r="B6" s="21" t="inlineStr">
        <is>
          <t>Unit Cost (BDT), Estimated Landed Cost, Suggested Selling Price, Expected Profit, and Profit Margin % fill in automatically.</t>
        </is>
      </c>
    </row>
    <row r="7" ht="60" customHeight="1">
      <c r="A7" s="22" t="inlineStr">
        <is>
          <t>Step 4 — Score it (1 = worst, 5 = best)</t>
        </is>
      </c>
      <c r="B7" s="21" t="inlineStr">
        <is>
          <t>Trend Score: how hot is this right now (TikTok/IG/competitors)? Brand Fit Score: does it match AAYNA's dusty rose / cream / antique gold, feminine-trendy vibe? Demand Score: would our audience actually buy this? Competition Score: 5 = very few sellers have it, 1 = everyone already sells it. Price Fit Score: 5 = comfortably sits under our ~700 BDT price point, 1 = priced way above it.</t>
        </is>
      </c>
    </row>
    <row r="8" ht="60" customHeight="1">
      <c r="A8" s="22" t="inlineStr">
        <is>
          <t>Step 5 — Read the verdict</t>
        </is>
      </c>
      <c r="B8" s="21" t="inlineStr">
        <is>
          <t>Total Product Score (0-100) and Decision (Buy/Maybe/Reject) calculate automatically using the weights set in the Settings tab. Buy = green, Maybe = yellow, Reject = red.</t>
        </is>
      </c>
    </row>
    <row r="9" ht="60" customHeight="1">
      <c r="A9" s="22" t="inlineStr">
        <is>
          <t>Step 6 — Decide together</t>
        </is>
      </c>
      <c r="B9" s="21" t="inlineStr">
        <is>
          <t>Add a short Reason so the other partners know WHY. Add a Content/Reel Idea so marketing has a head start. Set Approval Status once all partners agree, note who Approved and the date.</t>
        </is>
      </c>
    </row>
    <row r="10" ht="60" customHeight="1">
      <c r="A10" s="22" t="inlineStr">
        <is>
          <t>Adjusting the formulas</t>
        </is>
      </c>
      <c r="B10" s="21" t="inlineStr">
        <is>
          <t>Don't like the default markup, exchange rate, or scoring weights? Change them ONCE in the Settings tab — every row updates automatically. No need to touch the Product Tracker formulas.</t>
        </is>
      </c>
    </row>
    <row r="11" ht="60" customHeight="1">
      <c r="A11" s="22" t="inlineStr">
        <is>
          <t>Color key</t>
        </is>
      </c>
      <c r="B11" s="21" t="inlineStr">
        <is>
          <t>Green = Buy / Approved. Yellow = Maybe / Pending. Red = Reject / Rejected, or a price above our 700 BDT ceiling.</t>
        </is>
      </c>
    </row>
    <row r="12" ht="60" customHeight="1">
      <c r="A12" s="22" t="inlineStr">
        <is>
          <t>Tips for 3-partner teams</t>
        </is>
      </c>
      <c r="B12" s="21" t="inlineStr">
        <is>
          <t>Assign one column block per partner if you want speed (e.g. Partner A scores Trend+Demand, Partner B scores Brand Fit+Price Fit, Partner C scores Competition) — or all 3 score independently and average manually before finalizing. Keep the Reason column honest; it's your shared memory.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2026-06-22T23:10:55Z</dcterms:created>
  <dcterms:modified xsi:type="dcterms:W3CDTF">2026-06-22T23:10:55Z</dcterms:modified>
</cp:coreProperties>
</file>